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comments2.xml" ContentType="application/vnd.openxmlformats-officedocument.spreadsheetml.comments+xml"/>
  <Override PartName="/xl/drawings/drawing4.xml" ContentType="application/vnd.openxmlformats-officedocument.drawing+xml"/>
  <Override PartName="/xl/charts/chart4.xml" ContentType="application/vnd.openxmlformats-officedocument.drawingml.chart+xml"/>
  <Override PartName="/xl/drawings/drawing5.xml" ContentType="application/vnd.openxmlformats-officedocument.drawing+xml"/>
  <Override PartName="/xl/comments3.xml" ContentType="application/vnd.openxmlformats-officedocument.spreadsheetml.comments+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6.xml" ContentType="application/vnd.openxmlformats-officedocument.drawing+xml"/>
  <Override PartName="/xl/comments4.xml" ContentType="application/vnd.openxmlformats-officedocument.spreadsheetml.comments+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7.xml" ContentType="application/vnd.openxmlformats-officedocument.drawing+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hidePivotFieldList="1"/>
  <bookViews>
    <workbookView xWindow="0" yWindow="0" windowWidth="28800" windowHeight="12210" tabRatio="931"/>
  </bookViews>
  <sheets>
    <sheet name="Valuation" sheetId="10" r:id="rId1"/>
    <sheet name="BS" sheetId="1" r:id="rId2"/>
    <sheet name="IS" sheetId="3" r:id="rId3"/>
    <sheet name="CF" sheetId="2" r:id="rId4"/>
    <sheet name="DCF" sheetId="16" r:id="rId5"/>
    <sheet name="RIM" sheetId="8" r:id="rId6"/>
    <sheet name="Historical PE" sheetId="9" r:id="rId7"/>
    <sheet name="Comparable - changed weights" sheetId="12" r:id="rId8"/>
    <sheet name="Comparable - unchanged weights" sheetId="18" r:id="rId9"/>
    <sheet name="Beta" sheetId="4" r:id="rId10"/>
    <sheet name="Bottom-Up Beta" sheetId="13" r:id="rId11"/>
    <sheet name="Obligations" sheetId="5" r:id="rId12"/>
    <sheet name="DCF Growth Rates" sheetId="6" r:id="rId13"/>
    <sheet name="DuPont" sheetId="11" r:id="rId14"/>
    <sheet name="Dividend Growth Model" sheetId="17" r:id="rId15"/>
  </sheets>
  <externalReferences>
    <externalReference r:id="rId16"/>
  </externalReferences>
  <definedNames>
    <definedName name="AS2DocOpenMode" hidden="1">"AS2DocumentEdit"</definedName>
    <definedName name="BalSheet" localSheetId="8" hidden="1">{"closed",#N/A,FALSE,"Consolidated Products - Budget";"expanded",#N/A,FALSE,"Consolidated Products - Budget"}</definedName>
    <definedName name="BalSheet" hidden="1">{"closed",#N/A,FALSE,"Consolidated Products - Budget";"expanded",#N/A,FALSE,"Consolidated Products - Budget"}</definedName>
    <definedName name="BS" localSheetId="8" hidden="1">{"closed",#N/A,FALSE,"Consolidated Products - Budget";"expanded",#N/A,FALSE,"Consolidated Products - Budget"}</definedName>
    <definedName name="BS" hidden="1">{"closed",#N/A,FALSE,"Consolidated Products - Budget";"expanded",#N/A,FALSE,"Consolidated Products - Budget"}</definedName>
    <definedName name="Cash" localSheetId="8" hidden="1">{"closed",#N/A,FALSE,"Consolidated Products - Budget";"expanded",#N/A,FALSE,"Consolidated Products - Budget"}</definedName>
    <definedName name="Cash" hidden="1">{"closed",#N/A,FALSE,"Consolidated Products - Budget";"expanded",#N/A,FALSE,"Consolidated Products - Budget"}</definedName>
    <definedName name="MBV" localSheetId="8" hidden="1">{"closed",#N/A,FALSE,"Consolidated Products - Budget";"expanded",#N/A,FALSE,"Consolidated Products - Budget"}</definedName>
    <definedName name="MBV" hidden="1">{"closed",#N/A,FALSE,"Consolidated Products - Budget";"expanded",#N/A,FALSE,"Consolidated Products - Budget"}</definedName>
    <definedName name="Pivot2" localSheetId="8" hidden="1">{"closed",#N/A,FALSE,"Consolidated Products - Budget";"expanded",#N/A,FALSE,"Consolidated Products - Budget"}</definedName>
    <definedName name="Pivot2" hidden="1">{"closed",#N/A,FALSE,"Consolidated Products - Budget";"expanded",#N/A,FALSE,"Consolidated Products - Budget"}</definedName>
    <definedName name="PivotTable5.doc" localSheetId="8" hidden="1">#REF!</definedName>
    <definedName name="PivotTable5.doc" hidden="1">#REF!</definedName>
    <definedName name="PivotTable8.doc" localSheetId="8" hidden="1">#REF!</definedName>
    <definedName name="PivotTable8.doc" hidden="1">#REF!</definedName>
    <definedName name="solver_eng" localSheetId="4" hidden="1">1</definedName>
    <definedName name="solver_neg" localSheetId="4" hidden="1">1</definedName>
    <definedName name="solver_num" localSheetId="4" hidden="1">0</definedName>
    <definedName name="solver_opt" localSheetId="4" hidden="1">DCF!#REF!</definedName>
    <definedName name="solver_typ" localSheetId="4" hidden="1">1</definedName>
    <definedName name="solver_val" localSheetId="4" hidden="1">0</definedName>
    <definedName name="solver_ver" localSheetId="4" hidden="1">3</definedName>
    <definedName name="summary" localSheetId="8" hidden="1">{"closed",#N/A,FALSE,"Consolidated Products - Budget";"expanded",#N/A,FALSE,"Consolidated Products - Budget"}</definedName>
    <definedName name="summary" hidden="1">{"closed",#N/A,FALSE,"Consolidated Products - Budget";"expanded",#N/A,FALSE,"Consolidated Products - Budget"}</definedName>
    <definedName name="wrn.prodcon." localSheetId="8" hidden="1">{"closed",#N/A,FALSE,"Consolidated Products - Budget";"expanded",#N/A,FALSE,"Consolidated Products - Budget"}</definedName>
    <definedName name="wrn.prodcon." hidden="1">{"closed",#N/A,FALSE,"Consolidated Products - Budget";"expanded",#N/A,FALSE,"Consolidated Products - Budget"}</definedName>
    <definedName name="XRefCopy1" localSheetId="8" hidden="1">#REF!</definedName>
    <definedName name="XRefCopy1" hidden="1">#REF!</definedName>
    <definedName name="XRefCopy2" localSheetId="8" hidden="1">#REF!</definedName>
    <definedName name="XRefCopy2" hidden="1">#REF!</definedName>
    <definedName name="XRefCopyRangeCount" hidden="1">2</definedName>
  </definedNames>
  <calcPr calcId="144525"/>
</workbook>
</file>

<file path=xl/calcChain.xml><?xml version="1.0" encoding="utf-8"?>
<calcChain xmlns="http://schemas.openxmlformats.org/spreadsheetml/2006/main">
  <c r="G47" i="16" l="1"/>
  <c r="J27" i="12"/>
  <c r="J29" i="18"/>
  <c r="L40" i="16" l="1"/>
  <c r="L39" i="16"/>
  <c r="Q11" i="12" l="1"/>
  <c r="T23" i="16" l="1"/>
  <c r="U23" i="16"/>
  <c r="V23" i="16"/>
  <c r="W23" i="16"/>
  <c r="S23" i="16"/>
  <c r="S26" i="16"/>
  <c r="S34" i="16" l="1"/>
  <c r="T34" i="16"/>
  <c r="U34" i="16"/>
  <c r="V34" i="16"/>
  <c r="W34" i="16"/>
  <c r="C15" i="16"/>
  <c r="C14" i="16"/>
  <c r="C63" i="6" s="1"/>
  <c r="C10" i="16"/>
  <c r="C9" i="16"/>
  <c r="C34" i="16"/>
  <c r="C42" i="16"/>
  <c r="D68" i="6"/>
  <c r="E68" i="6"/>
  <c r="F68" i="6"/>
  <c r="G68" i="6"/>
  <c r="C68" i="6"/>
  <c r="D33" i="16" l="1"/>
  <c r="E33" i="16"/>
  <c r="F33" i="16"/>
  <c r="G33" i="16"/>
  <c r="D34" i="16"/>
  <c r="E34" i="16"/>
  <c r="F34" i="16"/>
  <c r="G34" i="16"/>
  <c r="C33" i="16"/>
  <c r="S15" i="16" l="1"/>
  <c r="C39" i="6" l="1"/>
  <c r="D37" i="11"/>
  <c r="C37" i="11"/>
  <c r="C35" i="11"/>
  <c r="E37" i="11"/>
  <c r="F37" i="11"/>
  <c r="G37" i="11"/>
  <c r="D36" i="11"/>
  <c r="E36" i="11"/>
  <c r="F36" i="11"/>
  <c r="G36" i="11"/>
  <c r="C36" i="11"/>
  <c r="D35" i="11"/>
  <c r="E35" i="11"/>
  <c r="F35" i="11"/>
  <c r="G35" i="11"/>
  <c r="C34" i="11"/>
  <c r="C33" i="11"/>
  <c r="E32" i="11"/>
  <c r="E33" i="11" s="1"/>
  <c r="F32" i="11"/>
  <c r="F33" i="11" s="1"/>
  <c r="G32" i="11"/>
  <c r="G33" i="11" s="1"/>
  <c r="D32" i="11"/>
  <c r="D33" i="11" s="1"/>
  <c r="C32" i="11"/>
  <c r="E29" i="11"/>
  <c r="G29" i="11"/>
  <c r="C29" i="11"/>
  <c r="D28" i="11"/>
  <c r="D29" i="11" s="1"/>
  <c r="E28" i="11"/>
  <c r="F28" i="11"/>
  <c r="F29" i="11" s="1"/>
  <c r="G28" i="11"/>
  <c r="C28" i="11"/>
  <c r="E27" i="11"/>
  <c r="F27" i="11"/>
  <c r="G27" i="11"/>
  <c r="D27" i="11"/>
  <c r="C27" i="11"/>
  <c r="C8" i="11"/>
  <c r="D26" i="11"/>
  <c r="E26" i="11"/>
  <c r="F26" i="11"/>
  <c r="G26" i="11"/>
  <c r="C26" i="11"/>
  <c r="D25" i="11"/>
  <c r="E25" i="11"/>
  <c r="F25" i="11"/>
  <c r="G25" i="11"/>
  <c r="C25" i="11"/>
  <c r="C15" i="11"/>
  <c r="C24" i="11"/>
  <c r="D24" i="11"/>
  <c r="E24" i="11"/>
  <c r="F24" i="11"/>
  <c r="G24" i="11"/>
  <c r="D23" i="11"/>
  <c r="E23" i="11"/>
  <c r="F23" i="11"/>
  <c r="G23" i="11"/>
  <c r="C23" i="11"/>
  <c r="D15" i="11"/>
  <c r="E15" i="11"/>
  <c r="F15" i="11"/>
  <c r="G15" i="11"/>
  <c r="C14" i="11"/>
  <c r="D14" i="11"/>
  <c r="E14" i="11"/>
  <c r="F14" i="11"/>
  <c r="G14" i="11"/>
  <c r="F34" i="11" l="1"/>
  <c r="G34" i="11"/>
  <c r="D34" i="11"/>
  <c r="E34" i="11"/>
  <c r="B1" i="18"/>
  <c r="C6" i="18" s="1"/>
  <c r="B2" i="18"/>
  <c r="C7" i="18" s="1"/>
  <c r="Q8" i="18"/>
  <c r="Q9" i="18"/>
  <c r="Q10" i="18"/>
  <c r="J11" i="18"/>
  <c r="Q11" i="18"/>
  <c r="K11" i="18" s="1"/>
  <c r="Q12" i="18"/>
  <c r="C8" i="18" s="1"/>
  <c r="Q13" i="18"/>
  <c r="K19" i="18" s="1"/>
  <c r="Q14" i="18"/>
  <c r="K23" i="18" s="1"/>
  <c r="J15" i="18"/>
  <c r="Q15" i="18"/>
  <c r="Q16" i="18"/>
  <c r="Q17" i="18"/>
  <c r="Q18" i="18"/>
  <c r="J19" i="18"/>
  <c r="J23" i="18"/>
  <c r="J27" i="18"/>
  <c r="N28" i="18"/>
  <c r="L11" i="18" l="1"/>
  <c r="M11" i="18" s="1"/>
  <c r="L19" i="18"/>
  <c r="M19" i="18" s="1"/>
  <c r="L23" i="18"/>
  <c r="M23" i="18" s="1"/>
  <c r="K6" i="18"/>
  <c r="K27" i="18"/>
  <c r="L27" i="18" s="1"/>
  <c r="M27" i="18" s="1"/>
  <c r="K15" i="18"/>
  <c r="L15" i="18" s="1"/>
  <c r="M15" i="18" s="1"/>
  <c r="N29" i="18" l="1"/>
  <c r="D9" i="11"/>
  <c r="E9" i="11"/>
  <c r="F9" i="11"/>
  <c r="G9" i="11"/>
  <c r="C9" i="11"/>
  <c r="D8" i="11" l="1"/>
  <c r="E8" i="11"/>
  <c r="F8" i="11"/>
  <c r="G8" i="11"/>
  <c r="I42" i="16" l="1"/>
  <c r="I23" i="16"/>
  <c r="J23" i="16"/>
  <c r="H23" i="16"/>
  <c r="D23" i="16"/>
  <c r="E23" i="16"/>
  <c r="F23" i="16"/>
  <c r="G23" i="16"/>
  <c r="C23" i="16"/>
  <c r="P17" i="3"/>
  <c r="I17" i="3"/>
  <c r="J17" i="3"/>
  <c r="K17" i="3"/>
  <c r="L17" i="3"/>
  <c r="M17" i="3"/>
  <c r="N17" i="3"/>
  <c r="O17" i="3"/>
  <c r="D17" i="3"/>
  <c r="E17" i="3"/>
  <c r="F17" i="3"/>
  <c r="G17" i="3"/>
  <c r="C17" i="3"/>
  <c r="G26" i="16"/>
  <c r="G28" i="16"/>
  <c r="J16" i="16"/>
  <c r="Q18" i="12" l="1"/>
  <c r="Q13" i="12"/>
  <c r="J11" i="12"/>
  <c r="D16" i="16"/>
  <c r="J42" i="16"/>
  <c r="Q36" i="16"/>
  <c r="G15" i="16"/>
  <c r="G14" i="13"/>
  <c r="B85" i="6"/>
  <c r="A85" i="6"/>
  <c r="B79" i="6"/>
  <c r="C79" i="6"/>
  <c r="D79" i="6"/>
  <c r="E79" i="6"/>
  <c r="F79" i="6"/>
  <c r="G79" i="6"/>
  <c r="B106" i="6"/>
  <c r="B111" i="6"/>
  <c r="I9" i="17"/>
  <c r="I7" i="9"/>
  <c r="J7" i="9"/>
  <c r="K7" i="9"/>
  <c r="L7" i="9"/>
  <c r="M7" i="9"/>
  <c r="B68" i="6" l="1"/>
  <c r="B63" i="6"/>
  <c r="A79" i="6"/>
  <c r="B73" i="6"/>
  <c r="B101" i="6"/>
  <c r="B96" i="6"/>
  <c r="B91" i="6"/>
  <c r="H116" i="6"/>
  <c r="B116" i="6"/>
  <c r="B58" i="6"/>
  <c r="B53" i="6"/>
  <c r="B48" i="6"/>
  <c r="D82" i="6" l="1"/>
  <c r="E82" i="6"/>
  <c r="F82" i="6"/>
  <c r="G82" i="6"/>
  <c r="B43" i="6"/>
  <c r="C26" i="16"/>
  <c r="C85" i="6" s="1"/>
  <c r="B38" i="6"/>
  <c r="D38" i="6"/>
  <c r="E38" i="6"/>
  <c r="F38" i="6"/>
  <c r="G38" i="6"/>
  <c r="C38" i="6"/>
  <c r="C18" i="16"/>
  <c r="B9" i="6"/>
  <c r="D9" i="6"/>
  <c r="E9" i="6"/>
  <c r="F9" i="6"/>
  <c r="G9" i="6"/>
  <c r="C9" i="6"/>
  <c r="C33" i="6"/>
  <c r="D33" i="6"/>
  <c r="E33" i="6"/>
  <c r="F33" i="6"/>
  <c r="G33" i="6"/>
  <c r="B33" i="6"/>
  <c r="B16" i="16"/>
  <c r="C28" i="6"/>
  <c r="D28" i="6"/>
  <c r="E28" i="6"/>
  <c r="F28" i="6"/>
  <c r="G28" i="6"/>
  <c r="B28" i="6"/>
  <c r="B15" i="16"/>
  <c r="C23" i="6"/>
  <c r="D23" i="6"/>
  <c r="E23" i="6"/>
  <c r="F23" i="6"/>
  <c r="G23" i="6"/>
  <c r="B23" i="6"/>
  <c r="B14" i="16"/>
  <c r="B18" i="6"/>
  <c r="C13" i="6"/>
  <c r="D13" i="6"/>
  <c r="E13" i="6"/>
  <c r="F13" i="6"/>
  <c r="G13" i="6"/>
  <c r="B13" i="6"/>
  <c r="B10" i="16"/>
  <c r="C28" i="16"/>
  <c r="C106" i="6" s="1"/>
  <c r="D11" i="5"/>
  <c r="C7" i="13"/>
  <c r="H14" i="13"/>
  <c r="H42" i="16"/>
  <c r="C101" i="6"/>
  <c r="D42" i="16"/>
  <c r="D101" i="6" s="1"/>
  <c r="E42" i="16"/>
  <c r="E101" i="6" s="1"/>
  <c r="F42" i="16"/>
  <c r="F101" i="6" s="1"/>
  <c r="G42" i="16"/>
  <c r="G101" i="6" s="1"/>
  <c r="Q43" i="16"/>
  <c r="C8" i="13"/>
  <c r="C13" i="13" s="1"/>
  <c r="AC16" i="4"/>
  <c r="AC15" i="4"/>
  <c r="AC10" i="4"/>
  <c r="S16" i="4"/>
  <c r="S15" i="4"/>
  <c r="S10"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P9" i="4"/>
  <c r="P10"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210" i="4"/>
  <c r="P211"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238" i="4"/>
  <c r="P239" i="4"/>
  <c r="P240" i="4"/>
  <c r="P241" i="4"/>
  <c r="P242" i="4"/>
  <c r="P243" i="4"/>
  <c r="P244" i="4"/>
  <c r="P245" i="4"/>
  <c r="P246" i="4"/>
  <c r="P247" i="4"/>
  <c r="P248" i="4"/>
  <c r="P249" i="4"/>
  <c r="P250" i="4"/>
  <c r="P251" i="4"/>
  <c r="P252" i="4"/>
  <c r="P253" i="4"/>
  <c r="P254" i="4"/>
  <c r="P255" i="4"/>
  <c r="P256" i="4"/>
  <c r="P257" i="4"/>
  <c r="P258" i="4"/>
  <c r="P259" i="4"/>
  <c r="P260" i="4"/>
  <c r="P261" i="4"/>
  <c r="P262" i="4"/>
  <c r="P263" i="4"/>
  <c r="P264" i="4"/>
  <c r="P265" i="4"/>
  <c r="P266" i="4"/>
  <c r="N9" i="4"/>
  <c r="N10" i="4"/>
  <c r="N11" i="4"/>
  <c r="N12" i="4"/>
  <c r="N13" i="4"/>
  <c r="N14" i="4"/>
  <c r="N15" i="4"/>
  <c r="N16" i="4"/>
  <c r="N17"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46" i="4"/>
  <c r="N47" i="4"/>
  <c r="N48" i="4"/>
  <c r="N49" i="4"/>
  <c r="N50" i="4"/>
  <c r="N51" i="4"/>
  <c r="N52" i="4"/>
  <c r="N53" i="4"/>
  <c r="N54" i="4"/>
  <c r="N55" i="4"/>
  <c r="N56" i="4"/>
  <c r="N57" i="4"/>
  <c r="N58" i="4"/>
  <c r="N59" i="4"/>
  <c r="N60" i="4"/>
  <c r="N61" i="4"/>
  <c r="N62" i="4"/>
  <c r="N63" i="4"/>
  <c r="N64" i="4"/>
  <c r="N65" i="4"/>
  <c r="N66" i="4"/>
  <c r="N67" i="4"/>
  <c r="N68" i="4"/>
  <c r="N69" i="4"/>
  <c r="N70" i="4"/>
  <c r="N71" i="4"/>
  <c r="N72" i="4"/>
  <c r="N73" i="4"/>
  <c r="N74" i="4"/>
  <c r="N75" i="4"/>
  <c r="N76" i="4"/>
  <c r="N77" i="4"/>
  <c r="N78" i="4"/>
  <c r="N79" i="4"/>
  <c r="N80" i="4"/>
  <c r="N81" i="4"/>
  <c r="N82" i="4"/>
  <c r="N83" i="4"/>
  <c r="N84" i="4"/>
  <c r="N85" i="4"/>
  <c r="N86" i="4"/>
  <c r="N87" i="4"/>
  <c r="N88" i="4"/>
  <c r="N89" i="4"/>
  <c r="N90" i="4"/>
  <c r="N91" i="4"/>
  <c r="N92" i="4"/>
  <c r="N93" i="4"/>
  <c r="N94" i="4"/>
  <c r="N95" i="4"/>
  <c r="N96" i="4"/>
  <c r="N97" i="4"/>
  <c r="N98" i="4"/>
  <c r="N99" i="4"/>
  <c r="N100" i="4"/>
  <c r="N101" i="4"/>
  <c r="N102" i="4"/>
  <c r="N103" i="4"/>
  <c r="N104" i="4"/>
  <c r="N105" i="4"/>
  <c r="N106" i="4"/>
  <c r="N107" i="4"/>
  <c r="N108" i="4"/>
  <c r="N109" i="4"/>
  <c r="N110" i="4"/>
  <c r="N111" i="4"/>
  <c r="N112" i="4"/>
  <c r="N113" i="4"/>
  <c r="N114" i="4"/>
  <c r="N115" i="4"/>
  <c r="N116" i="4"/>
  <c r="N117" i="4"/>
  <c r="N118" i="4"/>
  <c r="N119" i="4"/>
  <c r="N120" i="4"/>
  <c r="N121" i="4"/>
  <c r="N122" i="4"/>
  <c r="N123" i="4"/>
  <c r="N124" i="4"/>
  <c r="N125" i="4"/>
  <c r="N126" i="4"/>
  <c r="N127" i="4"/>
  <c r="N128" i="4"/>
  <c r="N129" i="4"/>
  <c r="N130" i="4"/>
  <c r="N131" i="4"/>
  <c r="N132" i="4"/>
  <c r="N133" i="4"/>
  <c r="N134" i="4"/>
  <c r="N135"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205" i="4"/>
  <c r="N206" i="4"/>
  <c r="N207" i="4"/>
  <c r="N208" i="4"/>
  <c r="N209" i="4"/>
  <c r="N210"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240" i="4"/>
  <c r="N241" i="4"/>
  <c r="N242" i="4"/>
  <c r="N243" i="4"/>
  <c r="N244" i="4"/>
  <c r="N245" i="4"/>
  <c r="N246" i="4"/>
  <c r="N247" i="4"/>
  <c r="N248" i="4"/>
  <c r="N249" i="4"/>
  <c r="N250" i="4"/>
  <c r="N251" i="4"/>
  <c r="N252" i="4"/>
  <c r="N253" i="4"/>
  <c r="N254" i="4"/>
  <c r="N255" i="4"/>
  <c r="N256" i="4"/>
  <c r="N257" i="4"/>
  <c r="N258" i="4"/>
  <c r="N259" i="4"/>
  <c r="N260" i="4"/>
  <c r="N261" i="4"/>
  <c r="N262" i="4"/>
  <c r="N263" i="4"/>
  <c r="N264" i="4"/>
  <c r="N265" i="4"/>
  <c r="N266" i="4"/>
  <c r="Z9" i="4"/>
  <c r="Z10" i="4"/>
  <c r="Z11" i="4"/>
  <c r="Z12" i="4"/>
  <c r="Z13" i="4"/>
  <c r="Z14" i="4"/>
  <c r="Z15" i="4"/>
  <c r="Z16" i="4"/>
  <c r="Z17" i="4"/>
  <c r="Z18" i="4"/>
  <c r="Z19" i="4"/>
  <c r="Z20" i="4"/>
  <c r="Z21" i="4"/>
  <c r="Z22" i="4"/>
  <c r="Z23" i="4"/>
  <c r="Z24" i="4"/>
  <c r="Z25" i="4"/>
  <c r="Z26" i="4"/>
  <c r="Z27" i="4"/>
  <c r="Z28" i="4"/>
  <c r="Z29" i="4"/>
  <c r="Z30" i="4"/>
  <c r="Z31" i="4"/>
  <c r="Z32" i="4"/>
  <c r="Z33" i="4"/>
  <c r="Z34" i="4"/>
  <c r="Z35" i="4"/>
  <c r="Z36" i="4"/>
  <c r="Z37" i="4"/>
  <c r="Z38" i="4"/>
  <c r="Z39" i="4"/>
  <c r="Z40" i="4"/>
  <c r="Z41" i="4"/>
  <c r="Z42" i="4"/>
  <c r="Z43" i="4"/>
  <c r="Z44" i="4"/>
  <c r="Z45" i="4"/>
  <c r="Z46" i="4"/>
  <c r="Z47" i="4"/>
  <c r="Z48" i="4"/>
  <c r="Z49" i="4"/>
  <c r="Z50" i="4"/>
  <c r="Z51" i="4"/>
  <c r="Z52" i="4"/>
  <c r="Z53" i="4"/>
  <c r="Z54" i="4"/>
  <c r="Z55" i="4"/>
  <c r="Z56" i="4"/>
  <c r="Z57" i="4"/>
  <c r="Z58" i="4"/>
  <c r="Z59" i="4"/>
  <c r="Z60" i="4"/>
  <c r="Z61" i="4"/>
  <c r="Z62" i="4"/>
  <c r="Z63" i="4"/>
  <c r="Z64" i="4"/>
  <c r="Z65" i="4"/>
  <c r="Z66" i="4"/>
  <c r="Z67" i="4"/>
  <c r="Z68" i="4"/>
  <c r="Z69" i="4"/>
  <c r="Z70" i="4"/>
  <c r="Z71" i="4"/>
  <c r="Z72" i="4"/>
  <c r="Z73" i="4"/>
  <c r="Z74" i="4"/>
  <c r="Z75" i="4"/>
  <c r="Z76" i="4"/>
  <c r="Z77" i="4"/>
  <c r="Z78" i="4"/>
  <c r="Z79" i="4"/>
  <c r="Z80" i="4"/>
  <c r="Z81" i="4"/>
  <c r="Z82" i="4"/>
  <c r="Z83" i="4"/>
  <c r="Z84" i="4"/>
  <c r="Z85" i="4"/>
  <c r="Z86" i="4"/>
  <c r="Z87" i="4"/>
  <c r="Z88" i="4"/>
  <c r="Z89" i="4"/>
  <c r="Z90" i="4"/>
  <c r="Z91" i="4"/>
  <c r="Z92" i="4"/>
  <c r="Z93" i="4"/>
  <c r="Z94" i="4"/>
  <c r="Z95" i="4"/>
  <c r="Z96" i="4"/>
  <c r="Z97" i="4"/>
  <c r="Z98" i="4"/>
  <c r="Z99" i="4"/>
  <c r="Z100" i="4"/>
  <c r="Z101" i="4"/>
  <c r="Z102" i="4"/>
  <c r="Z103" i="4"/>
  <c r="Z104" i="4"/>
  <c r="Z105" i="4"/>
  <c r="Z106" i="4"/>
  <c r="Z107" i="4"/>
  <c r="Z108" i="4"/>
  <c r="Z109" i="4"/>
  <c r="Z110" i="4"/>
  <c r="Z111" i="4"/>
  <c r="Z112" i="4"/>
  <c r="Z113" i="4"/>
  <c r="Z114" i="4"/>
  <c r="Z115" i="4"/>
  <c r="Z116" i="4"/>
  <c r="Z117" i="4"/>
  <c r="Z118" i="4"/>
  <c r="Z119" i="4"/>
  <c r="Z120" i="4"/>
  <c r="Z121" i="4"/>
  <c r="Z122" i="4"/>
  <c r="Z123" i="4"/>
  <c r="Z124" i="4"/>
  <c r="Z125" i="4"/>
  <c r="Z126" i="4"/>
  <c r="Z127" i="4"/>
  <c r="Z128" i="4"/>
  <c r="Z129" i="4"/>
  <c r="Z130" i="4"/>
  <c r="Z131" i="4"/>
  <c r="Z132" i="4"/>
  <c r="Z133" i="4"/>
  <c r="Z134" i="4"/>
  <c r="Z135" i="4"/>
  <c r="Z136" i="4"/>
  <c r="Z137" i="4"/>
  <c r="Z138" i="4"/>
  <c r="Z139" i="4"/>
  <c r="Z140" i="4"/>
  <c r="Z141" i="4"/>
  <c r="Z142" i="4"/>
  <c r="Z143" i="4"/>
  <c r="Z144" i="4"/>
  <c r="Z145" i="4"/>
  <c r="Z146" i="4"/>
  <c r="Z147" i="4"/>
  <c r="Z148" i="4"/>
  <c r="Z149" i="4"/>
  <c r="Z150" i="4"/>
  <c r="Z151" i="4"/>
  <c r="Z152" i="4"/>
  <c r="Z153" i="4"/>
  <c r="Z154" i="4"/>
  <c r="Z155" i="4"/>
  <c r="Z156" i="4"/>
  <c r="Z157" i="4"/>
  <c r="Z158" i="4"/>
  <c r="Z159" i="4"/>
  <c r="Z160" i="4"/>
  <c r="Z161" i="4"/>
  <c r="Z162" i="4"/>
  <c r="Z163" i="4"/>
  <c r="Z164" i="4"/>
  <c r="Z165" i="4"/>
  <c r="Z166" i="4"/>
  <c r="Z167" i="4"/>
  <c r="Z168" i="4"/>
  <c r="Z169" i="4"/>
  <c r="Z170" i="4"/>
  <c r="Z171" i="4"/>
  <c r="Z172" i="4"/>
  <c r="Z173" i="4"/>
  <c r="Z174" i="4"/>
  <c r="Z175" i="4"/>
  <c r="Z176" i="4"/>
  <c r="Z177" i="4"/>
  <c r="Z178" i="4"/>
  <c r="Z179" i="4"/>
  <c r="Z180" i="4"/>
  <c r="Z181" i="4"/>
  <c r="Z182" i="4"/>
  <c r="Z183" i="4"/>
  <c r="Z184" i="4"/>
  <c r="Z185" i="4"/>
  <c r="Z186" i="4"/>
  <c r="Z187" i="4"/>
  <c r="Z188" i="4"/>
  <c r="Z189" i="4"/>
  <c r="Z190" i="4"/>
  <c r="Z191" i="4"/>
  <c r="Z192" i="4"/>
  <c r="Z193" i="4"/>
  <c r="Z194" i="4"/>
  <c r="Z195" i="4"/>
  <c r="Z196" i="4"/>
  <c r="Z197" i="4"/>
  <c r="Z198" i="4"/>
  <c r="Z199" i="4"/>
  <c r="Z200" i="4"/>
  <c r="Z201" i="4"/>
  <c r="Z202" i="4"/>
  <c r="Z203" i="4"/>
  <c r="Z204" i="4"/>
  <c r="Z205" i="4"/>
  <c r="Z206" i="4"/>
  <c r="Z207" i="4"/>
  <c r="Z208" i="4"/>
  <c r="Z209" i="4"/>
  <c r="Z210" i="4"/>
  <c r="Z211" i="4"/>
  <c r="Z212" i="4"/>
  <c r="Z213" i="4"/>
  <c r="Z214" i="4"/>
  <c r="Z215" i="4"/>
  <c r="Z216" i="4"/>
  <c r="Z217" i="4"/>
  <c r="Z218" i="4"/>
  <c r="Z219" i="4"/>
  <c r="Z220" i="4"/>
  <c r="Z221" i="4"/>
  <c r="Z222" i="4"/>
  <c r="Z223" i="4"/>
  <c r="Z224" i="4"/>
  <c r="Z225" i="4"/>
  <c r="Z226" i="4"/>
  <c r="Z227" i="4"/>
  <c r="Z228" i="4"/>
  <c r="Z229" i="4"/>
  <c r="Z230" i="4"/>
  <c r="Z231" i="4"/>
  <c r="Z232" i="4"/>
  <c r="Z233" i="4"/>
  <c r="Z234" i="4"/>
  <c r="Z235" i="4"/>
  <c r="Z236" i="4"/>
  <c r="Z237" i="4"/>
  <c r="Z238" i="4"/>
  <c r="Z239" i="4"/>
  <c r="Z240" i="4"/>
  <c r="Z241" i="4"/>
  <c r="Z242" i="4"/>
  <c r="Z243" i="4"/>
  <c r="Z244" i="4"/>
  <c r="Z245" i="4"/>
  <c r="Z246" i="4"/>
  <c r="Z247" i="4"/>
  <c r="Z248" i="4"/>
  <c r="Z249" i="4"/>
  <c r="Z250" i="4"/>
  <c r="Z251" i="4"/>
  <c r="Z252" i="4"/>
  <c r="Z253" i="4"/>
  <c r="Z254" i="4"/>
  <c r="Z255" i="4"/>
  <c r="Z256" i="4"/>
  <c r="Z257" i="4"/>
  <c r="Z258" i="4"/>
  <c r="Z259" i="4"/>
  <c r="Z260" i="4"/>
  <c r="Z261" i="4"/>
  <c r="Z262" i="4"/>
  <c r="Z263" i="4"/>
  <c r="Z264" i="4"/>
  <c r="Z265" i="4"/>
  <c r="Z266" i="4"/>
  <c r="Z267" i="4"/>
  <c r="Z268" i="4"/>
  <c r="Z269" i="4"/>
  <c r="Z270" i="4"/>
  <c r="Z271" i="4"/>
  <c r="Z272" i="4"/>
  <c r="Z273" i="4"/>
  <c r="Z274" i="4"/>
  <c r="Z275" i="4"/>
  <c r="Z276" i="4"/>
  <c r="Z277" i="4"/>
  <c r="Z278" i="4"/>
  <c r="Z279" i="4"/>
  <c r="Z280" i="4"/>
  <c r="Z281" i="4"/>
  <c r="Z282" i="4"/>
  <c r="Z283" i="4"/>
  <c r="Z284" i="4"/>
  <c r="Z285" i="4"/>
  <c r="Z286" i="4"/>
  <c r="Z287" i="4"/>
  <c r="Z288" i="4"/>
  <c r="Z289" i="4"/>
  <c r="Z290" i="4"/>
  <c r="Z291" i="4"/>
  <c r="Z292" i="4"/>
  <c r="Z293" i="4"/>
  <c r="Z294" i="4"/>
  <c r="Z295" i="4"/>
  <c r="Z296" i="4"/>
  <c r="Z297" i="4"/>
  <c r="Z298" i="4"/>
  <c r="Z299" i="4"/>
  <c r="Z300" i="4"/>
  <c r="Z301" i="4"/>
  <c r="Z302" i="4"/>
  <c r="Z303" i="4"/>
  <c r="Z304" i="4"/>
  <c r="Z305" i="4"/>
  <c r="Z306" i="4"/>
  <c r="Z307" i="4"/>
  <c r="Z308" i="4"/>
  <c r="Z309" i="4"/>
  <c r="Z310" i="4"/>
  <c r="Z311" i="4"/>
  <c r="Z312" i="4"/>
  <c r="Z313" i="4"/>
  <c r="Z314" i="4"/>
  <c r="Z315" i="4"/>
  <c r="Z316" i="4"/>
  <c r="Z317" i="4"/>
  <c r="Z318" i="4"/>
  <c r="Z319" i="4"/>
  <c r="Z320" i="4"/>
  <c r="Z321" i="4"/>
  <c r="Z322" i="4"/>
  <c r="Z323" i="4"/>
  <c r="Z324" i="4"/>
  <c r="Z325" i="4"/>
  <c r="Z326" i="4"/>
  <c r="Z327" i="4"/>
  <c r="Z328" i="4"/>
  <c r="Z329" i="4"/>
  <c r="Z330" i="4"/>
  <c r="Z331" i="4"/>
  <c r="Z332" i="4"/>
  <c r="Z333" i="4"/>
  <c r="Z334" i="4"/>
  <c r="Z335" i="4"/>
  <c r="Z336" i="4"/>
  <c r="Z337" i="4"/>
  <c r="Z338" i="4"/>
  <c r="Z339" i="4"/>
  <c r="Z340" i="4"/>
  <c r="Z341" i="4"/>
  <c r="Z342" i="4"/>
  <c r="Z343" i="4"/>
  <c r="Z344" i="4"/>
  <c r="Z345" i="4"/>
  <c r="Z346" i="4"/>
  <c r="Z347" i="4"/>
  <c r="Z348" i="4"/>
  <c r="Z349" i="4"/>
  <c r="Z350" i="4"/>
  <c r="Z351" i="4"/>
  <c r="Z352" i="4"/>
  <c r="Z353" i="4"/>
  <c r="Z354" i="4"/>
  <c r="Z355" i="4"/>
  <c r="Z356" i="4"/>
  <c r="Z357" i="4"/>
  <c r="Z358" i="4"/>
  <c r="Z359" i="4"/>
  <c r="Z360" i="4"/>
  <c r="Z361" i="4"/>
  <c r="Z362" i="4"/>
  <c r="Z363" i="4"/>
  <c r="Z364" i="4"/>
  <c r="Z365" i="4"/>
  <c r="Z366" i="4"/>
  <c r="Z367" i="4"/>
  <c r="Z368" i="4"/>
  <c r="Z369" i="4"/>
  <c r="Z370" i="4"/>
  <c r="Z371" i="4"/>
  <c r="Z372" i="4"/>
  <c r="Z373" i="4"/>
  <c r="Z374" i="4"/>
  <c r="Z375" i="4"/>
  <c r="Z376" i="4"/>
  <c r="Z377" i="4"/>
  <c r="Z378" i="4"/>
  <c r="Z379" i="4"/>
  <c r="Z380" i="4"/>
  <c r="Z381" i="4"/>
  <c r="Z382" i="4"/>
  <c r="Z383" i="4"/>
  <c r="Z384" i="4"/>
  <c r="Z385" i="4"/>
  <c r="Z386" i="4"/>
  <c r="Z387" i="4"/>
  <c r="Z388" i="4"/>
  <c r="Z389" i="4"/>
  <c r="Z390" i="4"/>
  <c r="Z391" i="4"/>
  <c r="Z392" i="4"/>
  <c r="Z393" i="4"/>
  <c r="Z394" i="4"/>
  <c r="Z395" i="4"/>
  <c r="Z396" i="4"/>
  <c r="Z397" i="4"/>
  <c r="Z398" i="4"/>
  <c r="Z399" i="4"/>
  <c r="Z400" i="4"/>
  <c r="Z401" i="4"/>
  <c r="Z402" i="4"/>
  <c r="Z403" i="4"/>
  <c r="Z404" i="4"/>
  <c r="Z405" i="4"/>
  <c r="Z406" i="4"/>
  <c r="Z407" i="4"/>
  <c r="Z408" i="4"/>
  <c r="Z409" i="4"/>
  <c r="Z410" i="4"/>
  <c r="Z411" i="4"/>
  <c r="Z412" i="4"/>
  <c r="Z413" i="4"/>
  <c r="Z414" i="4"/>
  <c r="Z415" i="4"/>
  <c r="Z416" i="4"/>
  <c r="Z417" i="4"/>
  <c r="Z418" i="4"/>
  <c r="Z419" i="4"/>
  <c r="Z420" i="4"/>
  <c r="Z421" i="4"/>
  <c r="Z422" i="4"/>
  <c r="Z423" i="4"/>
  <c r="Z424" i="4"/>
  <c r="Z425" i="4"/>
  <c r="Z426" i="4"/>
  <c r="Z427" i="4"/>
  <c r="Z428" i="4"/>
  <c r="Z429" i="4"/>
  <c r="Z430" i="4"/>
  <c r="Z431" i="4"/>
  <c r="Z432" i="4"/>
  <c r="Z433" i="4"/>
  <c r="Z434" i="4"/>
  <c r="Z435" i="4"/>
  <c r="Z436" i="4"/>
  <c r="Z437" i="4"/>
  <c r="Z438" i="4"/>
  <c r="Z439" i="4"/>
  <c r="Z440" i="4"/>
  <c r="Z441" i="4"/>
  <c r="Z442" i="4"/>
  <c r="Z443" i="4"/>
  <c r="Z444" i="4"/>
  <c r="Z445" i="4"/>
  <c r="Z446" i="4"/>
  <c r="Z447" i="4"/>
  <c r="Z448" i="4"/>
  <c r="Z449" i="4"/>
  <c r="Z450" i="4"/>
  <c r="Z451" i="4"/>
  <c r="Z452" i="4"/>
  <c r="Z453" i="4"/>
  <c r="Z454" i="4"/>
  <c r="Z455" i="4"/>
  <c r="Z456" i="4"/>
  <c r="Z457" i="4"/>
  <c r="Z458" i="4"/>
  <c r="Z459" i="4"/>
  <c r="Z460" i="4"/>
  <c r="Z461" i="4"/>
  <c r="Z462" i="4"/>
  <c r="Z463" i="4"/>
  <c r="Z464" i="4"/>
  <c r="Z465" i="4"/>
  <c r="Z466" i="4"/>
  <c r="Z467" i="4"/>
  <c r="Z468" i="4"/>
  <c r="Z469" i="4"/>
  <c r="Z470" i="4"/>
  <c r="Z471" i="4"/>
  <c r="Z472" i="4"/>
  <c r="Z473" i="4"/>
  <c r="Z474" i="4"/>
  <c r="Z475" i="4"/>
  <c r="Z476" i="4"/>
  <c r="Z477" i="4"/>
  <c r="Z478" i="4"/>
  <c r="Z479" i="4"/>
  <c r="Z480" i="4"/>
  <c r="Z481" i="4"/>
  <c r="Z482" i="4"/>
  <c r="Z483" i="4"/>
  <c r="Z484" i="4"/>
  <c r="Z485" i="4"/>
  <c r="Z486" i="4"/>
  <c r="Z487" i="4"/>
  <c r="Z488" i="4"/>
  <c r="Z489" i="4"/>
  <c r="Z490" i="4"/>
  <c r="Z491" i="4"/>
  <c r="Z492" i="4"/>
  <c r="Z493" i="4"/>
  <c r="Z494" i="4"/>
  <c r="Z495" i="4"/>
  <c r="Z496" i="4"/>
  <c r="Z497" i="4"/>
  <c r="Z498" i="4"/>
  <c r="Z499" i="4"/>
  <c r="Z500" i="4"/>
  <c r="Z501" i="4"/>
  <c r="Z502" i="4"/>
  <c r="Z503" i="4"/>
  <c r="Z504" i="4"/>
  <c r="Z505" i="4"/>
  <c r="Z506" i="4"/>
  <c r="Z507" i="4"/>
  <c r="Z508" i="4"/>
  <c r="Z509" i="4"/>
  <c r="Z510" i="4"/>
  <c r="Z511" i="4"/>
  <c r="Z512" i="4"/>
  <c r="Z513" i="4"/>
  <c r="Z514" i="4"/>
  <c r="Z515" i="4"/>
  <c r="Z516" i="4"/>
  <c r="Z517" i="4"/>
  <c r="Z518" i="4"/>
  <c r="Z519" i="4"/>
  <c r="Z520" i="4"/>
  <c r="Z521" i="4"/>
  <c r="Z522" i="4"/>
  <c r="Z523" i="4"/>
  <c r="Z524" i="4"/>
  <c r="Z525" i="4"/>
  <c r="Z526" i="4"/>
  <c r="Z527" i="4"/>
  <c r="Z528" i="4"/>
  <c r="Z529" i="4"/>
  <c r="Z530" i="4"/>
  <c r="Z531" i="4"/>
  <c r="Z532" i="4"/>
  <c r="Z533" i="4"/>
  <c r="Z534" i="4"/>
  <c r="Z535" i="4"/>
  <c r="Z536" i="4"/>
  <c r="Z537" i="4"/>
  <c r="Z538" i="4"/>
  <c r="Z539" i="4"/>
  <c r="Z540" i="4"/>
  <c r="Z541" i="4"/>
  <c r="Z542" i="4"/>
  <c r="Z543" i="4"/>
  <c r="Z544" i="4"/>
  <c r="Z545" i="4"/>
  <c r="Z546" i="4"/>
  <c r="Z547" i="4"/>
  <c r="Z548" i="4"/>
  <c r="Z549" i="4"/>
  <c r="Z550" i="4"/>
  <c r="Z551" i="4"/>
  <c r="Z552" i="4"/>
  <c r="Z553" i="4"/>
  <c r="Z554" i="4"/>
  <c r="Z555" i="4"/>
  <c r="Z556" i="4"/>
  <c r="Z557" i="4"/>
  <c r="Z558" i="4"/>
  <c r="Z559" i="4"/>
  <c r="Z560" i="4"/>
  <c r="Z561" i="4"/>
  <c r="Z562" i="4"/>
  <c r="Z563" i="4"/>
  <c r="Z564" i="4"/>
  <c r="Z565" i="4"/>
  <c r="Z566" i="4"/>
  <c r="Z567" i="4"/>
  <c r="Z568" i="4"/>
  <c r="Z569" i="4"/>
  <c r="Z570" i="4"/>
  <c r="Z571" i="4"/>
  <c r="Z572" i="4"/>
  <c r="Z573" i="4"/>
  <c r="Z574" i="4"/>
  <c r="Z575" i="4"/>
  <c r="Z576" i="4"/>
  <c r="Z577" i="4"/>
  <c r="Z578" i="4"/>
  <c r="Z579" i="4"/>
  <c r="Z580" i="4"/>
  <c r="Z581" i="4"/>
  <c r="Z582" i="4"/>
  <c r="Z583" i="4"/>
  <c r="Z584" i="4"/>
  <c r="Z585" i="4"/>
  <c r="Z586" i="4"/>
  <c r="Z587" i="4"/>
  <c r="Z588" i="4"/>
  <c r="Z589" i="4"/>
  <c r="Z590" i="4"/>
  <c r="Z591" i="4"/>
  <c r="Z592" i="4"/>
  <c r="Z593" i="4"/>
  <c r="Z594" i="4"/>
  <c r="Z595" i="4"/>
  <c r="Z596" i="4"/>
  <c r="Z597" i="4"/>
  <c r="Z598" i="4"/>
  <c r="Z599" i="4"/>
  <c r="Z600" i="4"/>
  <c r="Z601" i="4"/>
  <c r="Z602" i="4"/>
  <c r="Z603" i="4"/>
  <c r="Z604" i="4"/>
  <c r="Z605" i="4"/>
  <c r="Z606" i="4"/>
  <c r="Z607" i="4"/>
  <c r="Z608" i="4"/>
  <c r="Z609" i="4"/>
  <c r="Z610" i="4"/>
  <c r="Z611" i="4"/>
  <c r="Z612" i="4"/>
  <c r="Z613" i="4"/>
  <c r="Z614" i="4"/>
  <c r="Z615" i="4"/>
  <c r="Z616" i="4"/>
  <c r="Z617" i="4"/>
  <c r="Z618" i="4"/>
  <c r="Z619" i="4"/>
  <c r="Z620" i="4"/>
  <c r="Z621" i="4"/>
  <c r="Z622" i="4"/>
  <c r="Z623" i="4"/>
  <c r="Z624" i="4"/>
  <c r="Z625" i="4"/>
  <c r="Z626" i="4"/>
  <c r="Z627" i="4"/>
  <c r="Z628" i="4"/>
  <c r="Z629" i="4"/>
  <c r="Z630" i="4"/>
  <c r="Z631" i="4"/>
  <c r="Z632" i="4"/>
  <c r="Z633" i="4"/>
  <c r="Z634" i="4"/>
  <c r="Z635" i="4"/>
  <c r="Z636" i="4"/>
  <c r="Z637" i="4"/>
  <c r="Z638" i="4"/>
  <c r="Z639" i="4"/>
  <c r="Z640" i="4"/>
  <c r="Z641" i="4"/>
  <c r="Z642" i="4"/>
  <c r="Z643" i="4"/>
  <c r="Z644" i="4"/>
  <c r="Z645" i="4"/>
  <c r="Z646" i="4"/>
  <c r="Z647" i="4"/>
  <c r="Z648" i="4"/>
  <c r="Z649" i="4"/>
  <c r="Z650" i="4"/>
  <c r="Z651" i="4"/>
  <c r="Z652" i="4"/>
  <c r="Z653" i="4"/>
  <c r="Z654" i="4"/>
  <c r="Z655" i="4"/>
  <c r="Z656" i="4"/>
  <c r="Z657" i="4"/>
  <c r="Z658" i="4"/>
  <c r="Z659" i="4"/>
  <c r="Z660" i="4"/>
  <c r="Z661" i="4"/>
  <c r="Z662" i="4"/>
  <c r="Z663" i="4"/>
  <c r="Z664" i="4"/>
  <c r="Z665" i="4"/>
  <c r="Z666" i="4"/>
  <c r="Z667" i="4"/>
  <c r="Z668" i="4"/>
  <c r="Z669" i="4"/>
  <c r="Z670" i="4"/>
  <c r="Z671" i="4"/>
  <c r="Z672" i="4"/>
  <c r="Z673" i="4"/>
  <c r="Z674" i="4"/>
  <c r="Z675" i="4"/>
  <c r="Z676" i="4"/>
  <c r="Z677" i="4"/>
  <c r="Z678" i="4"/>
  <c r="Z679" i="4"/>
  <c r="Z680" i="4"/>
  <c r="Z681" i="4"/>
  <c r="Z682" i="4"/>
  <c r="Z683" i="4"/>
  <c r="Z684" i="4"/>
  <c r="Z685" i="4"/>
  <c r="Z686" i="4"/>
  <c r="Z687" i="4"/>
  <c r="Z688" i="4"/>
  <c r="Z689" i="4"/>
  <c r="Z690" i="4"/>
  <c r="Z691" i="4"/>
  <c r="Z692" i="4"/>
  <c r="Z693" i="4"/>
  <c r="Z694" i="4"/>
  <c r="Z695" i="4"/>
  <c r="Z696" i="4"/>
  <c r="Z697" i="4"/>
  <c r="Z698" i="4"/>
  <c r="Z699" i="4"/>
  <c r="Z700" i="4"/>
  <c r="Z701" i="4"/>
  <c r="Z702" i="4"/>
  <c r="Z703" i="4"/>
  <c r="Z704" i="4"/>
  <c r="Z705" i="4"/>
  <c r="Z706" i="4"/>
  <c r="Z707" i="4"/>
  <c r="Z708" i="4"/>
  <c r="Z709" i="4"/>
  <c r="Z710" i="4"/>
  <c r="Z711" i="4"/>
  <c r="Z712" i="4"/>
  <c r="Z713" i="4"/>
  <c r="Z714" i="4"/>
  <c r="Z715" i="4"/>
  <c r="Z716" i="4"/>
  <c r="Z717" i="4"/>
  <c r="Z718" i="4"/>
  <c r="Z719" i="4"/>
  <c r="Z720" i="4"/>
  <c r="Z721" i="4"/>
  <c r="Z722" i="4"/>
  <c r="Z723" i="4"/>
  <c r="Z724" i="4"/>
  <c r="Z725" i="4"/>
  <c r="Z726" i="4"/>
  <c r="Z727" i="4"/>
  <c r="Z728" i="4"/>
  <c r="Z729" i="4"/>
  <c r="Z730" i="4"/>
  <c r="Z731" i="4"/>
  <c r="Z732" i="4"/>
  <c r="Z733" i="4"/>
  <c r="Z734" i="4"/>
  <c r="Z735" i="4"/>
  <c r="Z736" i="4"/>
  <c r="Z737" i="4"/>
  <c r="Z738" i="4"/>
  <c r="Z739" i="4"/>
  <c r="Z740" i="4"/>
  <c r="Z741" i="4"/>
  <c r="Z742" i="4"/>
  <c r="Z743" i="4"/>
  <c r="Z744" i="4"/>
  <c r="Z745" i="4"/>
  <c r="Z746" i="4"/>
  <c r="Z747" i="4"/>
  <c r="Z748" i="4"/>
  <c r="Z749" i="4"/>
  <c r="Z750" i="4"/>
  <c r="Z751" i="4"/>
  <c r="Z752" i="4"/>
  <c r="Z753" i="4"/>
  <c r="Z754" i="4"/>
  <c r="Z755" i="4"/>
  <c r="Z756" i="4"/>
  <c r="Z757" i="4"/>
  <c r="Z758" i="4"/>
  <c r="Z759" i="4"/>
  <c r="Z760" i="4"/>
  <c r="Z761" i="4"/>
  <c r="Z762" i="4"/>
  <c r="Z763" i="4"/>
  <c r="Z764" i="4"/>
  <c r="Z765" i="4"/>
  <c r="Z766" i="4"/>
  <c r="Z767" i="4"/>
  <c r="Z768" i="4"/>
  <c r="Z769" i="4"/>
  <c r="Z770" i="4"/>
  <c r="Z771" i="4"/>
  <c r="Z772" i="4"/>
  <c r="Z773" i="4"/>
  <c r="Z774" i="4"/>
  <c r="Z775" i="4"/>
  <c r="Z776" i="4"/>
  <c r="Z777" i="4"/>
  <c r="Z778" i="4"/>
  <c r="Z779" i="4"/>
  <c r="Z780" i="4"/>
  <c r="Z781" i="4"/>
  <c r="Z782" i="4"/>
  <c r="Z783" i="4"/>
  <c r="Z784" i="4"/>
  <c r="Z785" i="4"/>
  <c r="Z786" i="4"/>
  <c r="Z787" i="4"/>
  <c r="Z788" i="4"/>
  <c r="Z789" i="4"/>
  <c r="Z790" i="4"/>
  <c r="Z791" i="4"/>
  <c r="Z792" i="4"/>
  <c r="Z793" i="4"/>
  <c r="Z794" i="4"/>
  <c r="Z795" i="4"/>
  <c r="Z796" i="4"/>
  <c r="Z797" i="4"/>
  <c r="Z798" i="4"/>
  <c r="Z799" i="4"/>
  <c r="Z800" i="4"/>
  <c r="Z801" i="4"/>
  <c r="Z802" i="4"/>
  <c r="Z803" i="4"/>
  <c r="Z804" i="4"/>
  <c r="Z805" i="4"/>
  <c r="Z806" i="4"/>
  <c r="Z807" i="4"/>
  <c r="Z808" i="4"/>
  <c r="Z809" i="4"/>
  <c r="Z810" i="4"/>
  <c r="Z811" i="4"/>
  <c r="Z812" i="4"/>
  <c r="Z813" i="4"/>
  <c r="Z814" i="4"/>
  <c r="Z815" i="4"/>
  <c r="Z816" i="4"/>
  <c r="Z817" i="4"/>
  <c r="Z818" i="4"/>
  <c r="Z819" i="4"/>
  <c r="Z820" i="4"/>
  <c r="Z821" i="4"/>
  <c r="Z822" i="4"/>
  <c r="Z823" i="4"/>
  <c r="Z824" i="4"/>
  <c r="Z825" i="4"/>
  <c r="Z826" i="4"/>
  <c r="Z827" i="4"/>
  <c r="Z828" i="4"/>
  <c r="Z829" i="4"/>
  <c r="Z830" i="4"/>
  <c r="Z831" i="4"/>
  <c r="Z832" i="4"/>
  <c r="Z833" i="4"/>
  <c r="Z834" i="4"/>
  <c r="Z835" i="4"/>
  <c r="Z836" i="4"/>
  <c r="Z837" i="4"/>
  <c r="Z838" i="4"/>
  <c r="Z839" i="4"/>
  <c r="Z840" i="4"/>
  <c r="Z841" i="4"/>
  <c r="Z842" i="4"/>
  <c r="Z843" i="4"/>
  <c r="Z844" i="4"/>
  <c r="Z845" i="4"/>
  <c r="Z846" i="4"/>
  <c r="Z847" i="4"/>
  <c r="Z848" i="4"/>
  <c r="Z849" i="4"/>
  <c r="Z850" i="4"/>
  <c r="Z851" i="4"/>
  <c r="Z852" i="4"/>
  <c r="Z853" i="4"/>
  <c r="Z854" i="4"/>
  <c r="Z855" i="4"/>
  <c r="Z856" i="4"/>
  <c r="Z857" i="4"/>
  <c r="Z858" i="4"/>
  <c r="Z859" i="4"/>
  <c r="Z860" i="4"/>
  <c r="Z861" i="4"/>
  <c r="Z862" i="4"/>
  <c r="Z863" i="4"/>
  <c r="Z864" i="4"/>
  <c r="Z865" i="4"/>
  <c r="Z866" i="4"/>
  <c r="Z867" i="4"/>
  <c r="Z868" i="4"/>
  <c r="Z869" i="4"/>
  <c r="Z870" i="4"/>
  <c r="Z871" i="4"/>
  <c r="Z872" i="4"/>
  <c r="Z873" i="4"/>
  <c r="Z874" i="4"/>
  <c r="Z875" i="4"/>
  <c r="Z876" i="4"/>
  <c r="Z877" i="4"/>
  <c r="Z878" i="4"/>
  <c r="Z879" i="4"/>
  <c r="Z880" i="4"/>
  <c r="Z881" i="4"/>
  <c r="Z882" i="4"/>
  <c r="Z883" i="4"/>
  <c r="Z884" i="4"/>
  <c r="Z885" i="4"/>
  <c r="Z886" i="4"/>
  <c r="Z887" i="4"/>
  <c r="Z888" i="4"/>
  <c r="Z889" i="4"/>
  <c r="Z890" i="4"/>
  <c r="Z891" i="4"/>
  <c r="Z892" i="4"/>
  <c r="Z893" i="4"/>
  <c r="Z894" i="4"/>
  <c r="Z895" i="4"/>
  <c r="Z896" i="4"/>
  <c r="Z897" i="4"/>
  <c r="Z898" i="4"/>
  <c r="Z899" i="4"/>
  <c r="Z900" i="4"/>
  <c r="Z901" i="4"/>
  <c r="Z902" i="4"/>
  <c r="Z903" i="4"/>
  <c r="Z904" i="4"/>
  <c r="Z905" i="4"/>
  <c r="Z906" i="4"/>
  <c r="Z907" i="4"/>
  <c r="Z908" i="4"/>
  <c r="Z909" i="4"/>
  <c r="Z910" i="4"/>
  <c r="Z911" i="4"/>
  <c r="Z912" i="4"/>
  <c r="Z913" i="4"/>
  <c r="Z914" i="4"/>
  <c r="Z915" i="4"/>
  <c r="Z916" i="4"/>
  <c r="Z917" i="4"/>
  <c r="Z918" i="4"/>
  <c r="Z919" i="4"/>
  <c r="Z920" i="4"/>
  <c r="Z921" i="4"/>
  <c r="Z922" i="4"/>
  <c r="Z923" i="4"/>
  <c r="Z924" i="4"/>
  <c r="Z925" i="4"/>
  <c r="Z926" i="4"/>
  <c r="Z927" i="4"/>
  <c r="Z928" i="4"/>
  <c r="Z929" i="4"/>
  <c r="Z930" i="4"/>
  <c r="Z931" i="4"/>
  <c r="Z932" i="4"/>
  <c r="Z933" i="4"/>
  <c r="Z934" i="4"/>
  <c r="Z935" i="4"/>
  <c r="Z936" i="4"/>
  <c r="Z937" i="4"/>
  <c r="Z938" i="4"/>
  <c r="Z939" i="4"/>
  <c r="Z940" i="4"/>
  <c r="Z941" i="4"/>
  <c r="Z942" i="4"/>
  <c r="Z943" i="4"/>
  <c r="Z944" i="4"/>
  <c r="Z945" i="4"/>
  <c r="Z946" i="4"/>
  <c r="Z947" i="4"/>
  <c r="Z948" i="4"/>
  <c r="Z949" i="4"/>
  <c r="Z950" i="4"/>
  <c r="Z951" i="4"/>
  <c r="Z952" i="4"/>
  <c r="Z953" i="4"/>
  <c r="Z954" i="4"/>
  <c r="Z955" i="4"/>
  <c r="Z956" i="4"/>
  <c r="Z957" i="4"/>
  <c r="Z958" i="4"/>
  <c r="Z959" i="4"/>
  <c r="Z960" i="4"/>
  <c r="Z961" i="4"/>
  <c r="Z962" i="4"/>
  <c r="Z963" i="4"/>
  <c r="Z964" i="4"/>
  <c r="Z965" i="4"/>
  <c r="Z966" i="4"/>
  <c r="Z967" i="4"/>
  <c r="Z968" i="4"/>
  <c r="Z969" i="4"/>
  <c r="Z970" i="4"/>
  <c r="Z971" i="4"/>
  <c r="Z972" i="4"/>
  <c r="Z973" i="4"/>
  <c r="Z974" i="4"/>
  <c r="Z975" i="4"/>
  <c r="Z976" i="4"/>
  <c r="Z977" i="4"/>
  <c r="Z978" i="4"/>
  <c r="Z979" i="4"/>
  <c r="Z980" i="4"/>
  <c r="Z981" i="4"/>
  <c r="Z982" i="4"/>
  <c r="Z983" i="4"/>
  <c r="Z984" i="4"/>
  <c r="Z985" i="4"/>
  <c r="Z986" i="4"/>
  <c r="Z987" i="4"/>
  <c r="Z988" i="4"/>
  <c r="Z989" i="4"/>
  <c r="Z990" i="4"/>
  <c r="Z991" i="4"/>
  <c r="Z992" i="4"/>
  <c r="Z993" i="4"/>
  <c r="Z994" i="4"/>
  <c r="Z995" i="4"/>
  <c r="Z996" i="4"/>
  <c r="Z997" i="4"/>
  <c r="Z998" i="4"/>
  <c r="Z999" i="4"/>
  <c r="Z1000" i="4"/>
  <c r="Z1001" i="4"/>
  <c r="Z1002" i="4"/>
  <c r="Z1003" i="4"/>
  <c r="Z1004" i="4"/>
  <c r="Z1005" i="4"/>
  <c r="Z1006" i="4"/>
  <c r="Z1007" i="4"/>
  <c r="Z1008" i="4"/>
  <c r="Z1009" i="4"/>
  <c r="Z1010" i="4"/>
  <c r="Z1011" i="4"/>
  <c r="Z1012" i="4"/>
  <c r="Z1013" i="4"/>
  <c r="Z1014" i="4"/>
  <c r="Z1015" i="4"/>
  <c r="Z1016" i="4"/>
  <c r="Z1017" i="4"/>
  <c r="Z1018" i="4"/>
  <c r="Z1019" i="4"/>
  <c r="Z1020" i="4"/>
  <c r="Z1021" i="4"/>
  <c r="Z1022" i="4"/>
  <c r="Z1023" i="4"/>
  <c r="Z1024" i="4"/>
  <c r="Z1025" i="4"/>
  <c r="Z1026" i="4"/>
  <c r="Z1027" i="4"/>
  <c r="Z1028" i="4"/>
  <c r="Z1029" i="4"/>
  <c r="Z1030" i="4"/>
  <c r="Z1031" i="4"/>
  <c r="Z1032" i="4"/>
  <c r="Z1033" i="4"/>
  <c r="Z1034" i="4"/>
  <c r="Z1035" i="4"/>
  <c r="Z1036" i="4"/>
  <c r="Z1037" i="4"/>
  <c r="Z1038" i="4"/>
  <c r="Z1039" i="4"/>
  <c r="Z1040" i="4"/>
  <c r="Z1041" i="4"/>
  <c r="Z1042" i="4"/>
  <c r="Z1043" i="4"/>
  <c r="Z1044" i="4"/>
  <c r="Z1045" i="4"/>
  <c r="Z1046" i="4"/>
  <c r="Z1047" i="4"/>
  <c r="Z1048" i="4"/>
  <c r="Z1049" i="4"/>
  <c r="Z1050" i="4"/>
  <c r="Z1051" i="4"/>
  <c r="Z1052" i="4"/>
  <c r="Z1053" i="4"/>
  <c r="Z1054" i="4"/>
  <c r="Z1055" i="4"/>
  <c r="Z1056" i="4"/>
  <c r="Z1057" i="4"/>
  <c r="Z1058" i="4"/>
  <c r="Z1059" i="4"/>
  <c r="Z1060" i="4"/>
  <c r="Z1061" i="4"/>
  <c r="Z1062" i="4"/>
  <c r="Z1063" i="4"/>
  <c r="Z1064" i="4"/>
  <c r="Z1065" i="4"/>
  <c r="Z1066" i="4"/>
  <c r="Z1067" i="4"/>
  <c r="Z1068" i="4"/>
  <c r="Z1069" i="4"/>
  <c r="Z1070" i="4"/>
  <c r="Z1071" i="4"/>
  <c r="Z1072" i="4"/>
  <c r="Z1073" i="4"/>
  <c r="Z1074" i="4"/>
  <c r="Z1075" i="4"/>
  <c r="Z1076" i="4"/>
  <c r="Z1077" i="4"/>
  <c r="Z1078" i="4"/>
  <c r="Z1079" i="4"/>
  <c r="Z1080" i="4"/>
  <c r="Z1081" i="4"/>
  <c r="Z1082" i="4"/>
  <c r="Z1083" i="4"/>
  <c r="Z1084" i="4"/>
  <c r="Z1085" i="4"/>
  <c r="Z1086" i="4"/>
  <c r="Z1087" i="4"/>
  <c r="Z1088" i="4"/>
  <c r="Z1089" i="4"/>
  <c r="Z1090" i="4"/>
  <c r="Z1091" i="4"/>
  <c r="Z1092" i="4"/>
  <c r="Z1093" i="4"/>
  <c r="Z1094" i="4"/>
  <c r="Z1095" i="4"/>
  <c r="Z1096" i="4"/>
  <c r="Z1097" i="4"/>
  <c r="Z1098" i="4"/>
  <c r="Z1099" i="4"/>
  <c r="Z1100" i="4"/>
  <c r="Z1101" i="4"/>
  <c r="Z1102" i="4"/>
  <c r="Z1103" i="4"/>
  <c r="Z1104" i="4"/>
  <c r="Z1105" i="4"/>
  <c r="Z1106" i="4"/>
  <c r="Z1107" i="4"/>
  <c r="Z1108" i="4"/>
  <c r="Z1109" i="4"/>
  <c r="Z1110" i="4"/>
  <c r="Z1111" i="4"/>
  <c r="Z1112" i="4"/>
  <c r="Z1113" i="4"/>
  <c r="Z1114" i="4"/>
  <c r="Z1115" i="4"/>
  <c r="Z1116" i="4"/>
  <c r="Z1117" i="4"/>
  <c r="Z1118" i="4"/>
  <c r="Z1119" i="4"/>
  <c r="Z1120" i="4"/>
  <c r="Z1121" i="4"/>
  <c r="Z1122" i="4"/>
  <c r="Z1123" i="4"/>
  <c r="Z1124" i="4"/>
  <c r="Z1125" i="4"/>
  <c r="Z1126" i="4"/>
  <c r="Z1127" i="4"/>
  <c r="Z1128" i="4"/>
  <c r="Z1129" i="4"/>
  <c r="Z1130" i="4"/>
  <c r="Z1131" i="4"/>
  <c r="Z1132" i="4"/>
  <c r="Z1133" i="4"/>
  <c r="Z1134" i="4"/>
  <c r="Z1135" i="4"/>
  <c r="Z1136" i="4"/>
  <c r="Z1137" i="4"/>
  <c r="Z1138" i="4"/>
  <c r="Z1139" i="4"/>
  <c r="Z1140" i="4"/>
  <c r="Z1141" i="4"/>
  <c r="Z1142" i="4"/>
  <c r="Z1143" i="4"/>
  <c r="Z1144" i="4"/>
  <c r="Z1145" i="4"/>
  <c r="Z1146" i="4"/>
  <c r="Z1147" i="4"/>
  <c r="Z1148" i="4"/>
  <c r="Z1149" i="4"/>
  <c r="Z1150" i="4"/>
  <c r="Z1151" i="4"/>
  <c r="Z1152" i="4"/>
  <c r="Z1153" i="4"/>
  <c r="Z1154" i="4"/>
  <c r="Z1155" i="4"/>
  <c r="Z1156" i="4"/>
  <c r="Z1157" i="4"/>
  <c r="Z1158" i="4"/>
  <c r="Z1159" i="4"/>
  <c r="Z1160" i="4"/>
  <c r="Z1161" i="4"/>
  <c r="Z1162" i="4"/>
  <c r="Z1163" i="4"/>
  <c r="Z1164" i="4"/>
  <c r="Z1165" i="4"/>
  <c r="Z1166" i="4"/>
  <c r="Z1167" i="4"/>
  <c r="Z1168" i="4"/>
  <c r="Z1169" i="4"/>
  <c r="Z1170" i="4"/>
  <c r="Z1171" i="4"/>
  <c r="Z1172" i="4"/>
  <c r="Z1173" i="4"/>
  <c r="Z1174" i="4"/>
  <c r="Z1175" i="4"/>
  <c r="Z1176" i="4"/>
  <c r="Z1177" i="4"/>
  <c r="Z1178" i="4"/>
  <c r="Z1179" i="4"/>
  <c r="Z1180" i="4"/>
  <c r="Z1181" i="4"/>
  <c r="Z1182" i="4"/>
  <c r="Z1183" i="4"/>
  <c r="Z1184" i="4"/>
  <c r="Z1185" i="4"/>
  <c r="Z1186" i="4"/>
  <c r="Z1187" i="4"/>
  <c r="Z1188" i="4"/>
  <c r="Z1189" i="4"/>
  <c r="Z1190" i="4"/>
  <c r="Z1191" i="4"/>
  <c r="Z1192" i="4"/>
  <c r="Z1193" i="4"/>
  <c r="Z1194" i="4"/>
  <c r="Z1195" i="4"/>
  <c r="Z1196" i="4"/>
  <c r="Z1197" i="4"/>
  <c r="Z1198" i="4"/>
  <c r="Z1199" i="4"/>
  <c r="Z1200" i="4"/>
  <c r="Z1201" i="4"/>
  <c r="Z1202" i="4"/>
  <c r="Z1203" i="4"/>
  <c r="Z1204" i="4"/>
  <c r="Z1205" i="4"/>
  <c r="Z1206" i="4"/>
  <c r="Z1207" i="4"/>
  <c r="Z1208" i="4"/>
  <c r="Z1209" i="4"/>
  <c r="Z1210" i="4"/>
  <c r="Z1211" i="4"/>
  <c r="Z1212" i="4"/>
  <c r="Z1213" i="4"/>
  <c r="Z1214" i="4"/>
  <c r="Z1215" i="4"/>
  <c r="Z1216" i="4"/>
  <c r="Z1217" i="4"/>
  <c r="Z1218" i="4"/>
  <c r="Z1219" i="4"/>
  <c r="Z1220" i="4"/>
  <c r="Z1221" i="4"/>
  <c r="Z1222" i="4"/>
  <c r="Z1223" i="4"/>
  <c r="Z1224" i="4"/>
  <c r="Z1225" i="4"/>
  <c r="Z1226" i="4"/>
  <c r="Z1227" i="4"/>
  <c r="Z1228" i="4"/>
  <c r="Z1229" i="4"/>
  <c r="Z1230" i="4"/>
  <c r="Z1231" i="4"/>
  <c r="Z1232" i="4"/>
  <c r="Z1233" i="4"/>
  <c r="Z1234" i="4"/>
  <c r="Z1235" i="4"/>
  <c r="Z1236" i="4"/>
  <c r="Z1237" i="4"/>
  <c r="Z1238" i="4"/>
  <c r="Z1239" i="4"/>
  <c r="Z1240" i="4"/>
  <c r="Z1241" i="4"/>
  <c r="Z1242" i="4"/>
  <c r="Z1243" i="4"/>
  <c r="Z1244" i="4"/>
  <c r="Z1245" i="4"/>
  <c r="Z1246" i="4"/>
  <c r="Z1247" i="4"/>
  <c r="Z1248" i="4"/>
  <c r="Z1249" i="4"/>
  <c r="Z1250" i="4"/>
  <c r="Z1251" i="4"/>
  <c r="Z1252" i="4"/>
  <c r="Z1253" i="4"/>
  <c r="Z1254" i="4"/>
  <c r="Z1255" i="4"/>
  <c r="Z1256" i="4"/>
  <c r="Z1257" i="4"/>
  <c r="Z1258" i="4"/>
  <c r="Z1259" i="4"/>
  <c r="Z1260" i="4"/>
  <c r="Z1261" i="4"/>
  <c r="Z1262" i="4"/>
  <c r="Z1263" i="4"/>
  <c r="X342" i="4"/>
  <c r="X343" i="4"/>
  <c r="X344" i="4"/>
  <c r="X345" i="4"/>
  <c r="X346" i="4"/>
  <c r="X347" i="4"/>
  <c r="X348" i="4"/>
  <c r="X349" i="4"/>
  <c r="X350" i="4"/>
  <c r="X351" i="4"/>
  <c r="X352" i="4"/>
  <c r="X353" i="4"/>
  <c r="X354" i="4"/>
  <c r="X355" i="4"/>
  <c r="X356" i="4"/>
  <c r="X357" i="4"/>
  <c r="X358" i="4"/>
  <c r="X359" i="4"/>
  <c r="X360" i="4"/>
  <c r="X361" i="4"/>
  <c r="X362" i="4"/>
  <c r="X363" i="4"/>
  <c r="X364" i="4"/>
  <c r="X365" i="4"/>
  <c r="X366" i="4"/>
  <c r="X367" i="4"/>
  <c r="X368" i="4"/>
  <c r="X369" i="4"/>
  <c r="X370" i="4"/>
  <c r="X371" i="4"/>
  <c r="X372" i="4"/>
  <c r="X373" i="4"/>
  <c r="X374" i="4"/>
  <c r="X375" i="4"/>
  <c r="X376" i="4"/>
  <c r="X377" i="4"/>
  <c r="X378" i="4"/>
  <c r="X379" i="4"/>
  <c r="X380" i="4"/>
  <c r="X381" i="4"/>
  <c r="X382" i="4"/>
  <c r="X383" i="4"/>
  <c r="X384" i="4"/>
  <c r="X385" i="4"/>
  <c r="X386" i="4"/>
  <c r="X387" i="4"/>
  <c r="X388" i="4"/>
  <c r="X389" i="4"/>
  <c r="X390" i="4"/>
  <c r="X391" i="4"/>
  <c r="X392" i="4"/>
  <c r="X393" i="4"/>
  <c r="X394" i="4"/>
  <c r="X395" i="4"/>
  <c r="X396" i="4"/>
  <c r="X397" i="4"/>
  <c r="X398" i="4"/>
  <c r="X399" i="4"/>
  <c r="X400" i="4"/>
  <c r="X401" i="4"/>
  <c r="X402" i="4"/>
  <c r="X403" i="4"/>
  <c r="X404" i="4"/>
  <c r="X405" i="4"/>
  <c r="X406" i="4"/>
  <c r="X407" i="4"/>
  <c r="X408" i="4"/>
  <c r="X409" i="4"/>
  <c r="X410" i="4"/>
  <c r="X411" i="4"/>
  <c r="X412" i="4"/>
  <c r="X413" i="4"/>
  <c r="X414" i="4"/>
  <c r="X415" i="4"/>
  <c r="X416" i="4"/>
  <c r="X417" i="4"/>
  <c r="X418" i="4"/>
  <c r="X419" i="4"/>
  <c r="X420" i="4"/>
  <c r="X421" i="4"/>
  <c r="X422" i="4"/>
  <c r="X423" i="4"/>
  <c r="X424" i="4"/>
  <c r="X425" i="4"/>
  <c r="X426" i="4"/>
  <c r="X427" i="4"/>
  <c r="X428" i="4"/>
  <c r="X429" i="4"/>
  <c r="X430" i="4"/>
  <c r="X431" i="4"/>
  <c r="X432" i="4"/>
  <c r="X433" i="4"/>
  <c r="X434" i="4"/>
  <c r="X435" i="4"/>
  <c r="X436" i="4"/>
  <c r="X437" i="4"/>
  <c r="X438" i="4"/>
  <c r="X439" i="4"/>
  <c r="X440" i="4"/>
  <c r="X441" i="4"/>
  <c r="X442" i="4"/>
  <c r="X443" i="4"/>
  <c r="X444" i="4"/>
  <c r="X445" i="4"/>
  <c r="X446" i="4"/>
  <c r="X447" i="4"/>
  <c r="X448" i="4"/>
  <c r="X449" i="4"/>
  <c r="X450" i="4"/>
  <c r="X451" i="4"/>
  <c r="X452" i="4"/>
  <c r="X453" i="4"/>
  <c r="X454" i="4"/>
  <c r="X455" i="4"/>
  <c r="X456" i="4"/>
  <c r="X457" i="4"/>
  <c r="X458" i="4"/>
  <c r="X459" i="4"/>
  <c r="X460" i="4"/>
  <c r="X461" i="4"/>
  <c r="X462" i="4"/>
  <c r="X463" i="4"/>
  <c r="X464" i="4"/>
  <c r="X465" i="4"/>
  <c r="X466" i="4"/>
  <c r="X467" i="4"/>
  <c r="X468" i="4"/>
  <c r="X469" i="4"/>
  <c r="X470" i="4"/>
  <c r="X471" i="4"/>
  <c r="X472" i="4"/>
  <c r="X473" i="4"/>
  <c r="X474" i="4"/>
  <c r="X475" i="4"/>
  <c r="X476" i="4"/>
  <c r="X477" i="4"/>
  <c r="X478" i="4"/>
  <c r="X479" i="4"/>
  <c r="X480" i="4"/>
  <c r="X481" i="4"/>
  <c r="X482" i="4"/>
  <c r="X483" i="4"/>
  <c r="X484" i="4"/>
  <c r="X485" i="4"/>
  <c r="X486" i="4"/>
  <c r="X487" i="4"/>
  <c r="X488" i="4"/>
  <c r="X489" i="4"/>
  <c r="X490" i="4"/>
  <c r="X491" i="4"/>
  <c r="X492" i="4"/>
  <c r="X493" i="4"/>
  <c r="X494" i="4"/>
  <c r="X495" i="4"/>
  <c r="X496" i="4"/>
  <c r="X497" i="4"/>
  <c r="X498" i="4"/>
  <c r="X499" i="4"/>
  <c r="X500" i="4"/>
  <c r="X501" i="4"/>
  <c r="X502" i="4"/>
  <c r="X503" i="4"/>
  <c r="X504" i="4"/>
  <c r="X505" i="4"/>
  <c r="X506" i="4"/>
  <c r="X507" i="4"/>
  <c r="X508" i="4"/>
  <c r="X509" i="4"/>
  <c r="X510" i="4"/>
  <c r="X511" i="4"/>
  <c r="X512" i="4"/>
  <c r="X513" i="4"/>
  <c r="X514" i="4"/>
  <c r="X515" i="4"/>
  <c r="X516" i="4"/>
  <c r="X517" i="4"/>
  <c r="X518" i="4"/>
  <c r="X519" i="4"/>
  <c r="X520" i="4"/>
  <c r="X521" i="4"/>
  <c r="X522" i="4"/>
  <c r="X523" i="4"/>
  <c r="X524" i="4"/>
  <c r="X525" i="4"/>
  <c r="X526" i="4"/>
  <c r="X527" i="4"/>
  <c r="X528" i="4"/>
  <c r="X529" i="4"/>
  <c r="X530" i="4"/>
  <c r="X531" i="4"/>
  <c r="X532" i="4"/>
  <c r="X533" i="4"/>
  <c r="X534" i="4"/>
  <c r="X535" i="4"/>
  <c r="X536" i="4"/>
  <c r="X537" i="4"/>
  <c r="X538" i="4"/>
  <c r="X539" i="4"/>
  <c r="X540" i="4"/>
  <c r="X541" i="4"/>
  <c r="X542" i="4"/>
  <c r="X543" i="4"/>
  <c r="X544" i="4"/>
  <c r="X545" i="4"/>
  <c r="X546" i="4"/>
  <c r="X547" i="4"/>
  <c r="X548" i="4"/>
  <c r="X549" i="4"/>
  <c r="X550" i="4"/>
  <c r="X551" i="4"/>
  <c r="X552" i="4"/>
  <c r="X553" i="4"/>
  <c r="X554" i="4"/>
  <c r="X555" i="4"/>
  <c r="X556" i="4"/>
  <c r="X557" i="4"/>
  <c r="X558" i="4"/>
  <c r="X559" i="4"/>
  <c r="X560" i="4"/>
  <c r="X561" i="4"/>
  <c r="X562" i="4"/>
  <c r="X563" i="4"/>
  <c r="X564" i="4"/>
  <c r="X565" i="4"/>
  <c r="X566" i="4"/>
  <c r="X567" i="4"/>
  <c r="X568" i="4"/>
  <c r="X569" i="4"/>
  <c r="X570" i="4"/>
  <c r="X571" i="4"/>
  <c r="X572" i="4"/>
  <c r="X573" i="4"/>
  <c r="X574" i="4"/>
  <c r="X575" i="4"/>
  <c r="X576" i="4"/>
  <c r="X577" i="4"/>
  <c r="X578" i="4"/>
  <c r="X579" i="4"/>
  <c r="X580" i="4"/>
  <c r="X581" i="4"/>
  <c r="X582" i="4"/>
  <c r="X583" i="4"/>
  <c r="X584" i="4"/>
  <c r="X585" i="4"/>
  <c r="X586" i="4"/>
  <c r="X587" i="4"/>
  <c r="X588" i="4"/>
  <c r="X589" i="4"/>
  <c r="X590" i="4"/>
  <c r="X591" i="4"/>
  <c r="X592" i="4"/>
  <c r="X593" i="4"/>
  <c r="X594" i="4"/>
  <c r="X595" i="4"/>
  <c r="X596" i="4"/>
  <c r="X597" i="4"/>
  <c r="X598" i="4"/>
  <c r="X599" i="4"/>
  <c r="X600" i="4"/>
  <c r="X601" i="4"/>
  <c r="X602" i="4"/>
  <c r="X603" i="4"/>
  <c r="X604" i="4"/>
  <c r="X605" i="4"/>
  <c r="X606" i="4"/>
  <c r="X607" i="4"/>
  <c r="X608" i="4"/>
  <c r="X609" i="4"/>
  <c r="X610" i="4"/>
  <c r="X611" i="4"/>
  <c r="X612" i="4"/>
  <c r="X613" i="4"/>
  <c r="X614" i="4"/>
  <c r="X615" i="4"/>
  <c r="X616" i="4"/>
  <c r="X617" i="4"/>
  <c r="X618" i="4"/>
  <c r="X619" i="4"/>
  <c r="X620" i="4"/>
  <c r="X621" i="4"/>
  <c r="X622" i="4"/>
  <c r="X623" i="4"/>
  <c r="X624" i="4"/>
  <c r="X625" i="4"/>
  <c r="X626" i="4"/>
  <c r="X627" i="4"/>
  <c r="X628" i="4"/>
  <c r="X629" i="4"/>
  <c r="X630" i="4"/>
  <c r="X631" i="4"/>
  <c r="X632" i="4"/>
  <c r="X633" i="4"/>
  <c r="X634" i="4"/>
  <c r="X635" i="4"/>
  <c r="X636" i="4"/>
  <c r="X637" i="4"/>
  <c r="X638" i="4"/>
  <c r="X639" i="4"/>
  <c r="X640" i="4"/>
  <c r="X641" i="4"/>
  <c r="X642" i="4"/>
  <c r="X643" i="4"/>
  <c r="X644" i="4"/>
  <c r="X645" i="4"/>
  <c r="X646" i="4"/>
  <c r="X647" i="4"/>
  <c r="X648" i="4"/>
  <c r="X649" i="4"/>
  <c r="X650" i="4"/>
  <c r="X651" i="4"/>
  <c r="X652" i="4"/>
  <c r="X653" i="4"/>
  <c r="X654" i="4"/>
  <c r="X655" i="4"/>
  <c r="X656" i="4"/>
  <c r="X657" i="4"/>
  <c r="X658" i="4"/>
  <c r="X659" i="4"/>
  <c r="X660" i="4"/>
  <c r="X661" i="4"/>
  <c r="X662" i="4"/>
  <c r="X663" i="4"/>
  <c r="X664" i="4"/>
  <c r="X665" i="4"/>
  <c r="X666" i="4"/>
  <c r="X667" i="4"/>
  <c r="X668" i="4"/>
  <c r="X669" i="4"/>
  <c r="X670" i="4"/>
  <c r="X671" i="4"/>
  <c r="X672" i="4"/>
  <c r="X673" i="4"/>
  <c r="X674" i="4"/>
  <c r="X675" i="4"/>
  <c r="X676" i="4"/>
  <c r="X677" i="4"/>
  <c r="X678" i="4"/>
  <c r="X679" i="4"/>
  <c r="X680" i="4"/>
  <c r="X681" i="4"/>
  <c r="X682" i="4"/>
  <c r="X683" i="4"/>
  <c r="X684" i="4"/>
  <c r="X685" i="4"/>
  <c r="X686" i="4"/>
  <c r="X687" i="4"/>
  <c r="X688" i="4"/>
  <c r="X689" i="4"/>
  <c r="X690" i="4"/>
  <c r="X691" i="4"/>
  <c r="X692" i="4"/>
  <c r="X693" i="4"/>
  <c r="X694" i="4"/>
  <c r="X695" i="4"/>
  <c r="X696" i="4"/>
  <c r="X697" i="4"/>
  <c r="X698" i="4"/>
  <c r="X699" i="4"/>
  <c r="X700" i="4"/>
  <c r="X701" i="4"/>
  <c r="X702" i="4"/>
  <c r="X703" i="4"/>
  <c r="X704" i="4"/>
  <c r="X705" i="4"/>
  <c r="X706" i="4"/>
  <c r="X707" i="4"/>
  <c r="X708" i="4"/>
  <c r="X709" i="4"/>
  <c r="X710" i="4"/>
  <c r="X711" i="4"/>
  <c r="X712" i="4"/>
  <c r="X713" i="4"/>
  <c r="X714" i="4"/>
  <c r="X715" i="4"/>
  <c r="X716" i="4"/>
  <c r="X717" i="4"/>
  <c r="X718" i="4"/>
  <c r="X719" i="4"/>
  <c r="X720" i="4"/>
  <c r="X721" i="4"/>
  <c r="X722" i="4"/>
  <c r="X723" i="4"/>
  <c r="X724" i="4"/>
  <c r="X725" i="4"/>
  <c r="X726" i="4"/>
  <c r="X727" i="4"/>
  <c r="X728" i="4"/>
  <c r="X729" i="4"/>
  <c r="X730" i="4"/>
  <c r="X731" i="4"/>
  <c r="X732" i="4"/>
  <c r="X733" i="4"/>
  <c r="X734" i="4"/>
  <c r="X735" i="4"/>
  <c r="X736" i="4"/>
  <c r="X737" i="4"/>
  <c r="X738" i="4"/>
  <c r="X739" i="4"/>
  <c r="X740" i="4"/>
  <c r="X741" i="4"/>
  <c r="X742" i="4"/>
  <c r="X743" i="4"/>
  <c r="X744" i="4"/>
  <c r="X745" i="4"/>
  <c r="X746" i="4"/>
  <c r="X747" i="4"/>
  <c r="X748" i="4"/>
  <c r="X749" i="4"/>
  <c r="X750" i="4"/>
  <c r="X751" i="4"/>
  <c r="X752" i="4"/>
  <c r="X753" i="4"/>
  <c r="X754" i="4"/>
  <c r="X755" i="4"/>
  <c r="X756" i="4"/>
  <c r="X757" i="4"/>
  <c r="X758" i="4"/>
  <c r="X759" i="4"/>
  <c r="X760" i="4"/>
  <c r="X761" i="4"/>
  <c r="X762" i="4"/>
  <c r="X763" i="4"/>
  <c r="X764" i="4"/>
  <c r="X765" i="4"/>
  <c r="X766" i="4"/>
  <c r="X767" i="4"/>
  <c r="X768" i="4"/>
  <c r="X769" i="4"/>
  <c r="X770" i="4"/>
  <c r="X771" i="4"/>
  <c r="X772" i="4"/>
  <c r="X773" i="4"/>
  <c r="X774" i="4"/>
  <c r="X775" i="4"/>
  <c r="X776" i="4"/>
  <c r="X777" i="4"/>
  <c r="X778" i="4"/>
  <c r="X779" i="4"/>
  <c r="X780" i="4"/>
  <c r="X781" i="4"/>
  <c r="X782" i="4"/>
  <c r="X783" i="4"/>
  <c r="X784" i="4"/>
  <c r="X785" i="4"/>
  <c r="X786" i="4"/>
  <c r="X787" i="4"/>
  <c r="X788" i="4"/>
  <c r="X789" i="4"/>
  <c r="X790" i="4"/>
  <c r="X791" i="4"/>
  <c r="X792" i="4"/>
  <c r="X793" i="4"/>
  <c r="X794" i="4"/>
  <c r="X795" i="4"/>
  <c r="X796" i="4"/>
  <c r="X797" i="4"/>
  <c r="X798" i="4"/>
  <c r="X799" i="4"/>
  <c r="X800" i="4"/>
  <c r="X801" i="4"/>
  <c r="X802" i="4"/>
  <c r="X803" i="4"/>
  <c r="X804" i="4"/>
  <c r="X805" i="4"/>
  <c r="X806" i="4"/>
  <c r="X807" i="4"/>
  <c r="X808" i="4"/>
  <c r="X809" i="4"/>
  <c r="X810" i="4"/>
  <c r="X811" i="4"/>
  <c r="X812" i="4"/>
  <c r="X813" i="4"/>
  <c r="X814" i="4"/>
  <c r="X815" i="4"/>
  <c r="X816" i="4"/>
  <c r="X817" i="4"/>
  <c r="X818" i="4"/>
  <c r="X819" i="4"/>
  <c r="X820" i="4"/>
  <c r="X821" i="4"/>
  <c r="X822" i="4"/>
  <c r="X823" i="4"/>
  <c r="X824" i="4"/>
  <c r="X825" i="4"/>
  <c r="X826" i="4"/>
  <c r="X827" i="4"/>
  <c r="X828" i="4"/>
  <c r="X829" i="4"/>
  <c r="X830" i="4"/>
  <c r="X831" i="4"/>
  <c r="X832" i="4"/>
  <c r="X833" i="4"/>
  <c r="X834" i="4"/>
  <c r="X835" i="4"/>
  <c r="X836" i="4"/>
  <c r="X837" i="4"/>
  <c r="X838" i="4"/>
  <c r="X839" i="4"/>
  <c r="X840" i="4"/>
  <c r="X841" i="4"/>
  <c r="X842" i="4"/>
  <c r="X843" i="4"/>
  <c r="X844" i="4"/>
  <c r="X845" i="4"/>
  <c r="X846" i="4"/>
  <c r="X847" i="4"/>
  <c r="X848" i="4"/>
  <c r="X849" i="4"/>
  <c r="X850" i="4"/>
  <c r="X851" i="4"/>
  <c r="X852" i="4"/>
  <c r="X853" i="4"/>
  <c r="X854" i="4"/>
  <c r="X855" i="4"/>
  <c r="X856" i="4"/>
  <c r="X857" i="4"/>
  <c r="X858" i="4"/>
  <c r="X859" i="4"/>
  <c r="X860" i="4"/>
  <c r="X861" i="4"/>
  <c r="X862" i="4"/>
  <c r="X863" i="4"/>
  <c r="X864" i="4"/>
  <c r="X865" i="4"/>
  <c r="X866" i="4"/>
  <c r="X867" i="4"/>
  <c r="X868" i="4"/>
  <c r="X869" i="4"/>
  <c r="X870" i="4"/>
  <c r="X871" i="4"/>
  <c r="X872" i="4"/>
  <c r="X873" i="4"/>
  <c r="X874" i="4"/>
  <c r="X875" i="4"/>
  <c r="X876" i="4"/>
  <c r="X877" i="4"/>
  <c r="X878" i="4"/>
  <c r="X879" i="4"/>
  <c r="X880" i="4"/>
  <c r="X881" i="4"/>
  <c r="X882" i="4"/>
  <c r="X883" i="4"/>
  <c r="X884" i="4"/>
  <c r="X885" i="4"/>
  <c r="X886" i="4"/>
  <c r="X887" i="4"/>
  <c r="X888" i="4"/>
  <c r="X889" i="4"/>
  <c r="X890" i="4"/>
  <c r="X891" i="4"/>
  <c r="X892" i="4"/>
  <c r="X893" i="4"/>
  <c r="X894" i="4"/>
  <c r="X895" i="4"/>
  <c r="X896" i="4"/>
  <c r="X897" i="4"/>
  <c r="X898" i="4"/>
  <c r="X899" i="4"/>
  <c r="X900" i="4"/>
  <c r="X901" i="4"/>
  <c r="X902" i="4"/>
  <c r="X903" i="4"/>
  <c r="X904" i="4"/>
  <c r="X905" i="4"/>
  <c r="X906" i="4"/>
  <c r="X907" i="4"/>
  <c r="X908" i="4"/>
  <c r="X909" i="4"/>
  <c r="X910" i="4"/>
  <c r="X911" i="4"/>
  <c r="X912" i="4"/>
  <c r="X913" i="4"/>
  <c r="X914" i="4"/>
  <c r="X915" i="4"/>
  <c r="X916" i="4"/>
  <c r="X917" i="4"/>
  <c r="X918" i="4"/>
  <c r="X919" i="4"/>
  <c r="X920" i="4"/>
  <c r="X921" i="4"/>
  <c r="X922" i="4"/>
  <c r="X923" i="4"/>
  <c r="X924" i="4"/>
  <c r="X925" i="4"/>
  <c r="X926" i="4"/>
  <c r="X927" i="4"/>
  <c r="X928" i="4"/>
  <c r="X929" i="4"/>
  <c r="X930" i="4"/>
  <c r="X931" i="4"/>
  <c r="X932" i="4"/>
  <c r="X933" i="4"/>
  <c r="X934" i="4"/>
  <c r="X935" i="4"/>
  <c r="X936" i="4"/>
  <c r="X937" i="4"/>
  <c r="X938" i="4"/>
  <c r="X939" i="4"/>
  <c r="X940" i="4"/>
  <c r="X941" i="4"/>
  <c r="X942" i="4"/>
  <c r="X943" i="4"/>
  <c r="X944" i="4"/>
  <c r="X945" i="4"/>
  <c r="X946" i="4"/>
  <c r="X947" i="4"/>
  <c r="X948" i="4"/>
  <c r="X949" i="4"/>
  <c r="X950" i="4"/>
  <c r="X951" i="4"/>
  <c r="X952" i="4"/>
  <c r="X953" i="4"/>
  <c r="X954" i="4"/>
  <c r="X955" i="4"/>
  <c r="X956" i="4"/>
  <c r="X957" i="4"/>
  <c r="X958" i="4"/>
  <c r="X959" i="4"/>
  <c r="X960" i="4"/>
  <c r="X961" i="4"/>
  <c r="X962" i="4"/>
  <c r="X963" i="4"/>
  <c r="X964" i="4"/>
  <c r="X965" i="4"/>
  <c r="X966" i="4"/>
  <c r="X967" i="4"/>
  <c r="X968" i="4"/>
  <c r="X969" i="4"/>
  <c r="X970" i="4"/>
  <c r="X971" i="4"/>
  <c r="X972" i="4"/>
  <c r="X973" i="4"/>
  <c r="X974" i="4"/>
  <c r="X975" i="4"/>
  <c r="X976" i="4"/>
  <c r="X977" i="4"/>
  <c r="X978" i="4"/>
  <c r="X979" i="4"/>
  <c r="X980" i="4"/>
  <c r="X981" i="4"/>
  <c r="X982" i="4"/>
  <c r="X983" i="4"/>
  <c r="X984" i="4"/>
  <c r="X985" i="4"/>
  <c r="X986" i="4"/>
  <c r="X987" i="4"/>
  <c r="X988" i="4"/>
  <c r="X989" i="4"/>
  <c r="X990" i="4"/>
  <c r="X991" i="4"/>
  <c r="X992" i="4"/>
  <c r="X993" i="4"/>
  <c r="X994" i="4"/>
  <c r="X995" i="4"/>
  <c r="X996" i="4"/>
  <c r="X997" i="4"/>
  <c r="X998" i="4"/>
  <c r="X999" i="4"/>
  <c r="X1000" i="4"/>
  <c r="X1001" i="4"/>
  <c r="X1002" i="4"/>
  <c r="X1003" i="4"/>
  <c r="X1004" i="4"/>
  <c r="X1005" i="4"/>
  <c r="X1006" i="4"/>
  <c r="X1007" i="4"/>
  <c r="X1008" i="4"/>
  <c r="X1009" i="4"/>
  <c r="X1010" i="4"/>
  <c r="X1011" i="4"/>
  <c r="X1012" i="4"/>
  <c r="X1013" i="4"/>
  <c r="X1014" i="4"/>
  <c r="X1015" i="4"/>
  <c r="X1016" i="4"/>
  <c r="X1017" i="4"/>
  <c r="X1018" i="4"/>
  <c r="X1019" i="4"/>
  <c r="X1020" i="4"/>
  <c r="X1021" i="4"/>
  <c r="X1022" i="4"/>
  <c r="X1023" i="4"/>
  <c r="X1024" i="4"/>
  <c r="X1025" i="4"/>
  <c r="X1026" i="4"/>
  <c r="X1027" i="4"/>
  <c r="X1028" i="4"/>
  <c r="X1029" i="4"/>
  <c r="X1030" i="4"/>
  <c r="X1031" i="4"/>
  <c r="X1032" i="4"/>
  <c r="X1033" i="4"/>
  <c r="X1034" i="4"/>
  <c r="X1035" i="4"/>
  <c r="X1036" i="4"/>
  <c r="X1037" i="4"/>
  <c r="X1038" i="4"/>
  <c r="X1039" i="4"/>
  <c r="X1040" i="4"/>
  <c r="X1041" i="4"/>
  <c r="X1042" i="4"/>
  <c r="X1043" i="4"/>
  <c r="X1044" i="4"/>
  <c r="X1045" i="4"/>
  <c r="X1046" i="4"/>
  <c r="X1047" i="4"/>
  <c r="X1048" i="4"/>
  <c r="X1049" i="4"/>
  <c r="X1050" i="4"/>
  <c r="X1051" i="4"/>
  <c r="X1052" i="4"/>
  <c r="X1053" i="4"/>
  <c r="X1054" i="4"/>
  <c r="X1055" i="4"/>
  <c r="X1056" i="4"/>
  <c r="X1057" i="4"/>
  <c r="X1058" i="4"/>
  <c r="X1059" i="4"/>
  <c r="X1060" i="4"/>
  <c r="X1061" i="4"/>
  <c r="X1062" i="4"/>
  <c r="X1063" i="4"/>
  <c r="X1064" i="4"/>
  <c r="X1065" i="4"/>
  <c r="X1066" i="4"/>
  <c r="X1067" i="4"/>
  <c r="X1068" i="4"/>
  <c r="X1069" i="4"/>
  <c r="X1070" i="4"/>
  <c r="X1071" i="4"/>
  <c r="X1072" i="4"/>
  <c r="X1073" i="4"/>
  <c r="X1074" i="4"/>
  <c r="X1075" i="4"/>
  <c r="X1076" i="4"/>
  <c r="X1077" i="4"/>
  <c r="X1078" i="4"/>
  <c r="X1079" i="4"/>
  <c r="X1080" i="4"/>
  <c r="X1081" i="4"/>
  <c r="X1082" i="4"/>
  <c r="X1083" i="4"/>
  <c r="X1084" i="4"/>
  <c r="X1085" i="4"/>
  <c r="X1086" i="4"/>
  <c r="X1087" i="4"/>
  <c r="X1088" i="4"/>
  <c r="X1089" i="4"/>
  <c r="X1090" i="4"/>
  <c r="X1091" i="4"/>
  <c r="X1092" i="4"/>
  <c r="X1093" i="4"/>
  <c r="X1094" i="4"/>
  <c r="X1095" i="4"/>
  <c r="X1096" i="4"/>
  <c r="X1097" i="4"/>
  <c r="X1098" i="4"/>
  <c r="X1099" i="4"/>
  <c r="X1100" i="4"/>
  <c r="X1101" i="4"/>
  <c r="X1102" i="4"/>
  <c r="X1103" i="4"/>
  <c r="X1104" i="4"/>
  <c r="X1105" i="4"/>
  <c r="X1106" i="4"/>
  <c r="X1107" i="4"/>
  <c r="X1108" i="4"/>
  <c r="X1109" i="4"/>
  <c r="X1110" i="4"/>
  <c r="X1111" i="4"/>
  <c r="X1112" i="4"/>
  <c r="X1113" i="4"/>
  <c r="X1114" i="4"/>
  <c r="X1115" i="4"/>
  <c r="X1116" i="4"/>
  <c r="X1117" i="4"/>
  <c r="X1118" i="4"/>
  <c r="X1119" i="4"/>
  <c r="X1120" i="4"/>
  <c r="X1121" i="4"/>
  <c r="X1122" i="4"/>
  <c r="X1123" i="4"/>
  <c r="X1124" i="4"/>
  <c r="X1125" i="4"/>
  <c r="X1126" i="4"/>
  <c r="X1127" i="4"/>
  <c r="X1128" i="4"/>
  <c r="X1129" i="4"/>
  <c r="X1130" i="4"/>
  <c r="X1131" i="4"/>
  <c r="X1132" i="4"/>
  <c r="X1133" i="4"/>
  <c r="X1134" i="4"/>
  <c r="X1135" i="4"/>
  <c r="X1136" i="4"/>
  <c r="X1137" i="4"/>
  <c r="X1138" i="4"/>
  <c r="X1139" i="4"/>
  <c r="X1140" i="4"/>
  <c r="X1141" i="4"/>
  <c r="X1142" i="4"/>
  <c r="X1143" i="4"/>
  <c r="X1144" i="4"/>
  <c r="X1145" i="4"/>
  <c r="X1146" i="4"/>
  <c r="X1147" i="4"/>
  <c r="X1148" i="4"/>
  <c r="X1149" i="4"/>
  <c r="X1150" i="4"/>
  <c r="X1151" i="4"/>
  <c r="X1152" i="4"/>
  <c r="X1153" i="4"/>
  <c r="X1154" i="4"/>
  <c r="X1155" i="4"/>
  <c r="X1156" i="4"/>
  <c r="X1157" i="4"/>
  <c r="X1158" i="4"/>
  <c r="X1159" i="4"/>
  <c r="X1160" i="4"/>
  <c r="X1161" i="4"/>
  <c r="X1162" i="4"/>
  <c r="X1163" i="4"/>
  <c r="X1164" i="4"/>
  <c r="X1165" i="4"/>
  <c r="X1166" i="4"/>
  <c r="X1167" i="4"/>
  <c r="X1168" i="4"/>
  <c r="X1169" i="4"/>
  <c r="X1170" i="4"/>
  <c r="X1171" i="4"/>
  <c r="X1172" i="4"/>
  <c r="X1173" i="4"/>
  <c r="X1174" i="4"/>
  <c r="X1175" i="4"/>
  <c r="X1176" i="4"/>
  <c r="X1177" i="4"/>
  <c r="X1178" i="4"/>
  <c r="X1179" i="4"/>
  <c r="X1180" i="4"/>
  <c r="X1181" i="4"/>
  <c r="X1182" i="4"/>
  <c r="X1183" i="4"/>
  <c r="X1184" i="4"/>
  <c r="X1185" i="4"/>
  <c r="X1186" i="4"/>
  <c r="X1187" i="4"/>
  <c r="X1188" i="4"/>
  <c r="X1189" i="4"/>
  <c r="X1190" i="4"/>
  <c r="X1191" i="4"/>
  <c r="X1192" i="4"/>
  <c r="X1193" i="4"/>
  <c r="X1194" i="4"/>
  <c r="X1195" i="4"/>
  <c r="X1196" i="4"/>
  <c r="X1197" i="4"/>
  <c r="X1198" i="4"/>
  <c r="X1199" i="4"/>
  <c r="X1200" i="4"/>
  <c r="X1201" i="4"/>
  <c r="X1202" i="4"/>
  <c r="X1203" i="4"/>
  <c r="X1204" i="4"/>
  <c r="X1205" i="4"/>
  <c r="X1206" i="4"/>
  <c r="X1207" i="4"/>
  <c r="X1208" i="4"/>
  <c r="X1209" i="4"/>
  <c r="X1210" i="4"/>
  <c r="X1211" i="4"/>
  <c r="X1212" i="4"/>
  <c r="X1213" i="4"/>
  <c r="X1214" i="4"/>
  <c r="X1215" i="4"/>
  <c r="X1216" i="4"/>
  <c r="X1217" i="4"/>
  <c r="X1218" i="4"/>
  <c r="X1219" i="4"/>
  <c r="X1220" i="4"/>
  <c r="X1221" i="4"/>
  <c r="X1222" i="4"/>
  <c r="X1223" i="4"/>
  <c r="X1224" i="4"/>
  <c r="X1225" i="4"/>
  <c r="X1226" i="4"/>
  <c r="X1227" i="4"/>
  <c r="X1228" i="4"/>
  <c r="X1229" i="4"/>
  <c r="X1230" i="4"/>
  <c r="X1231" i="4"/>
  <c r="X1232" i="4"/>
  <c r="X1233" i="4"/>
  <c r="X1234" i="4"/>
  <c r="X1235" i="4"/>
  <c r="X1236" i="4"/>
  <c r="X1237" i="4"/>
  <c r="X1238" i="4"/>
  <c r="X1239" i="4"/>
  <c r="X1240" i="4"/>
  <c r="X1241" i="4"/>
  <c r="X1242" i="4"/>
  <c r="X1243" i="4"/>
  <c r="X1244" i="4"/>
  <c r="X1245" i="4"/>
  <c r="X1246" i="4"/>
  <c r="X1247" i="4"/>
  <c r="X1248" i="4"/>
  <c r="X1249" i="4"/>
  <c r="X1250" i="4"/>
  <c r="X1251" i="4"/>
  <c r="X1252" i="4"/>
  <c r="X1253" i="4"/>
  <c r="X1254" i="4"/>
  <c r="X1255" i="4"/>
  <c r="X1256" i="4"/>
  <c r="X1257" i="4"/>
  <c r="X1258" i="4"/>
  <c r="X1259" i="4"/>
  <c r="X1260" i="4"/>
  <c r="X1261" i="4"/>
  <c r="X1262" i="4"/>
  <c r="X1263" i="4"/>
  <c r="X9" i="4"/>
  <c r="X10" i="4"/>
  <c r="X11" i="4"/>
  <c r="X12" i="4"/>
  <c r="X13" i="4"/>
  <c r="X14" i="4"/>
  <c r="X15" i="4"/>
  <c r="X16" i="4"/>
  <c r="X17" i="4"/>
  <c r="X18" i="4"/>
  <c r="X19" i="4"/>
  <c r="X20" i="4"/>
  <c r="X21" i="4"/>
  <c r="X22" i="4"/>
  <c r="X23" i="4"/>
  <c r="X24" i="4"/>
  <c r="X25" i="4"/>
  <c r="X26" i="4"/>
  <c r="X27" i="4"/>
  <c r="X28" i="4"/>
  <c r="X29" i="4"/>
  <c r="X30" i="4"/>
  <c r="X31" i="4"/>
  <c r="X32" i="4"/>
  <c r="X33" i="4"/>
  <c r="X34" i="4"/>
  <c r="X35" i="4"/>
  <c r="X36" i="4"/>
  <c r="X37" i="4"/>
  <c r="X38" i="4"/>
  <c r="X39" i="4"/>
  <c r="X40" i="4"/>
  <c r="X41" i="4"/>
  <c r="X42" i="4"/>
  <c r="X43" i="4"/>
  <c r="X44" i="4"/>
  <c r="X45" i="4"/>
  <c r="X46" i="4"/>
  <c r="X47" i="4"/>
  <c r="X48" i="4"/>
  <c r="X49" i="4"/>
  <c r="X50" i="4"/>
  <c r="X51" i="4"/>
  <c r="X52" i="4"/>
  <c r="X53" i="4"/>
  <c r="X54" i="4"/>
  <c r="X55" i="4"/>
  <c r="X56" i="4"/>
  <c r="X57" i="4"/>
  <c r="X58" i="4"/>
  <c r="X59" i="4"/>
  <c r="X60" i="4"/>
  <c r="X61" i="4"/>
  <c r="X62" i="4"/>
  <c r="X63" i="4"/>
  <c r="X64" i="4"/>
  <c r="X65" i="4"/>
  <c r="X66" i="4"/>
  <c r="X67" i="4"/>
  <c r="X68" i="4"/>
  <c r="X69" i="4"/>
  <c r="X70" i="4"/>
  <c r="X71" i="4"/>
  <c r="X72" i="4"/>
  <c r="X73" i="4"/>
  <c r="X74" i="4"/>
  <c r="X75" i="4"/>
  <c r="X76" i="4"/>
  <c r="X77" i="4"/>
  <c r="X78" i="4"/>
  <c r="X79" i="4"/>
  <c r="X80" i="4"/>
  <c r="X81" i="4"/>
  <c r="X82" i="4"/>
  <c r="X83" i="4"/>
  <c r="X84" i="4"/>
  <c r="X85" i="4"/>
  <c r="X86" i="4"/>
  <c r="X87" i="4"/>
  <c r="X88" i="4"/>
  <c r="X89" i="4"/>
  <c r="X90" i="4"/>
  <c r="X91" i="4"/>
  <c r="X92" i="4"/>
  <c r="X93" i="4"/>
  <c r="X94" i="4"/>
  <c r="X95" i="4"/>
  <c r="X96" i="4"/>
  <c r="X97" i="4"/>
  <c r="X98" i="4"/>
  <c r="X99" i="4"/>
  <c r="X100" i="4"/>
  <c r="X101" i="4"/>
  <c r="X102" i="4"/>
  <c r="X103" i="4"/>
  <c r="X104" i="4"/>
  <c r="X105" i="4"/>
  <c r="X106" i="4"/>
  <c r="X107" i="4"/>
  <c r="X108" i="4"/>
  <c r="X109" i="4"/>
  <c r="X110" i="4"/>
  <c r="X111" i="4"/>
  <c r="X112" i="4"/>
  <c r="X113" i="4"/>
  <c r="X114" i="4"/>
  <c r="X115" i="4"/>
  <c r="X116" i="4"/>
  <c r="X117" i="4"/>
  <c r="X118" i="4"/>
  <c r="X119" i="4"/>
  <c r="X120" i="4"/>
  <c r="X121" i="4"/>
  <c r="X122" i="4"/>
  <c r="X123" i="4"/>
  <c r="X124" i="4"/>
  <c r="X125" i="4"/>
  <c r="X126" i="4"/>
  <c r="X127" i="4"/>
  <c r="X128" i="4"/>
  <c r="X129" i="4"/>
  <c r="X130" i="4"/>
  <c r="X131" i="4"/>
  <c r="X132" i="4"/>
  <c r="X133" i="4"/>
  <c r="X134" i="4"/>
  <c r="X135" i="4"/>
  <c r="X136" i="4"/>
  <c r="X137" i="4"/>
  <c r="X138" i="4"/>
  <c r="X139" i="4"/>
  <c r="X140" i="4"/>
  <c r="X141" i="4"/>
  <c r="X142" i="4"/>
  <c r="X143" i="4"/>
  <c r="X144" i="4"/>
  <c r="X145" i="4"/>
  <c r="X146" i="4"/>
  <c r="X147" i="4"/>
  <c r="X148" i="4"/>
  <c r="X149" i="4"/>
  <c r="X150" i="4"/>
  <c r="X151" i="4"/>
  <c r="X152" i="4"/>
  <c r="X153" i="4"/>
  <c r="X154" i="4"/>
  <c r="X155" i="4"/>
  <c r="X156" i="4"/>
  <c r="X157" i="4"/>
  <c r="X158" i="4"/>
  <c r="X159" i="4"/>
  <c r="X160" i="4"/>
  <c r="X161" i="4"/>
  <c r="X162" i="4"/>
  <c r="X163" i="4"/>
  <c r="X164" i="4"/>
  <c r="X165" i="4"/>
  <c r="X166" i="4"/>
  <c r="X167" i="4"/>
  <c r="X168" i="4"/>
  <c r="X169" i="4"/>
  <c r="X170" i="4"/>
  <c r="X171" i="4"/>
  <c r="X172" i="4"/>
  <c r="X173" i="4"/>
  <c r="X174" i="4"/>
  <c r="X175" i="4"/>
  <c r="X176" i="4"/>
  <c r="X177" i="4"/>
  <c r="X178" i="4"/>
  <c r="X179" i="4"/>
  <c r="X180" i="4"/>
  <c r="X181" i="4"/>
  <c r="X182" i="4"/>
  <c r="X183" i="4"/>
  <c r="X184" i="4"/>
  <c r="X185" i="4"/>
  <c r="X186" i="4"/>
  <c r="X187" i="4"/>
  <c r="X188" i="4"/>
  <c r="X189" i="4"/>
  <c r="X190" i="4"/>
  <c r="X191" i="4"/>
  <c r="X192" i="4"/>
  <c r="X193" i="4"/>
  <c r="X194" i="4"/>
  <c r="X195" i="4"/>
  <c r="X196" i="4"/>
  <c r="X197" i="4"/>
  <c r="X198" i="4"/>
  <c r="X199" i="4"/>
  <c r="X200" i="4"/>
  <c r="X201" i="4"/>
  <c r="X202" i="4"/>
  <c r="X203" i="4"/>
  <c r="X204" i="4"/>
  <c r="X205" i="4"/>
  <c r="X206" i="4"/>
  <c r="X207" i="4"/>
  <c r="X208" i="4"/>
  <c r="X209" i="4"/>
  <c r="X210" i="4"/>
  <c r="X211" i="4"/>
  <c r="X212" i="4"/>
  <c r="X213" i="4"/>
  <c r="X214" i="4"/>
  <c r="X215" i="4"/>
  <c r="X216" i="4"/>
  <c r="X217" i="4"/>
  <c r="X218" i="4"/>
  <c r="X219" i="4"/>
  <c r="X220" i="4"/>
  <c r="X221" i="4"/>
  <c r="X222" i="4"/>
  <c r="X223" i="4"/>
  <c r="X224" i="4"/>
  <c r="X225" i="4"/>
  <c r="X226" i="4"/>
  <c r="X227" i="4"/>
  <c r="X228" i="4"/>
  <c r="X229" i="4"/>
  <c r="X230" i="4"/>
  <c r="X231" i="4"/>
  <c r="X232" i="4"/>
  <c r="X233" i="4"/>
  <c r="X234" i="4"/>
  <c r="X235" i="4"/>
  <c r="X236" i="4"/>
  <c r="X237" i="4"/>
  <c r="X238" i="4"/>
  <c r="X239" i="4"/>
  <c r="X240" i="4"/>
  <c r="X241" i="4"/>
  <c r="X242" i="4"/>
  <c r="X243" i="4"/>
  <c r="X244" i="4"/>
  <c r="X245" i="4"/>
  <c r="X246" i="4"/>
  <c r="X247" i="4"/>
  <c r="X248" i="4"/>
  <c r="X249" i="4"/>
  <c r="X250" i="4"/>
  <c r="X251" i="4"/>
  <c r="X252" i="4"/>
  <c r="X253" i="4"/>
  <c r="X254" i="4"/>
  <c r="X255" i="4"/>
  <c r="X256" i="4"/>
  <c r="X257" i="4"/>
  <c r="X258" i="4"/>
  <c r="X259" i="4"/>
  <c r="X260" i="4"/>
  <c r="X261" i="4"/>
  <c r="X262" i="4"/>
  <c r="X263" i="4"/>
  <c r="X264" i="4"/>
  <c r="X265" i="4"/>
  <c r="X266" i="4"/>
  <c r="X267" i="4"/>
  <c r="X268" i="4"/>
  <c r="X269" i="4"/>
  <c r="X270" i="4"/>
  <c r="X271" i="4"/>
  <c r="X272" i="4"/>
  <c r="X273" i="4"/>
  <c r="X274" i="4"/>
  <c r="X275" i="4"/>
  <c r="X276" i="4"/>
  <c r="X277" i="4"/>
  <c r="X278" i="4"/>
  <c r="X279" i="4"/>
  <c r="X280" i="4"/>
  <c r="X281" i="4"/>
  <c r="X282" i="4"/>
  <c r="X283" i="4"/>
  <c r="X284" i="4"/>
  <c r="X285" i="4"/>
  <c r="X286" i="4"/>
  <c r="X287" i="4"/>
  <c r="X288" i="4"/>
  <c r="X289" i="4"/>
  <c r="X290" i="4"/>
  <c r="X291" i="4"/>
  <c r="X292" i="4"/>
  <c r="X293" i="4"/>
  <c r="X294" i="4"/>
  <c r="X295" i="4"/>
  <c r="X296" i="4"/>
  <c r="X297" i="4"/>
  <c r="X298" i="4"/>
  <c r="X299" i="4"/>
  <c r="X300" i="4"/>
  <c r="X301" i="4"/>
  <c r="X302" i="4"/>
  <c r="X303" i="4"/>
  <c r="X304" i="4"/>
  <c r="X305" i="4"/>
  <c r="X306" i="4"/>
  <c r="X307" i="4"/>
  <c r="X308" i="4"/>
  <c r="X309" i="4"/>
  <c r="X310" i="4"/>
  <c r="X311" i="4"/>
  <c r="X312" i="4"/>
  <c r="X313" i="4"/>
  <c r="X314" i="4"/>
  <c r="X315" i="4"/>
  <c r="X316" i="4"/>
  <c r="X317" i="4"/>
  <c r="X318" i="4"/>
  <c r="X319" i="4"/>
  <c r="X320" i="4"/>
  <c r="X321" i="4"/>
  <c r="X322" i="4"/>
  <c r="X323" i="4"/>
  <c r="X324" i="4"/>
  <c r="X325" i="4"/>
  <c r="X326" i="4"/>
  <c r="X327" i="4"/>
  <c r="X328" i="4"/>
  <c r="X329" i="4"/>
  <c r="X330" i="4"/>
  <c r="X331" i="4"/>
  <c r="X332" i="4"/>
  <c r="X333" i="4"/>
  <c r="X334" i="4"/>
  <c r="X335" i="4"/>
  <c r="X336" i="4"/>
  <c r="X337" i="4"/>
  <c r="X338" i="4"/>
  <c r="X339" i="4"/>
  <c r="X340" i="4"/>
  <c r="X341" i="4"/>
  <c r="X8" i="4"/>
  <c r="C35" i="16"/>
  <c r="C73" i="6" s="1"/>
  <c r="C75" i="6" s="1"/>
  <c r="H9" i="16"/>
  <c r="Q21" i="16"/>
  <c r="D53" i="6"/>
  <c r="E53" i="6"/>
  <c r="F53" i="6"/>
  <c r="G53" i="6"/>
  <c r="C53" i="6"/>
  <c r="C11" i="16"/>
  <c r="C50" i="16"/>
  <c r="C53" i="16"/>
  <c r="I28" i="16"/>
  <c r="J28" i="16"/>
  <c r="H28" i="16"/>
  <c r="C29" i="16"/>
  <c r="C21" i="11" s="1"/>
  <c r="D28" i="16"/>
  <c r="D106" i="6" s="1"/>
  <c r="D108" i="6" s="1"/>
  <c r="E28" i="16"/>
  <c r="E106" i="6" s="1"/>
  <c r="F28" i="16"/>
  <c r="F106" i="6" s="1"/>
  <c r="G106" i="6"/>
  <c r="I26" i="16"/>
  <c r="J26" i="16"/>
  <c r="H26" i="16"/>
  <c r="G85" i="6"/>
  <c r="F26" i="16"/>
  <c r="F85" i="6" s="1"/>
  <c r="D26" i="16"/>
  <c r="D85" i="6" s="1"/>
  <c r="E26" i="16"/>
  <c r="E85" i="6" s="1"/>
  <c r="I18" i="16"/>
  <c r="J18" i="16"/>
  <c r="H18" i="16"/>
  <c r="I16" i="16"/>
  <c r="I15" i="16"/>
  <c r="J15" i="16"/>
  <c r="I14" i="16"/>
  <c r="J14" i="16"/>
  <c r="I10" i="16"/>
  <c r="J10" i="16"/>
  <c r="H10" i="16"/>
  <c r="H14" i="16"/>
  <c r="H16" i="16"/>
  <c r="H15" i="16"/>
  <c r="I9" i="16"/>
  <c r="J9" i="16"/>
  <c r="D15" i="16"/>
  <c r="E15" i="16"/>
  <c r="F15" i="16"/>
  <c r="E16" i="16"/>
  <c r="F16" i="16"/>
  <c r="G16" i="16"/>
  <c r="C16" i="16"/>
  <c r="D14" i="16"/>
  <c r="D63" i="6" s="1"/>
  <c r="E14" i="16"/>
  <c r="E63" i="6" s="1"/>
  <c r="F14" i="16"/>
  <c r="F63" i="6" s="1"/>
  <c r="G14" i="16"/>
  <c r="G63" i="6" s="1"/>
  <c r="D18" i="16"/>
  <c r="E18" i="16"/>
  <c r="F18" i="16"/>
  <c r="G18" i="16"/>
  <c r="D35" i="16"/>
  <c r="D73" i="6" s="1"/>
  <c r="D75" i="6" s="1"/>
  <c r="E35" i="16"/>
  <c r="E73" i="6" s="1"/>
  <c r="E75" i="6" s="1"/>
  <c r="F35" i="16"/>
  <c r="F73" i="6" s="1"/>
  <c r="F75" i="6" s="1"/>
  <c r="G35" i="16"/>
  <c r="G73" i="6" s="1"/>
  <c r="G75" i="6" s="1"/>
  <c r="C81" i="6"/>
  <c r="D64" i="6"/>
  <c r="B9" i="16"/>
  <c r="D9" i="16"/>
  <c r="E9" i="16"/>
  <c r="F9" i="16"/>
  <c r="G9" i="16"/>
  <c r="D10" i="16"/>
  <c r="E10" i="16"/>
  <c r="F10" i="16"/>
  <c r="G10" i="16"/>
  <c r="L9" i="16" l="1"/>
  <c r="L23" i="16" s="1"/>
  <c r="I75" i="6"/>
  <c r="S35" i="16" s="1"/>
  <c r="G65" i="6"/>
  <c r="D88" i="6"/>
  <c r="C14" i="13"/>
  <c r="F65" i="6"/>
  <c r="E65" i="6"/>
  <c r="G108" i="6"/>
  <c r="F76" i="6"/>
  <c r="G103" i="6"/>
  <c r="E76" i="6"/>
  <c r="E103" i="6"/>
  <c r="D39" i="16"/>
  <c r="D91" i="6" s="1"/>
  <c r="G81" i="6"/>
  <c r="G70" i="6"/>
  <c r="D65" i="6"/>
  <c r="F39" i="16"/>
  <c r="F91" i="6" s="1"/>
  <c r="F92" i="6" s="1"/>
  <c r="D103" i="6"/>
  <c r="F81" i="6"/>
  <c r="F70" i="6"/>
  <c r="C39" i="16"/>
  <c r="C91" i="6" s="1"/>
  <c r="C92" i="6" s="1"/>
  <c r="D81" i="6"/>
  <c r="D70" i="6"/>
  <c r="E70" i="6"/>
  <c r="E81" i="6"/>
  <c r="G39" i="16"/>
  <c r="G91" i="6" s="1"/>
  <c r="G92" i="6" s="1"/>
  <c r="F103" i="6"/>
  <c r="G76" i="6"/>
  <c r="E39" i="16"/>
  <c r="E91" i="6" s="1"/>
  <c r="E92" i="6" s="1"/>
  <c r="D76" i="6"/>
  <c r="F55" i="6"/>
  <c r="H30" i="16"/>
  <c r="D55" i="6"/>
  <c r="I11" i="16"/>
  <c r="I12" i="16" s="1"/>
  <c r="D11" i="16"/>
  <c r="D21" i="16" s="1"/>
  <c r="D22" i="16" s="1"/>
  <c r="J29" i="16"/>
  <c r="E55" i="6"/>
  <c r="G55" i="6"/>
  <c r="I30" i="16"/>
  <c r="J11" i="16"/>
  <c r="J19" i="16" s="1"/>
  <c r="F11" i="16"/>
  <c r="F18" i="6" s="1"/>
  <c r="E11" i="16"/>
  <c r="E21" i="16" s="1"/>
  <c r="E88" i="6"/>
  <c r="F108" i="6"/>
  <c r="E29" i="16"/>
  <c r="E21" i="11" s="1"/>
  <c r="C30" i="16"/>
  <c r="C116" i="6" s="1"/>
  <c r="E108" i="6"/>
  <c r="D29" i="16"/>
  <c r="D21" i="11" s="1"/>
  <c r="J30" i="16"/>
  <c r="G86" i="6"/>
  <c r="F88" i="6"/>
  <c r="C21" i="16"/>
  <c r="F86" i="6"/>
  <c r="G88" i="6"/>
  <c r="E86" i="6"/>
  <c r="G30" i="16"/>
  <c r="G116" i="6" s="1"/>
  <c r="D86" i="6"/>
  <c r="I29" i="16"/>
  <c r="N47" i="16"/>
  <c r="Q12" i="12"/>
  <c r="C9" i="12" s="1"/>
  <c r="F30" i="16"/>
  <c r="F116" i="6" s="1"/>
  <c r="C86" i="6"/>
  <c r="G29" i="16"/>
  <c r="G21" i="11" s="1"/>
  <c r="G11" i="16"/>
  <c r="G21" i="16" s="1"/>
  <c r="G24" i="16" s="1"/>
  <c r="E30" i="16"/>
  <c r="E116" i="6" s="1"/>
  <c r="H29" i="16"/>
  <c r="C18" i="6"/>
  <c r="F29" i="16"/>
  <c r="F21" i="11" s="1"/>
  <c r="D30" i="16"/>
  <c r="D116" i="6" s="1"/>
  <c r="G107" i="6"/>
  <c r="F107" i="6"/>
  <c r="E107" i="6"/>
  <c r="D107" i="6"/>
  <c r="C107" i="6"/>
  <c r="C64" i="6"/>
  <c r="C102" i="6"/>
  <c r="C69" i="6"/>
  <c r="G102" i="6"/>
  <c r="G69" i="6"/>
  <c r="F102" i="6"/>
  <c r="F64" i="6"/>
  <c r="F69" i="6"/>
  <c r="E102" i="6"/>
  <c r="E69" i="6"/>
  <c r="E64" i="6"/>
  <c r="D102" i="6"/>
  <c r="D69" i="6"/>
  <c r="D74" i="6"/>
  <c r="C74" i="6"/>
  <c r="G74" i="6"/>
  <c r="F74" i="6"/>
  <c r="E74" i="6"/>
  <c r="H82" i="6"/>
  <c r="G35" i="6"/>
  <c r="D40" i="6"/>
  <c r="F80" i="6"/>
  <c r="D54" i="6"/>
  <c r="E54" i="6"/>
  <c r="E30" i="6"/>
  <c r="D35" i="6"/>
  <c r="F54" i="6"/>
  <c r="G54" i="6"/>
  <c r="C54" i="6"/>
  <c r="G80" i="6"/>
  <c r="F35" i="6"/>
  <c r="E80" i="6"/>
  <c r="D29" i="6"/>
  <c r="F30" i="6"/>
  <c r="D80" i="6"/>
  <c r="C80" i="6"/>
  <c r="G40" i="6"/>
  <c r="F34" i="6"/>
  <c r="F40" i="6"/>
  <c r="I82" i="6"/>
  <c r="G30" i="6"/>
  <c r="F29" i="6"/>
  <c r="E40" i="6"/>
  <c r="E35" i="6"/>
  <c r="F39" i="6"/>
  <c r="C29" i="6"/>
  <c r="D30" i="6"/>
  <c r="E29" i="6"/>
  <c r="G39" i="6"/>
  <c r="C34" i="6"/>
  <c r="G29" i="6"/>
  <c r="D34" i="6"/>
  <c r="E34" i="6"/>
  <c r="F14" i="6"/>
  <c r="G34" i="6"/>
  <c r="D39" i="6"/>
  <c r="E39" i="6"/>
  <c r="D24" i="6"/>
  <c r="F25" i="6"/>
  <c r="E14" i="6"/>
  <c r="E24" i="6"/>
  <c r="G25" i="6"/>
  <c r="E25" i="6"/>
  <c r="F24" i="6"/>
  <c r="G24" i="6"/>
  <c r="D15" i="6"/>
  <c r="C24" i="6"/>
  <c r="G14" i="6"/>
  <c r="G15" i="6"/>
  <c r="F15" i="6"/>
  <c r="C14" i="6"/>
  <c r="E15" i="6"/>
  <c r="D14" i="6"/>
  <c r="D25" i="6"/>
  <c r="C12" i="16"/>
  <c r="C20" i="11" s="1"/>
  <c r="C19" i="16"/>
  <c r="C43" i="6" s="1"/>
  <c r="C44" i="6" s="1"/>
  <c r="H11" i="16"/>
  <c r="H19" i="16" s="1"/>
  <c r="C10" i="5"/>
  <c r="G64" i="6" l="1"/>
  <c r="I64" i="6" s="1"/>
  <c r="G13" i="11"/>
  <c r="G22" i="11" s="1"/>
  <c r="G12" i="11"/>
  <c r="G11" i="11"/>
  <c r="H76" i="6"/>
  <c r="I81" i="6"/>
  <c r="D93" i="6"/>
  <c r="E93" i="6"/>
  <c r="D92" i="6"/>
  <c r="I92" i="6" s="1"/>
  <c r="I76" i="6"/>
  <c r="H81" i="6"/>
  <c r="D12" i="16"/>
  <c r="D20" i="11" s="1"/>
  <c r="I19" i="16"/>
  <c r="I70" i="6"/>
  <c r="H70" i="6"/>
  <c r="F93" i="6"/>
  <c r="H65" i="6"/>
  <c r="I65" i="6"/>
  <c r="G93" i="6"/>
  <c r="H75" i="6"/>
  <c r="I103" i="6"/>
  <c r="H103" i="6"/>
  <c r="H55" i="6"/>
  <c r="I55" i="6"/>
  <c r="D19" i="16"/>
  <c r="D18" i="6"/>
  <c r="D19" i="6" s="1"/>
  <c r="I108" i="6"/>
  <c r="I21" i="16"/>
  <c r="I22" i="16" s="1"/>
  <c r="F21" i="16"/>
  <c r="F22" i="16" s="1"/>
  <c r="J21" i="16"/>
  <c r="J24" i="16" s="1"/>
  <c r="E18" i="6"/>
  <c r="F20" i="6" s="1"/>
  <c r="E19" i="16"/>
  <c r="E43" i="6" s="1"/>
  <c r="E44" i="6" s="1"/>
  <c r="F12" i="16"/>
  <c r="F20" i="11" s="1"/>
  <c r="C19" i="6"/>
  <c r="F19" i="16"/>
  <c r="F43" i="6" s="1"/>
  <c r="J12" i="16"/>
  <c r="E12" i="16"/>
  <c r="E20" i="11" s="1"/>
  <c r="I86" i="6"/>
  <c r="F19" i="6"/>
  <c r="I88" i="6"/>
  <c r="E117" i="6"/>
  <c r="H86" i="6"/>
  <c r="C22" i="16"/>
  <c r="C48" i="6"/>
  <c r="C49" i="6" s="1"/>
  <c r="G18" i="6"/>
  <c r="G12" i="16"/>
  <c r="G20" i="11" s="1"/>
  <c r="G19" i="16"/>
  <c r="H108" i="6"/>
  <c r="I54" i="6"/>
  <c r="H54" i="6"/>
  <c r="D48" i="6"/>
  <c r="D24" i="16"/>
  <c r="G117" i="6"/>
  <c r="H117" i="6"/>
  <c r="H88" i="6"/>
  <c r="D117" i="6"/>
  <c r="F117" i="6"/>
  <c r="E48" i="6"/>
  <c r="E49" i="6" s="1"/>
  <c r="E24" i="16"/>
  <c r="E22" i="16"/>
  <c r="F48" i="6"/>
  <c r="J20" i="16"/>
  <c r="I107" i="6"/>
  <c r="H107" i="6"/>
  <c r="H34" i="6"/>
  <c r="H102" i="6"/>
  <c r="I102" i="6"/>
  <c r="H69" i="6"/>
  <c r="I69" i="6"/>
  <c r="H92" i="6"/>
  <c r="I35" i="6"/>
  <c r="I74" i="6"/>
  <c r="H74" i="6"/>
  <c r="H35" i="6"/>
  <c r="I40" i="6"/>
  <c r="H80" i="6"/>
  <c r="I80" i="6"/>
  <c r="H40" i="6"/>
  <c r="I30" i="6"/>
  <c r="H39" i="6"/>
  <c r="I39" i="6"/>
  <c r="H29" i="6"/>
  <c r="H30" i="6"/>
  <c r="I29" i="6"/>
  <c r="I14" i="6"/>
  <c r="I25" i="6"/>
  <c r="I34" i="6"/>
  <c r="I24" i="6"/>
  <c r="H25" i="6"/>
  <c r="I15" i="6"/>
  <c r="H24" i="6"/>
  <c r="H14" i="6"/>
  <c r="H15" i="6"/>
  <c r="C20" i="16"/>
  <c r="C41" i="16"/>
  <c r="H21" i="16"/>
  <c r="H20" i="16"/>
  <c r="H12" i="16"/>
  <c r="E11" i="10"/>
  <c r="H64" i="6" l="1"/>
  <c r="T33" i="16"/>
  <c r="U33" i="16"/>
  <c r="V33" i="16"/>
  <c r="W33" i="16"/>
  <c r="S33" i="16"/>
  <c r="L33" i="16" s="1"/>
  <c r="T36" i="16"/>
  <c r="S36" i="16"/>
  <c r="F24" i="16"/>
  <c r="F13" i="11" s="1"/>
  <c r="F22" i="11" s="1"/>
  <c r="F12" i="11"/>
  <c r="F11" i="11"/>
  <c r="D12" i="11"/>
  <c r="D13" i="11"/>
  <c r="D22" i="11" s="1"/>
  <c r="D11" i="11"/>
  <c r="E12" i="11"/>
  <c r="E11" i="11"/>
  <c r="E13" i="11"/>
  <c r="E22" i="11" s="1"/>
  <c r="I24" i="16"/>
  <c r="H93" i="6"/>
  <c r="J25" i="16"/>
  <c r="W36" i="16"/>
  <c r="V36" i="16"/>
  <c r="E20" i="16"/>
  <c r="U36" i="16"/>
  <c r="I93" i="6"/>
  <c r="W35" i="16"/>
  <c r="V35" i="16"/>
  <c r="T35" i="16"/>
  <c r="U35" i="16"/>
  <c r="I20" i="16"/>
  <c r="J22" i="16"/>
  <c r="D20" i="6"/>
  <c r="F20" i="16"/>
  <c r="D20" i="16"/>
  <c r="D43" i="6"/>
  <c r="E45" i="6" s="1"/>
  <c r="E19" i="6"/>
  <c r="E20" i="6"/>
  <c r="I117" i="6"/>
  <c r="D58" i="6"/>
  <c r="D25" i="16"/>
  <c r="G49" i="16"/>
  <c r="G20" i="16"/>
  <c r="G43" i="6"/>
  <c r="E50" i="6"/>
  <c r="D49" i="6"/>
  <c r="D50" i="6"/>
  <c r="V10" i="16"/>
  <c r="T10" i="16"/>
  <c r="U10" i="16"/>
  <c r="S10" i="16"/>
  <c r="W10" i="16"/>
  <c r="G48" i="6"/>
  <c r="G22" i="16"/>
  <c r="W15" i="16"/>
  <c r="V15" i="16"/>
  <c r="U15" i="16"/>
  <c r="T15" i="16"/>
  <c r="G20" i="6"/>
  <c r="G19" i="6"/>
  <c r="C43" i="16"/>
  <c r="C111" i="6" s="1"/>
  <c r="C112" i="6" s="1"/>
  <c r="C96" i="6"/>
  <c r="F58" i="6"/>
  <c r="F25" i="16"/>
  <c r="J117" i="6"/>
  <c r="F50" i="6"/>
  <c r="F49" i="6"/>
  <c r="F45" i="6"/>
  <c r="F44" i="6"/>
  <c r="U14" i="16"/>
  <c r="S14" i="16"/>
  <c r="W14" i="16"/>
  <c r="V14" i="16"/>
  <c r="T14" i="16"/>
  <c r="W18" i="16"/>
  <c r="V18" i="16"/>
  <c r="E58" i="6"/>
  <c r="E25" i="16"/>
  <c r="H24" i="16"/>
  <c r="H22" i="16"/>
  <c r="B33" i="10"/>
  <c r="B34" i="10" s="1"/>
  <c r="B35" i="10" s="1"/>
  <c r="B31" i="10"/>
  <c r="B30" i="10" s="1"/>
  <c r="B29" i="10" s="1"/>
  <c r="M6" i="16"/>
  <c r="N6" i="16" s="1"/>
  <c r="O6" i="16" s="1"/>
  <c r="P6" i="16" s="1"/>
  <c r="M33" i="16" l="1"/>
  <c r="N33" i="16" s="1"/>
  <c r="O33" i="16" s="1"/>
  <c r="P33" i="16" s="1"/>
  <c r="P35" i="16" s="1"/>
  <c r="L35" i="16"/>
  <c r="M35" i="16"/>
  <c r="I25" i="16"/>
  <c r="D44" i="6"/>
  <c r="D45" i="6"/>
  <c r="I20" i="6"/>
  <c r="H20" i="6"/>
  <c r="E87" i="6"/>
  <c r="E59" i="6"/>
  <c r="E60" i="6"/>
  <c r="G58" i="6"/>
  <c r="G25" i="16"/>
  <c r="G50" i="6"/>
  <c r="I50" i="6" s="1"/>
  <c r="G49" i="6"/>
  <c r="H49" i="6" s="1"/>
  <c r="D87" i="6"/>
  <c r="D59" i="6"/>
  <c r="H25" i="16"/>
  <c r="F60" i="6"/>
  <c r="F59" i="6"/>
  <c r="F87" i="6"/>
  <c r="C97" i="6"/>
  <c r="G45" i="6"/>
  <c r="G44" i="6"/>
  <c r="I19" i="6"/>
  <c r="H19" i="6"/>
  <c r="C16" i="5"/>
  <c r="G11" i="8"/>
  <c r="H11" i="8" s="1"/>
  <c r="I11" i="8" s="1"/>
  <c r="J11" i="8" s="1"/>
  <c r="K11" i="8" s="1"/>
  <c r="L11" i="8" s="1"/>
  <c r="M11" i="8" s="1"/>
  <c r="N11" i="8" s="1"/>
  <c r="O11" i="8" s="1"/>
  <c r="P11" i="8" s="1"/>
  <c r="Q11" i="8" s="1"/>
  <c r="R11" i="8" s="1"/>
  <c r="S11" i="8" s="1"/>
  <c r="T11" i="8" s="1"/>
  <c r="U11" i="8" s="1"/>
  <c r="V11" i="8" s="1"/>
  <c r="W11" i="8" s="1"/>
  <c r="X11" i="8" s="1"/>
  <c r="Y11" i="8" s="1"/>
  <c r="Z11" i="8" s="1"/>
  <c r="AA11" i="8" s="1"/>
  <c r="AB11" i="8" s="1"/>
  <c r="AC11" i="8" s="1"/>
  <c r="AD11" i="8" s="1"/>
  <c r="AE11" i="8" s="1"/>
  <c r="AF11" i="8" s="1"/>
  <c r="F11" i="8"/>
  <c r="E11" i="8"/>
  <c r="D11" i="8"/>
  <c r="C11" i="8"/>
  <c r="D9" i="8"/>
  <c r="E9" i="8"/>
  <c r="F9" i="8"/>
  <c r="G9" i="8"/>
  <c r="C9" i="8"/>
  <c r="D7" i="8"/>
  <c r="E7" i="8"/>
  <c r="E12" i="8" s="1"/>
  <c r="F7" i="8"/>
  <c r="F12" i="8" s="1"/>
  <c r="G7" i="8"/>
  <c r="C7" i="8"/>
  <c r="J19" i="12"/>
  <c r="C7" i="16"/>
  <c r="D7" i="16" s="1"/>
  <c r="E7" i="16" s="1"/>
  <c r="F7" i="16" s="1"/>
  <c r="G7" i="16" s="1"/>
  <c r="L12" i="9"/>
  <c r="I6" i="9"/>
  <c r="H6" i="9" s="1"/>
  <c r="G6" i="9" s="1"/>
  <c r="F6" i="9" s="1"/>
  <c r="E6" i="9" s="1"/>
  <c r="D6" i="9" s="1"/>
  <c r="C6" i="9" s="1"/>
  <c r="C25" i="10"/>
  <c r="B25" i="10"/>
  <c r="B24" i="10"/>
  <c r="C24" i="10"/>
  <c r="AC17" i="4"/>
  <c r="S17" i="4"/>
  <c r="I18" i="8"/>
  <c r="J18" i="8" s="1"/>
  <c r="K18" i="8" s="1"/>
  <c r="L18" i="8" s="1"/>
  <c r="M18" i="8" s="1"/>
  <c r="N18" i="8" s="1"/>
  <c r="O18" i="8" s="1"/>
  <c r="P18" i="8" s="1"/>
  <c r="Q18" i="8" s="1"/>
  <c r="R18" i="8" s="1"/>
  <c r="S18" i="8" s="1"/>
  <c r="T18" i="8" s="1"/>
  <c r="U18" i="8" s="1"/>
  <c r="V18" i="8" s="1"/>
  <c r="W18" i="8" s="1"/>
  <c r="X18" i="8" s="1"/>
  <c r="Y18" i="8" s="1"/>
  <c r="Z18" i="8" s="1"/>
  <c r="AA18" i="8" s="1"/>
  <c r="AB18" i="8" s="1"/>
  <c r="AC18" i="8" s="1"/>
  <c r="AD18" i="8" s="1"/>
  <c r="AE18" i="8" s="1"/>
  <c r="AF18" i="8" s="1"/>
  <c r="I17" i="4"/>
  <c r="Z8" i="4"/>
  <c r="P8" i="4"/>
  <c r="N8" i="4"/>
  <c r="F8" i="4"/>
  <c r="I16" i="4"/>
  <c r="J47" i="16" s="1"/>
  <c r="Q8" i="12"/>
  <c r="C6" i="3"/>
  <c r="C6" i="1"/>
  <c r="D6" i="2"/>
  <c r="D6" i="1" s="1"/>
  <c r="C7" i="6"/>
  <c r="D7" i="6" s="1"/>
  <c r="E7" i="6" s="1"/>
  <c r="C6" i="8"/>
  <c r="D6" i="8" s="1"/>
  <c r="C19" i="11"/>
  <c r="D19" i="11"/>
  <c r="E19" i="11" s="1"/>
  <c r="F19" i="11" s="1"/>
  <c r="G19" i="11" s="1"/>
  <c r="C7" i="11"/>
  <c r="D7" i="11" s="1"/>
  <c r="E7" i="11" s="1"/>
  <c r="F7" i="11" s="1"/>
  <c r="G7" i="11" s="1"/>
  <c r="D53" i="16"/>
  <c r="C11" i="13"/>
  <c r="C10" i="13"/>
  <c r="B2" i="11"/>
  <c r="B1" i="11"/>
  <c r="B2" i="12"/>
  <c r="C7" i="12" s="1"/>
  <c r="B1" i="12"/>
  <c r="C6" i="12" s="1"/>
  <c r="B2" i="9"/>
  <c r="B1" i="9"/>
  <c r="B2" i="8"/>
  <c r="B1" i="8"/>
  <c r="B2" i="16"/>
  <c r="B1" i="16"/>
  <c r="B2" i="6"/>
  <c r="B1" i="6"/>
  <c r="B2" i="5"/>
  <c r="B1" i="5"/>
  <c r="B2" i="13"/>
  <c r="B1" i="13"/>
  <c r="B6" i="13" s="1"/>
  <c r="B2" i="4"/>
  <c r="B1" i="4"/>
  <c r="M6" i="4" s="1"/>
  <c r="B2" i="3"/>
  <c r="B1" i="3"/>
  <c r="B2" i="2"/>
  <c r="B1" i="2"/>
  <c r="B2" i="1"/>
  <c r="B1" i="1"/>
  <c r="K6" i="12"/>
  <c r="H12" i="9"/>
  <c r="G12" i="9"/>
  <c r="F12" i="9"/>
  <c r="E12" i="9"/>
  <c r="D12" i="9"/>
  <c r="C12" i="9"/>
  <c r="H11" i="9"/>
  <c r="G11" i="9"/>
  <c r="F11" i="9"/>
  <c r="E11" i="9"/>
  <c r="D11" i="9"/>
  <c r="C11" i="9"/>
  <c r="C22" i="8"/>
  <c r="B22" i="8"/>
  <c r="E68" i="16"/>
  <c r="E69" i="16" s="1"/>
  <c r="E70" i="16" s="1"/>
  <c r="E66" i="16"/>
  <c r="E65" i="16" s="1"/>
  <c r="E64" i="16" s="1"/>
  <c r="K63" i="16"/>
  <c r="L63" i="16" s="1"/>
  <c r="M63" i="16" s="1"/>
  <c r="N63" i="16" s="1"/>
  <c r="I63" i="16"/>
  <c r="H63" i="16" s="1"/>
  <c r="G63" i="16" s="1"/>
  <c r="F63" i="16" s="1"/>
  <c r="G13" i="5"/>
  <c r="F13" i="5"/>
  <c r="E13" i="5"/>
  <c r="D13" i="5"/>
  <c r="B13" i="5"/>
  <c r="G11" i="5"/>
  <c r="F11" i="5"/>
  <c r="E11" i="5"/>
  <c r="C9" i="5"/>
  <c r="C8" i="5"/>
  <c r="C7" i="5"/>
  <c r="C9" i="13"/>
  <c r="J15" i="12"/>
  <c r="N28" i="12"/>
  <c r="J23" i="12"/>
  <c r="K12" i="9"/>
  <c r="K11" i="9"/>
  <c r="J12" i="9"/>
  <c r="J11" i="9"/>
  <c r="M11" i="9"/>
  <c r="M12" i="9"/>
  <c r="I11" i="9"/>
  <c r="I12" i="9"/>
  <c r="I44" i="6" l="1"/>
  <c r="O35" i="16"/>
  <c r="N35" i="16"/>
  <c r="H45" i="6"/>
  <c r="H50" i="6"/>
  <c r="I45" i="6"/>
  <c r="D16" i="9"/>
  <c r="I49" i="6"/>
  <c r="E16" i="9"/>
  <c r="H44" i="6"/>
  <c r="G60" i="6"/>
  <c r="G87" i="6"/>
  <c r="G59" i="6"/>
  <c r="L16" i="9"/>
  <c r="I16" i="9"/>
  <c r="C11" i="5"/>
  <c r="W6" i="4"/>
  <c r="C6" i="4"/>
  <c r="D16" i="8"/>
  <c r="E6" i="8"/>
  <c r="D6" i="3"/>
  <c r="E6" i="2"/>
  <c r="C16" i="8"/>
  <c r="C12" i="8"/>
  <c r="G12" i="8"/>
  <c r="D12" i="8"/>
  <c r="G16" i="5"/>
  <c r="I10" i="4"/>
  <c r="I15" i="4"/>
  <c r="G10" i="11"/>
  <c r="D50" i="16"/>
  <c r="Q17" i="12"/>
  <c r="G10" i="6"/>
  <c r="L11" i="9"/>
  <c r="C15" i="9" s="1"/>
  <c r="I15" i="9"/>
  <c r="L15" i="9"/>
  <c r="E10" i="6"/>
  <c r="F10" i="6"/>
  <c r="H16" i="9"/>
  <c r="J16" i="9"/>
  <c r="N16" i="9"/>
  <c r="M16" i="9"/>
  <c r="K16" i="9"/>
  <c r="G16" i="9"/>
  <c r="C16" i="9"/>
  <c r="F16" i="9"/>
  <c r="C10" i="11"/>
  <c r="D10" i="6"/>
  <c r="F10" i="11"/>
  <c r="E6" i="6"/>
  <c r="E89" i="6" s="1"/>
  <c r="F7" i="6"/>
  <c r="D6" i="6"/>
  <c r="D89" i="6" s="1"/>
  <c r="J6" i="9"/>
  <c r="K6" i="9" s="1"/>
  <c r="L6" i="9" s="1"/>
  <c r="M6" i="9" s="1"/>
  <c r="N6" i="9" s="1"/>
  <c r="D10" i="11"/>
  <c r="G16" i="11"/>
  <c r="E10" i="11"/>
  <c r="F16" i="11"/>
  <c r="E16" i="11"/>
  <c r="D16" i="11"/>
  <c r="K19" i="12"/>
  <c r="L19" i="12" s="1"/>
  <c r="M19" i="12" s="1"/>
  <c r="E40" i="16"/>
  <c r="E41" i="16" s="1"/>
  <c r="E96" i="6" s="1"/>
  <c r="J7" i="16"/>
  <c r="K7" i="16"/>
  <c r="L7" i="16"/>
  <c r="M7" i="16" s="1"/>
  <c r="N7" i="16" s="1"/>
  <c r="O7" i="16" s="1"/>
  <c r="P7" i="16" s="1"/>
  <c r="F48" i="16" s="1"/>
  <c r="D16" i="5"/>
  <c r="E16" i="5"/>
  <c r="F16" i="5"/>
  <c r="I7" i="16"/>
  <c r="F50" i="16"/>
  <c r="H7" i="16"/>
  <c r="F49" i="16"/>
  <c r="E97" i="6" l="1"/>
  <c r="D15" i="9"/>
  <c r="D17" i="9" s="1"/>
  <c r="K15" i="9"/>
  <c r="K17" i="9" s="1"/>
  <c r="N15" i="9"/>
  <c r="M15" i="9"/>
  <c r="C17" i="9"/>
  <c r="C17" i="5"/>
  <c r="N48" i="16" s="1"/>
  <c r="C51" i="16" s="1"/>
  <c r="D109" i="6"/>
  <c r="E109" i="6"/>
  <c r="L17" i="9"/>
  <c r="H15" i="9"/>
  <c r="H17" i="9" s="1"/>
  <c r="G15" i="9"/>
  <c r="G17" i="9" s="1"/>
  <c r="F15" i="9"/>
  <c r="J15" i="9"/>
  <c r="E15" i="9"/>
  <c r="D104" i="6"/>
  <c r="D66" i="6"/>
  <c r="D71" i="6"/>
  <c r="E104" i="6"/>
  <c r="E71" i="6"/>
  <c r="E66" i="6"/>
  <c r="E94" i="6"/>
  <c r="E99" i="6"/>
  <c r="D94" i="6"/>
  <c r="E56" i="6"/>
  <c r="E51" i="6"/>
  <c r="D56" i="6"/>
  <c r="D51" i="6"/>
  <c r="D118" i="6"/>
  <c r="D83" i="6"/>
  <c r="D77" i="6"/>
  <c r="E77" i="6"/>
  <c r="E118" i="6"/>
  <c r="E83" i="6"/>
  <c r="D36" i="6"/>
  <c r="D31" i="6"/>
  <c r="D41" i="6"/>
  <c r="E31" i="6"/>
  <c r="E36" i="6"/>
  <c r="E41" i="6"/>
  <c r="D46" i="6"/>
  <c r="E46" i="6"/>
  <c r="D26" i="6"/>
  <c r="E26" i="6"/>
  <c r="E16" i="6"/>
  <c r="E21" i="6"/>
  <c r="D16" i="6"/>
  <c r="D21" i="6"/>
  <c r="F6" i="2"/>
  <c r="E6" i="3"/>
  <c r="E6" i="1"/>
  <c r="F6" i="8"/>
  <c r="E16" i="8"/>
  <c r="F40" i="16"/>
  <c r="F41" i="16" s="1"/>
  <c r="F96" i="6" s="1"/>
  <c r="I10" i="6"/>
  <c r="H10" i="6"/>
  <c r="D11" i="6"/>
  <c r="G7" i="6"/>
  <c r="G6" i="6" s="1"/>
  <c r="G89" i="6" s="1"/>
  <c r="F6" i="6"/>
  <c r="F89" i="6" s="1"/>
  <c r="E11" i="6"/>
  <c r="J53" i="16"/>
  <c r="F51" i="16"/>
  <c r="G40" i="16"/>
  <c r="E43" i="16"/>
  <c r="E111" i="6" s="1"/>
  <c r="E112" i="6" s="1"/>
  <c r="F43" i="16" l="1"/>
  <c r="F111" i="6" s="1"/>
  <c r="F114" i="6" s="1"/>
  <c r="F97" i="6"/>
  <c r="F98" i="6"/>
  <c r="I89" i="6"/>
  <c r="E114" i="6"/>
  <c r="H89" i="6"/>
  <c r="G109" i="6"/>
  <c r="F109" i="6"/>
  <c r="G104" i="6"/>
  <c r="G71" i="6"/>
  <c r="G66" i="6"/>
  <c r="F104" i="6"/>
  <c r="F71" i="6"/>
  <c r="F66" i="6"/>
  <c r="F94" i="6"/>
  <c r="F99" i="6"/>
  <c r="G94" i="6"/>
  <c r="F56" i="6"/>
  <c r="F51" i="6"/>
  <c r="G56" i="6"/>
  <c r="G51" i="6"/>
  <c r="F83" i="6"/>
  <c r="F77" i="6"/>
  <c r="F118" i="6"/>
  <c r="G83" i="6"/>
  <c r="G77" i="6"/>
  <c r="G118" i="6"/>
  <c r="F31" i="6"/>
  <c r="F41" i="6"/>
  <c r="F36" i="6"/>
  <c r="G31" i="6"/>
  <c r="G41" i="6"/>
  <c r="G36" i="6"/>
  <c r="F46" i="6"/>
  <c r="G46" i="6"/>
  <c r="G26" i="6"/>
  <c r="F26" i="6"/>
  <c r="F16" i="6"/>
  <c r="F21" i="6"/>
  <c r="G16" i="6"/>
  <c r="G21" i="6"/>
  <c r="G41" i="16"/>
  <c r="G6" i="8"/>
  <c r="F16" i="8"/>
  <c r="F6" i="3"/>
  <c r="F6" i="1"/>
  <c r="G6" i="2"/>
  <c r="G11" i="6"/>
  <c r="H6" i="6"/>
  <c r="H118" i="6" s="1"/>
  <c r="F11" i="6"/>
  <c r="Q16" i="12"/>
  <c r="C14" i="8"/>
  <c r="D51" i="16"/>
  <c r="M48" i="16"/>
  <c r="M47" i="16"/>
  <c r="J55" i="16" s="1"/>
  <c r="F112" i="6" l="1"/>
  <c r="F113" i="6"/>
  <c r="H56" i="6"/>
  <c r="I56" i="6"/>
  <c r="G43" i="16"/>
  <c r="G111" i="6" s="1"/>
  <c r="G96" i="6"/>
  <c r="I109" i="6"/>
  <c r="H109" i="6"/>
  <c r="I71" i="6"/>
  <c r="I66" i="6"/>
  <c r="H71" i="6"/>
  <c r="H66" i="6"/>
  <c r="I104" i="6"/>
  <c r="H104" i="6"/>
  <c r="I94" i="6"/>
  <c r="H94" i="6"/>
  <c r="I118" i="6"/>
  <c r="J118" i="6"/>
  <c r="Q14" i="12" s="1"/>
  <c r="K23" i="12" s="1"/>
  <c r="H51" i="6"/>
  <c r="I83" i="6"/>
  <c r="H83" i="6"/>
  <c r="H77" i="6"/>
  <c r="I51" i="6"/>
  <c r="I36" i="6"/>
  <c r="I41" i="6"/>
  <c r="I77" i="6"/>
  <c r="H36" i="6"/>
  <c r="H41" i="6"/>
  <c r="I31" i="6"/>
  <c r="H46" i="6"/>
  <c r="I46" i="6"/>
  <c r="H31" i="6"/>
  <c r="H21" i="6"/>
  <c r="H26" i="6"/>
  <c r="H11" i="6"/>
  <c r="I21" i="6"/>
  <c r="I26" i="6"/>
  <c r="H16" i="6"/>
  <c r="I16" i="6"/>
  <c r="G16" i="8"/>
  <c r="H6" i="8"/>
  <c r="P6" i="2"/>
  <c r="N6" i="2"/>
  <c r="J6" i="2"/>
  <c r="G6" i="3"/>
  <c r="L6" i="2"/>
  <c r="K6" i="2"/>
  <c r="O6" i="2"/>
  <c r="I6" i="2"/>
  <c r="G6" i="1"/>
  <c r="I11" i="6"/>
  <c r="T9" i="16" l="1"/>
  <c r="G98" i="6"/>
  <c r="G97" i="6"/>
  <c r="G99" i="6"/>
  <c r="G113" i="6"/>
  <c r="G112" i="6"/>
  <c r="G114" i="6"/>
  <c r="L6" i="3"/>
  <c r="N6" i="3"/>
  <c r="J6" i="3"/>
  <c r="P6" i="3"/>
  <c r="K6" i="3"/>
  <c r="I6" i="3"/>
  <c r="O6" i="3"/>
  <c r="I6" i="1"/>
  <c r="K6" i="1"/>
  <c r="P6" i="1"/>
  <c r="L6" i="1"/>
  <c r="N6" i="1"/>
  <c r="O6" i="1"/>
  <c r="J6" i="1"/>
  <c r="H16" i="8"/>
  <c r="I6" i="8"/>
  <c r="H9" i="8"/>
  <c r="L34" i="16" l="1"/>
  <c r="L42" i="16"/>
  <c r="K23" i="16"/>
  <c r="M9" i="16"/>
  <c r="M34" i="16" s="1"/>
  <c r="L10" i="16"/>
  <c r="L14" i="16"/>
  <c r="K14" i="16" s="1"/>
  <c r="L15" i="16"/>
  <c r="L18" i="16"/>
  <c r="K18" i="16" s="1"/>
  <c r="L36" i="16"/>
  <c r="Q9" i="12"/>
  <c r="K15" i="12" s="1"/>
  <c r="L15" i="12" s="1"/>
  <c r="M15" i="12" s="1"/>
  <c r="K9" i="16"/>
  <c r="I16" i="8"/>
  <c r="J6" i="8"/>
  <c r="H7" i="8"/>
  <c r="H12" i="8" s="1"/>
  <c r="I9" i="8"/>
  <c r="H17" i="8"/>
  <c r="H19" i="8" s="1"/>
  <c r="M42" i="16" l="1"/>
  <c r="N9" i="16"/>
  <c r="M23" i="16"/>
  <c r="M18" i="16"/>
  <c r="M10" i="16"/>
  <c r="N10" i="16" s="1"/>
  <c r="O10" i="16" s="1"/>
  <c r="P10" i="16" s="1"/>
  <c r="M15" i="16"/>
  <c r="M14" i="16"/>
  <c r="M36" i="16"/>
  <c r="K10" i="16"/>
  <c r="K11" i="16" s="1"/>
  <c r="K42" i="16" s="1"/>
  <c r="K43" i="16" s="1"/>
  <c r="K44" i="16" s="1"/>
  <c r="L11" i="16"/>
  <c r="L16" i="16"/>
  <c r="K15" i="16"/>
  <c r="K16" i="16" s="1"/>
  <c r="J16" i="8"/>
  <c r="K6" i="8"/>
  <c r="I7" i="8"/>
  <c r="J9" i="8"/>
  <c r="I17" i="8"/>
  <c r="I19" i="8" s="1"/>
  <c r="N42" i="16" l="1"/>
  <c r="N34" i="16"/>
  <c r="L21" i="16"/>
  <c r="L24" i="16" s="1"/>
  <c r="L26" i="16" s="1"/>
  <c r="L28" i="16" s="1"/>
  <c r="L30" i="16" s="1"/>
  <c r="N18" i="16"/>
  <c r="N23" i="16"/>
  <c r="N14" i="16"/>
  <c r="N15" i="16"/>
  <c r="M16" i="16"/>
  <c r="N11" i="16"/>
  <c r="L19" i="16"/>
  <c r="L12" i="16"/>
  <c r="O9" i="16"/>
  <c r="O34" i="16" s="1"/>
  <c r="N36" i="16"/>
  <c r="M11" i="16"/>
  <c r="M39" i="16"/>
  <c r="M40" i="16" s="1"/>
  <c r="K19" i="16"/>
  <c r="K20" i="16" s="1"/>
  <c r="K12" i="16"/>
  <c r="K21" i="16"/>
  <c r="K24" i="16" s="1"/>
  <c r="K16" i="8"/>
  <c r="L6" i="8"/>
  <c r="J7" i="8"/>
  <c r="J12" i="8" s="1"/>
  <c r="J17" i="8"/>
  <c r="J19" i="8" s="1"/>
  <c r="K9" i="8"/>
  <c r="I12" i="8"/>
  <c r="O23" i="16" l="1"/>
  <c r="O42" i="16"/>
  <c r="N16" i="16"/>
  <c r="N19" i="16" s="1"/>
  <c r="N39" i="16"/>
  <c r="N40" i="16" s="1"/>
  <c r="L22" i="16"/>
  <c r="M21" i="16"/>
  <c r="M24" i="16" s="1"/>
  <c r="N12" i="16"/>
  <c r="M19" i="16"/>
  <c r="M20" i="16" s="1"/>
  <c r="M12" i="16"/>
  <c r="L20" i="16"/>
  <c r="Q15" i="12"/>
  <c r="K27" i="12" s="1"/>
  <c r="K22" i="16"/>
  <c r="P9" i="16"/>
  <c r="O15" i="16"/>
  <c r="O11" i="16"/>
  <c r="O14" i="16"/>
  <c r="O18" i="16"/>
  <c r="O36" i="16"/>
  <c r="K7" i="8"/>
  <c r="L16" i="8"/>
  <c r="M6" i="8"/>
  <c r="K17" i="8"/>
  <c r="K19" i="8" s="1"/>
  <c r="L9" i="8"/>
  <c r="K12" i="8"/>
  <c r="P42" i="16" l="1"/>
  <c r="P34" i="16"/>
  <c r="N20" i="16"/>
  <c r="N21" i="16"/>
  <c r="N22" i="16" s="1"/>
  <c r="M25" i="16"/>
  <c r="M22" i="16"/>
  <c r="P23" i="16"/>
  <c r="O39" i="16"/>
  <c r="O40" i="16" s="1"/>
  <c r="O16" i="16"/>
  <c r="O19" i="16" s="1"/>
  <c r="O20" i="16" s="1"/>
  <c r="P15" i="16"/>
  <c r="P11" i="16"/>
  <c r="P14" i="16"/>
  <c r="P18" i="16"/>
  <c r="P36" i="16"/>
  <c r="O12" i="16"/>
  <c r="L25" i="16"/>
  <c r="K25" i="16"/>
  <c r="M16" i="8"/>
  <c r="N6" i="8"/>
  <c r="M9" i="8"/>
  <c r="L17" i="8"/>
  <c r="L19" i="8" s="1"/>
  <c r="L7" i="8"/>
  <c r="L12" i="8" s="1"/>
  <c r="N24" i="16" l="1"/>
  <c r="N25" i="16" s="1"/>
  <c r="O21" i="16"/>
  <c r="O24" i="16" s="1"/>
  <c r="P16" i="16"/>
  <c r="P19" i="16" s="1"/>
  <c r="G48" i="16" s="1"/>
  <c r="P39" i="16"/>
  <c r="P40" i="16" s="1"/>
  <c r="P12" i="16"/>
  <c r="O6" i="8"/>
  <c r="N16" i="8"/>
  <c r="M7" i="8"/>
  <c r="M17" i="8"/>
  <c r="M19" i="8" s="1"/>
  <c r="N9" i="8"/>
  <c r="P21" i="16" l="1"/>
  <c r="P24" i="16" s="1"/>
  <c r="P25" i="16" s="1"/>
  <c r="O22" i="16"/>
  <c r="P20" i="16"/>
  <c r="P6" i="8"/>
  <c r="O16" i="8"/>
  <c r="N7" i="8"/>
  <c r="N12" i="8" s="1"/>
  <c r="N17" i="8"/>
  <c r="N19" i="8" s="1"/>
  <c r="O9" i="8"/>
  <c r="M12" i="8"/>
  <c r="O25" i="16" l="1"/>
  <c r="P22" i="16"/>
  <c r="P16" i="8"/>
  <c r="Q6" i="8"/>
  <c r="O17" i="8"/>
  <c r="O19" i="8" s="1"/>
  <c r="P9" i="8"/>
  <c r="O7" i="8"/>
  <c r="O12" i="8" s="1"/>
  <c r="R6" i="8" l="1"/>
  <c r="Q16" i="8"/>
  <c r="P7" i="8"/>
  <c r="P12" i="8" s="1"/>
  <c r="Q9" i="8"/>
  <c r="P17" i="8"/>
  <c r="P19" i="8" s="1"/>
  <c r="R16" i="8" l="1"/>
  <c r="S6" i="8"/>
  <c r="Q7" i="8"/>
  <c r="Q17" i="8"/>
  <c r="Q19" i="8" s="1"/>
  <c r="R9" i="8"/>
  <c r="T6" i="8" l="1"/>
  <c r="S16" i="8"/>
  <c r="R17" i="8"/>
  <c r="R19" i="8" s="1"/>
  <c r="S9" i="8"/>
  <c r="R7" i="8"/>
  <c r="R12" i="8" s="1"/>
  <c r="Q12" i="8"/>
  <c r="T16" i="8" l="1"/>
  <c r="U6" i="8"/>
  <c r="S7" i="8"/>
  <c r="S12" i="8" s="1"/>
  <c r="S17" i="8"/>
  <c r="S19" i="8" s="1"/>
  <c r="T9" i="8"/>
  <c r="U16" i="8" l="1"/>
  <c r="V6" i="8"/>
  <c r="U9" i="8"/>
  <c r="T17" i="8"/>
  <c r="T19" i="8" s="1"/>
  <c r="T7" i="8"/>
  <c r="U7" i="8" s="1"/>
  <c r="V16" i="8" l="1"/>
  <c r="W6" i="8"/>
  <c r="T12" i="8"/>
  <c r="U12" i="8"/>
  <c r="V9" i="8"/>
  <c r="V7" i="8" s="1"/>
  <c r="U17" i="8"/>
  <c r="U19" i="8" s="1"/>
  <c r="W16" i="8" l="1"/>
  <c r="X6" i="8"/>
  <c r="V17" i="8"/>
  <c r="V19" i="8" s="1"/>
  <c r="V12" i="8"/>
  <c r="W9" i="8"/>
  <c r="W7" i="8" s="1"/>
  <c r="Y6" i="8" l="1"/>
  <c r="X16" i="8"/>
  <c r="X9" i="8"/>
  <c r="X7" i="8" s="1"/>
  <c r="W17" i="8"/>
  <c r="W19" i="8" s="1"/>
  <c r="W12" i="8"/>
  <c r="Y16" i="8" l="1"/>
  <c r="Z6" i="8"/>
  <c r="Y9" i="8"/>
  <c r="Y7" i="8" s="1"/>
  <c r="X12" i="8"/>
  <c r="X17" i="8"/>
  <c r="X19" i="8" s="1"/>
  <c r="AA6" i="8" l="1"/>
  <c r="Z16" i="8"/>
  <c r="Y17" i="8"/>
  <c r="Y19" i="8" s="1"/>
  <c r="Y12" i="8"/>
  <c r="Z9" i="8"/>
  <c r="Z7" i="8" s="1"/>
  <c r="AB6" i="8" l="1"/>
  <c r="AA16" i="8"/>
  <c r="Z17" i="8"/>
  <c r="Z19" i="8" s="1"/>
  <c r="AA9" i="8"/>
  <c r="Z12" i="8"/>
  <c r="AC6" i="8" l="1"/>
  <c r="AB16" i="8"/>
  <c r="AA17" i="8"/>
  <c r="AA19" i="8" s="1"/>
  <c r="AB9" i="8"/>
  <c r="AA7" i="8"/>
  <c r="AA12" i="8" s="1"/>
  <c r="AD6" i="8" l="1"/>
  <c r="AC16" i="8"/>
  <c r="AB7" i="8"/>
  <c r="AC9" i="8"/>
  <c r="AB17" i="8"/>
  <c r="AB19" i="8" s="1"/>
  <c r="C21" i="8" s="1"/>
  <c r="AE6" i="8" l="1"/>
  <c r="AD16" i="8"/>
  <c r="AC7" i="8"/>
  <c r="AC12" i="8" s="1"/>
  <c r="AB12" i="8"/>
  <c r="C23" i="8"/>
  <c r="AD9" i="8"/>
  <c r="AC17" i="8"/>
  <c r="AC19" i="8" s="1"/>
  <c r="AF6" i="8" l="1"/>
  <c r="AF16" i="8" s="1"/>
  <c r="AE16" i="8"/>
  <c r="AE9" i="8"/>
  <c r="AD17" i="8"/>
  <c r="AD19" i="8" s="1"/>
  <c r="AD7" i="8"/>
  <c r="AD12" i="8" s="1"/>
  <c r="AF9" i="8" l="1"/>
  <c r="AE17" i="8"/>
  <c r="AE19" i="8" s="1"/>
  <c r="AE7" i="8"/>
  <c r="AF17" i="8" l="1"/>
  <c r="AF19" i="8" s="1"/>
  <c r="AF7" i="8"/>
  <c r="AF12" i="8" s="1"/>
  <c r="AE12" i="8"/>
  <c r="D40" i="16"/>
  <c r="C24" i="16"/>
  <c r="C11" i="11" l="1"/>
  <c r="C13" i="11"/>
  <c r="C22" i="11" s="1"/>
  <c r="C12" i="11"/>
  <c r="D41" i="16"/>
  <c r="D96" i="6" s="1"/>
  <c r="C25" i="16"/>
  <c r="C58" i="6"/>
  <c r="C16" i="11" l="1"/>
  <c r="D43" i="16"/>
  <c r="D111" i="6" s="1"/>
  <c r="D97" i="6"/>
  <c r="D98" i="6"/>
  <c r="E98" i="6"/>
  <c r="D99" i="6"/>
  <c r="C87" i="6"/>
  <c r="C59" i="6"/>
  <c r="D60" i="6"/>
  <c r="D61" i="6"/>
  <c r="E61" i="6"/>
  <c r="F61" i="6"/>
  <c r="G61" i="6"/>
  <c r="I97" i="6" l="1"/>
  <c r="H97" i="6"/>
  <c r="I99" i="6"/>
  <c r="H99" i="6"/>
  <c r="H98" i="6"/>
  <c r="I98" i="6"/>
  <c r="D113" i="6"/>
  <c r="E113" i="6"/>
  <c r="D114" i="6"/>
  <c r="D112" i="6"/>
  <c r="I60" i="6"/>
  <c r="H60" i="6"/>
  <c r="I61" i="6"/>
  <c r="H61" i="6"/>
  <c r="H59" i="6"/>
  <c r="I59" i="6"/>
  <c r="I87" i="6"/>
  <c r="H87" i="6"/>
  <c r="U26" i="16" l="1"/>
  <c r="V26" i="16"/>
  <c r="W26" i="16"/>
  <c r="T26" i="16"/>
  <c r="M26" i="16" s="1"/>
  <c r="H113" i="6"/>
  <c r="I113" i="6"/>
  <c r="I112" i="6"/>
  <c r="H112" i="6"/>
  <c r="I114" i="6"/>
  <c r="H114" i="6"/>
  <c r="L41" i="16" l="1"/>
  <c r="L43" i="16" s="1"/>
  <c r="L44" i="16" s="1"/>
  <c r="M28" i="16"/>
  <c r="M41" i="16"/>
  <c r="N26" i="16"/>
  <c r="N41" i="16" s="1"/>
  <c r="O26" i="16"/>
  <c r="O41" i="16" s="1"/>
  <c r="P26" i="16"/>
  <c r="P41" i="16" s="1"/>
  <c r="K26" i="16"/>
  <c r="O28" i="16" l="1"/>
  <c r="O30" i="16" s="1"/>
  <c r="P28" i="16"/>
  <c r="P30" i="16" s="1"/>
  <c r="O43" i="16"/>
  <c r="N28" i="16"/>
  <c r="N30" i="16" s="1"/>
  <c r="P43" i="16"/>
  <c r="M43" i="16"/>
  <c r="M44" i="16" s="1"/>
  <c r="M30" i="16"/>
  <c r="M29" i="16"/>
  <c r="L29" i="16"/>
  <c r="Q10" i="12"/>
  <c r="K28" i="16"/>
  <c r="P29" i="16" l="1"/>
  <c r="O29" i="16"/>
  <c r="N43" i="16"/>
  <c r="N44" i="16" s="1"/>
  <c r="O44" i="16"/>
  <c r="N29" i="16"/>
  <c r="P44" i="16"/>
  <c r="K30" i="16"/>
  <c r="K29" i="16"/>
  <c r="N7" i="9"/>
  <c r="C47" i="16" l="1"/>
  <c r="D47" i="16" s="1"/>
  <c r="C48" i="16"/>
  <c r="D18" i="9"/>
  <c r="L18" i="9"/>
  <c r="H18" i="9"/>
  <c r="K18" i="9"/>
  <c r="C18" i="9"/>
  <c r="G18" i="9"/>
  <c r="K11" i="12"/>
  <c r="L11" i="12" s="1"/>
  <c r="M11" i="12" s="1"/>
  <c r="L23" i="12"/>
  <c r="M23" i="12" s="1"/>
  <c r="C49" i="16" l="1"/>
  <c r="C52" i="16" s="1"/>
  <c r="C54" i="16" s="1"/>
  <c r="E63" i="16" s="1"/>
  <c r="C20" i="9"/>
  <c r="C21" i="9" s="1"/>
  <c r="C10" i="10" s="1"/>
  <c r="D10" i="10" s="1"/>
  <c r="J29" i="12" l="1"/>
  <c r="L27" i="12"/>
  <c r="M27" i="12" s="1"/>
  <c r="N29" i="12" s="1"/>
  <c r="C9" i="10" s="1"/>
  <c r="G50" i="16" l="1"/>
  <c r="G51" i="16"/>
  <c r="G52" i="16" s="1"/>
  <c r="D48" i="16" s="1"/>
  <c r="D49" i="16" s="1"/>
  <c r="D52" i="16" s="1"/>
  <c r="D54" i="16" s="1"/>
  <c r="C7" i="10" s="1"/>
  <c r="D7" i="10" s="1"/>
  <c r="D9" i="10"/>
  <c r="C11" i="10" l="1"/>
  <c r="C28" i="10" s="1"/>
  <c r="D11" i="10" l="1"/>
</calcChain>
</file>

<file path=xl/comments1.xml><?xml version="1.0" encoding="utf-8"?>
<comments xmlns="http://schemas.openxmlformats.org/spreadsheetml/2006/main">
  <authors>
    <author>Arman Hastings</author>
    <author>AHastings756@gmail.com</author>
  </authors>
  <commentList>
    <comment ref="H6" authorId="0">
      <text>
        <r>
          <rPr>
            <b/>
            <sz val="9"/>
            <color indexed="81"/>
            <rFont val="Tahoma"/>
            <charset val="1"/>
          </rPr>
          <t>From Yahoo:
https://finance.yahoo.com/quote/RHT/analysts?p=RHT</t>
        </r>
      </text>
    </comment>
    <comment ref="C7" authorId="1">
      <text>
        <r>
          <rPr>
            <b/>
            <sz val="9"/>
            <color indexed="81"/>
            <rFont val="Tahoma"/>
            <charset val="1"/>
          </rPr>
          <t>Exit Multiple taken here to more accurately represent a high growth company like RHT.</t>
        </r>
      </text>
    </comment>
  </commentList>
</comments>
</file>

<file path=xl/comments2.xml><?xml version="1.0" encoding="utf-8"?>
<comments xmlns="http://schemas.openxmlformats.org/spreadsheetml/2006/main">
  <authors>
    <author>AHastings756@gmail.com</author>
  </authors>
  <commentList>
    <comment ref="S9" authorId="0">
      <text>
        <r>
          <rPr>
            <b/>
            <sz val="9"/>
            <color indexed="81"/>
            <rFont val="Tahoma"/>
            <charset val="1"/>
          </rPr>
          <t xml:space="preserve">2016 q3 earning call
Still expect approx.
17% revenue growth.
With subscription revenue growing even faster.
</t>
        </r>
      </text>
    </comment>
    <comment ref="U18" authorId="0">
      <text>
        <r>
          <rPr>
            <b/>
            <sz val="9"/>
            <color indexed="81"/>
            <rFont val="Tahoma"/>
            <charset val="1"/>
          </rPr>
          <t>Here we are incrementing growth rates from the 3.7% we saw in 2017A to the 4.5% DCF growth rate.</t>
        </r>
      </text>
    </comment>
    <comment ref="L30" authorId="0">
      <text>
        <r>
          <rPr>
            <b/>
            <sz val="9"/>
            <color indexed="81"/>
            <rFont val="Tahoma"/>
            <charset val="1"/>
          </rPr>
          <t xml:space="preserve">Forecast 1.48
low  1.45
high 1.49
</t>
        </r>
      </text>
    </comment>
    <comment ref="C36" authorId="0">
      <text>
        <r>
          <rPr>
            <b/>
            <sz val="9"/>
            <color indexed="81"/>
            <rFont val="Tahoma"/>
            <charset val="1"/>
          </rPr>
          <t xml:space="preserve">When usually do tech companies take in short term debt?
</t>
        </r>
      </text>
    </comment>
    <comment ref="G47" authorId="0">
      <text>
        <r>
          <rPr>
            <b/>
            <sz val="9"/>
            <color indexed="81"/>
            <rFont val="Tahoma"/>
            <charset val="1"/>
          </rPr>
          <t>See comparable</t>
        </r>
      </text>
    </comment>
    <comment ref="J49" authorId="0">
      <text>
        <r>
          <rPr>
            <b/>
            <sz val="9"/>
            <color indexed="81"/>
            <rFont val="Tahoma"/>
            <charset val="1"/>
          </rPr>
          <t xml:space="preserve">2.97%  for 30 years as of 2/6/17 from morningstar
</t>
        </r>
      </text>
    </comment>
    <comment ref="N51" authorId="0">
      <text>
        <r>
          <rPr>
            <b/>
            <sz val="9"/>
            <color indexed="81"/>
            <rFont val="Tahoma"/>
            <charset val="1"/>
          </rPr>
          <t xml:space="preserve">Estimate Tax rate from 2016 Q3 earnings call at 27%
</t>
        </r>
      </text>
    </comment>
    <comment ref="D54" authorId="0">
      <text>
        <r>
          <rPr>
            <b/>
            <sz val="9"/>
            <color indexed="81"/>
            <rFont val="Tahoma"/>
            <charset val="1"/>
          </rPr>
          <t>Intrinsic value is increased higer with closer to RHT EV/EBITDA for the WA EV/EBITDA cell.
Considering that there are no other companies that do quite what RHT does this value change could be viable when getting a more accurate look on RHT.</t>
        </r>
      </text>
    </comment>
    <comment ref="J54" authorId="0">
      <text>
        <r>
          <rPr>
            <b/>
            <sz val="9"/>
            <color indexed="81"/>
            <rFont val="Tahoma"/>
            <charset val="1"/>
          </rPr>
          <t>Morningstar shows .25 cost of debt for a RHT 2019 bond.
.5 cost of debt for a CTXS 2019 bond.
4.375 cost of debt for a ORCL 2055 bond.
Only other comparables do not bond data.
Value of 4 percent was substitued for the .25 cost of debt.
Edit 2/13/17: Slighly higher due to the fact if they were to get a A bond rating thier cost of debt would possibly be around 6% realistically. However took the ORCL bond rating of 4.375% as it is their only competitor with a cost of debt higher than 4% on their longest bond.</t>
        </r>
      </text>
    </comment>
  </commentList>
</comments>
</file>

<file path=xl/comments3.xml><?xml version="1.0" encoding="utf-8"?>
<comments xmlns="http://schemas.openxmlformats.org/spreadsheetml/2006/main">
  <authors>
    <author>AHastings756@gmail.com</author>
  </authors>
  <commentList>
    <comment ref="J29" authorId="0">
      <text>
        <r>
          <rPr>
            <sz val="9"/>
            <color indexed="81"/>
            <rFont val="Tahoma"/>
            <charset val="1"/>
          </rPr>
          <t>Median between RHT's EV/EBITDA and the comparable EV/EBITDA
This value is taken into the dcf and comparable consideration because it is acts as a middle ground to the comparable companies and RHT
This value is also taken into the DCF because the actual weighted average is too low. No companies have anything near to the 33.6 EV/EBITDA that RHT has and there for the Weighted Average computed negatively impacts the DCF too much.</t>
        </r>
      </text>
    </comment>
  </commentList>
</comments>
</file>

<file path=xl/comments4.xml><?xml version="1.0" encoding="utf-8"?>
<comments xmlns="http://schemas.openxmlformats.org/spreadsheetml/2006/main">
  <authors>
    <author>AHastings756@gmail.com</author>
  </authors>
  <commentList>
    <comment ref="J29" authorId="0">
      <text>
        <r>
          <rPr>
            <b/>
            <sz val="9"/>
            <color indexed="81"/>
            <rFont val="Tahoma"/>
            <charset val="1"/>
          </rPr>
          <t>Median between RHT's EV/EBITDA and the comparable EV/EBITDA
This value is taken into the dcf and comparable consideration because it is acts as a middle ground to the comparable companies and RHT
This value is also taken into the DCF because the actual weighted average is too low. No companies have anything near to the 33.6 EV/EBITDA that RHT has and there for the Weighted Average computed negatively impacts the DCF too much.</t>
        </r>
      </text>
    </comment>
  </commentList>
</comments>
</file>

<file path=xl/comments5.xml><?xml version="1.0" encoding="utf-8"?>
<comments xmlns="http://schemas.openxmlformats.org/spreadsheetml/2006/main">
  <authors>
    <author>AHastings756@gmail.com</author>
  </authors>
  <commentList>
    <comment ref="H7" authorId="0">
      <text>
        <r>
          <rPr>
            <b/>
            <sz val="9"/>
            <color indexed="81"/>
            <rFont val="Tahoma"/>
            <family val="2"/>
          </rPr>
          <t>Source gurufocus</t>
        </r>
      </text>
    </comment>
    <comment ref="H8" authorId="0">
      <text>
        <r>
          <rPr>
            <b/>
            <sz val="9"/>
            <color indexed="81"/>
            <rFont val="Tahoma"/>
            <family val="2"/>
          </rPr>
          <t xml:space="preserve">Not sure if I should remove these 0 values
</t>
        </r>
      </text>
    </comment>
  </commentList>
</comments>
</file>

<file path=xl/comments6.xml><?xml version="1.0" encoding="utf-8"?>
<comments xmlns="http://schemas.openxmlformats.org/spreadsheetml/2006/main">
  <authors>
    <author>AHastings756@gmail.com</author>
  </authors>
  <commentList>
    <comment ref="C30" authorId="0">
      <text>
        <r>
          <rPr>
            <b/>
            <sz val="9"/>
            <color indexed="81"/>
            <rFont val="Tahoma"/>
            <charset val="1"/>
          </rPr>
          <t>No physical inventory to measue with this rato.</t>
        </r>
      </text>
    </comment>
    <comment ref="C31" authorId="0">
      <text>
        <r>
          <rPr>
            <b/>
            <sz val="9"/>
            <color indexed="81"/>
            <rFont val="Tahoma"/>
            <charset val="1"/>
          </rPr>
          <t>No physical inventory to measue with this rato.</t>
        </r>
      </text>
    </comment>
    <comment ref="C36" authorId="0">
      <text>
        <r>
          <rPr>
            <b/>
            <sz val="9"/>
            <color indexed="81"/>
            <rFont val="Tahoma"/>
            <charset val="1"/>
          </rPr>
          <t>No inventory, output same as current ratio</t>
        </r>
      </text>
    </comment>
  </commentList>
</comments>
</file>

<file path=xl/sharedStrings.xml><?xml version="1.0" encoding="utf-8"?>
<sst xmlns="http://schemas.openxmlformats.org/spreadsheetml/2006/main" count="609" uniqueCount="387">
  <si>
    <t>Valuation</t>
  </si>
  <si>
    <t>RIM</t>
  </si>
  <si>
    <t>Comparable</t>
  </si>
  <si>
    <t>Historical PE</t>
  </si>
  <si>
    <t>Cash and cash equivalents</t>
  </si>
  <si>
    <t>Long-term debt</t>
  </si>
  <si>
    <t>Beta Regression (Monthly)</t>
  </si>
  <si>
    <t>S&amp;P 500</t>
  </si>
  <si>
    <t>Date</t>
  </si>
  <si>
    <t>Adj Close</t>
  </si>
  <si>
    <t>Change</t>
  </si>
  <si>
    <t>Beta</t>
  </si>
  <si>
    <t>Regression Statistics</t>
  </si>
  <si>
    <t>Correlation</t>
  </si>
  <si>
    <t>R Square</t>
  </si>
  <si>
    <t>Observations</t>
  </si>
  <si>
    <t>Off-Balance Sheet Obligations</t>
  </si>
  <si>
    <t>Period Ending:</t>
  </si>
  <si>
    <t># of Years discounted</t>
  </si>
  <si>
    <t>YOY</t>
  </si>
  <si>
    <t>CAGR</t>
  </si>
  <si>
    <t>DuPont Analysis</t>
  </si>
  <si>
    <t>Profit Margin</t>
  </si>
  <si>
    <t>Asset Turnover</t>
  </si>
  <si>
    <t>Return on Assets</t>
  </si>
  <si>
    <t>Tax Burden</t>
  </si>
  <si>
    <t>Interest Burden</t>
  </si>
  <si>
    <t>Leverage Ratio</t>
  </si>
  <si>
    <t>Return on Equity</t>
  </si>
  <si>
    <t>Net Income/Sales</t>
  </si>
  <si>
    <t>Sales/Average Total Assets</t>
  </si>
  <si>
    <t>Net Income/EBT</t>
  </si>
  <si>
    <t>EBT/EBIT</t>
  </si>
  <si>
    <t>EBIT/Sales</t>
  </si>
  <si>
    <t>Assets/Equity</t>
  </si>
  <si>
    <t>Dividend Growth Model</t>
  </si>
  <si>
    <t>Bottom-Up Beta</t>
  </si>
  <si>
    <t>Period Ending</t>
  </si>
  <si>
    <t>Book Value Per Share</t>
  </si>
  <si>
    <t>EPS Growth Assumptions</t>
  </si>
  <si>
    <t>Earnings Per Share (EPS)</t>
  </si>
  <si>
    <t>DPS Growth Assumptions</t>
  </si>
  <si>
    <t>Dividend Per Share (DPS)</t>
  </si>
  <si>
    <t>Cost of Equity</t>
  </si>
  <si>
    <t>Projected Residual Income</t>
  </si>
  <si>
    <t>Discount Period</t>
  </si>
  <si>
    <t>PV of Residual Income</t>
  </si>
  <si>
    <t>Under (Over) Value</t>
  </si>
  <si>
    <t>Diluted EPS</t>
  </si>
  <si>
    <t>High Price</t>
  </si>
  <si>
    <t>Low Price</t>
  </si>
  <si>
    <t>High P/E</t>
  </si>
  <si>
    <t>Low P/E</t>
  </si>
  <si>
    <t>3 Year</t>
  </si>
  <si>
    <t>5 Year</t>
  </si>
  <si>
    <t>7 Year</t>
  </si>
  <si>
    <t>Average</t>
  </si>
  <si>
    <t>Median</t>
  </si>
  <si>
    <t xml:space="preserve">Max </t>
  </si>
  <si>
    <t>Min</t>
  </si>
  <si>
    <t>Max</t>
  </si>
  <si>
    <t>High</t>
  </si>
  <si>
    <t>Low</t>
  </si>
  <si>
    <t>Discounted</t>
  </si>
  <si>
    <t>Value Per Share</t>
  </si>
  <si>
    <t>Mean</t>
  </si>
  <si>
    <t>Operating Profit Margin</t>
  </si>
  <si>
    <t>Profit Margin*Asset Turnover</t>
  </si>
  <si>
    <t>Debt/Equity</t>
  </si>
  <si>
    <t>Tax Rate</t>
  </si>
  <si>
    <t>Current Price</t>
  </si>
  <si>
    <t>Risk Free Rate</t>
  </si>
  <si>
    <t>Risk Premium</t>
  </si>
  <si>
    <t>Unlevered Beta</t>
  </si>
  <si>
    <t>Re-levered Beta</t>
  </si>
  <si>
    <t>Ticker</t>
  </si>
  <si>
    <t>Name</t>
  </si>
  <si>
    <t>Compeditor Metrics</t>
  </si>
  <si>
    <t>Dividends</t>
  </si>
  <si>
    <t>Year</t>
  </si>
  <si>
    <t>Annual Dividend (Just Paid)</t>
  </si>
  <si>
    <t>Dividend Growth</t>
  </si>
  <si>
    <t>Current Stock Price</t>
  </si>
  <si>
    <t>    Total    </t>
  </si>
  <si>
    <t>Due in less than 1 year</t>
  </si>
  <si>
    <t>Due in 1-3 years</t>
  </si>
  <si>
    <t>Due in 4-5 years</t>
  </si>
  <si>
    <t>Due in more than 5 years</t>
  </si>
  <si>
    <t>Operating leases</t>
  </si>
  <si>
    <t>Total</t>
  </si>
  <si>
    <t>DCF Cost of Debt</t>
  </si>
  <si>
    <t>Total (PV)</t>
  </si>
  <si>
    <t>% Revenue</t>
  </si>
  <si>
    <t>DCF Growth Rates</t>
  </si>
  <si>
    <t xml:space="preserve">YOY </t>
  </si>
  <si>
    <t>3-yr</t>
  </si>
  <si>
    <t>5yr</t>
  </si>
  <si>
    <t>Underlying Assumptions</t>
  </si>
  <si>
    <t>Stage 1</t>
  </si>
  <si>
    <t>Stage 2</t>
  </si>
  <si>
    <t>Stage 3</t>
  </si>
  <si>
    <t>Stage 4</t>
  </si>
  <si>
    <t>Stage 5</t>
  </si>
  <si>
    <t>CAPM Assumptions</t>
  </si>
  <si>
    <t>Terminal Growth Rate</t>
  </si>
  <si>
    <t>Weights</t>
  </si>
  <si>
    <t>EPS</t>
  </si>
  <si>
    <t>P/E (ttm)</t>
  </si>
  <si>
    <t xml:space="preserve">Shares Outstanding </t>
  </si>
  <si>
    <t>Equity</t>
  </si>
  <si>
    <t>EPS Growth (5 yr)</t>
  </si>
  <si>
    <t>Rev/Share</t>
  </si>
  <si>
    <t>P/S (ttm)</t>
  </si>
  <si>
    <t>BV/Share</t>
  </si>
  <si>
    <t>Minority Interest</t>
  </si>
  <si>
    <t>P/BV (mrq)</t>
  </si>
  <si>
    <t>Preferred shares</t>
  </si>
  <si>
    <t>Earnings Growth</t>
  </si>
  <si>
    <t>PEG (5 yr expected)</t>
  </si>
  <si>
    <t>EBITDA/Share</t>
  </si>
  <si>
    <t>EV/EBITDA (ttm)</t>
  </si>
  <si>
    <t>DCF Calculations</t>
  </si>
  <si>
    <t>∑ of PV of Future Cash Flows</t>
  </si>
  <si>
    <t>PV of Terminal Value</t>
  </si>
  <si>
    <t>Enterprise Value</t>
  </si>
  <si>
    <t>Debt</t>
  </si>
  <si>
    <t>Equity Value</t>
  </si>
  <si>
    <t>Intrinsic Value Per Share</t>
  </si>
  <si>
    <t>WACC Assumptions</t>
  </si>
  <si>
    <t>Cost of Debt</t>
  </si>
  <si>
    <t>Cost of Capital</t>
  </si>
  <si>
    <t>Capital Structure</t>
  </si>
  <si>
    <t>M</t>
  </si>
  <si>
    <t>Other Assumptions</t>
  </si>
  <si>
    <t>Cost of Capital Assumption</t>
  </si>
  <si>
    <t>Terminal Growth
Rate  Assumption</t>
  </si>
  <si>
    <t>Sensitivity Analysis</t>
  </si>
  <si>
    <t>Stage 1 :</t>
  </si>
  <si>
    <t>Stage 2:</t>
  </si>
  <si>
    <t>Stage 3:</t>
  </si>
  <si>
    <t>Stage 1:</t>
  </si>
  <si>
    <t>Weight</t>
  </si>
  <si>
    <t>Beta Regression (Weekly)</t>
  </si>
  <si>
    <t>Beta Regression (Daily)</t>
  </si>
  <si>
    <t>Long Term Debt</t>
  </si>
  <si>
    <t>Scheduled interest payments</t>
  </si>
  <si>
    <t>Other Commitments</t>
  </si>
  <si>
    <t>Intrinsic Value</t>
  </si>
  <si>
    <t>Growth</t>
  </si>
  <si>
    <t>Recommedation</t>
  </si>
  <si>
    <t>Porfolio</t>
  </si>
  <si>
    <t>Analyst</t>
  </si>
  <si>
    <t>Color Coding</t>
  </si>
  <si>
    <t>Blue</t>
  </si>
  <si>
    <t>Hardcode</t>
  </si>
  <si>
    <t>Green</t>
  </si>
  <si>
    <t>Link</t>
  </si>
  <si>
    <t>Value</t>
  </si>
  <si>
    <t>Other Financial Ratios</t>
  </si>
  <si>
    <t>Times Interest Earned (TIE)</t>
  </si>
  <si>
    <t>Inventory Turnover</t>
  </si>
  <si>
    <t>Current Ratio</t>
  </si>
  <si>
    <t>Total Liabilities/Total Assets</t>
  </si>
  <si>
    <t>Operating Income/Interest Expense</t>
  </si>
  <si>
    <t>Current Assets/Current Laiabilities</t>
  </si>
  <si>
    <t>(Current Assets-Inventory)/Current Liabiliites</t>
  </si>
  <si>
    <t>Margin of Saftey</t>
  </si>
  <si>
    <t>High Target</t>
  </si>
  <si>
    <t>Low Target</t>
  </si>
  <si>
    <t>Mean Target</t>
  </si>
  <si>
    <t>Debt to Equity</t>
  </si>
  <si>
    <t>Total Non-Current Liabilities/Equity</t>
  </si>
  <si>
    <t>Gross Margin</t>
  </si>
  <si>
    <t>Gross Profit/Sales</t>
  </si>
  <si>
    <t>Net Income/ Sales</t>
  </si>
  <si>
    <t>Acid Test</t>
  </si>
  <si>
    <t>Debt to Total Assets</t>
  </si>
  <si>
    <t>Operating Margin</t>
  </si>
  <si>
    <t>Operating Income/Sales</t>
  </si>
  <si>
    <t>Sales/Average Total Inventory</t>
  </si>
  <si>
    <t>DCF</t>
  </si>
  <si>
    <t># of Years Discounted</t>
  </si>
  <si>
    <t>Date of Pitch</t>
  </si>
  <si>
    <t>Other Analysts Price Target Summary</t>
  </si>
  <si>
    <t>PV Per Share</t>
  </si>
  <si>
    <t>Valuation Method</t>
  </si>
  <si>
    <t>Inputs</t>
  </si>
  <si>
    <t>Balance Sheet Items:</t>
  </si>
  <si>
    <t>Net Working Capital</t>
  </si>
  <si>
    <t>Δ Net Working Capital</t>
  </si>
  <si>
    <t>Cash From Operations</t>
  </si>
  <si>
    <t>PV of FCF</t>
  </si>
  <si>
    <t>Free Cash Flow (FCF)</t>
  </si>
  <si>
    <t>Price to Earnings:</t>
  </si>
  <si>
    <t>Market Cap ($BN):</t>
  </si>
  <si>
    <t>Price to Earnings Growth:</t>
  </si>
  <si>
    <t>Price to Book:</t>
  </si>
  <si>
    <t>Price to Sales:</t>
  </si>
  <si>
    <t>Enterprise Value to EBITDA:</t>
  </si>
  <si>
    <t>% Total current liabilities</t>
  </si>
  <si>
    <t>% Total current assets</t>
  </si>
  <si>
    <t>Annual Dividend</t>
  </si>
  <si>
    <t>Calculations</t>
  </si>
  <si>
    <t>Terminal Value EMM</t>
  </si>
  <si>
    <t>WA EV/EBITDA</t>
  </si>
  <si>
    <t>Exit Multiple Method</t>
  </si>
  <si>
    <t>Summary</t>
  </si>
  <si>
    <t>Buy/Hold/Sell</t>
  </si>
  <si>
    <t>DuPont &amp; Other Financial Ratios</t>
  </si>
  <si>
    <t>Net Working Capital to Sales</t>
  </si>
  <si>
    <t>(Current Assets-Current Liabilities)/Sales</t>
  </si>
  <si>
    <t>FCF:</t>
  </si>
  <si>
    <t>Weighted</t>
  </si>
  <si>
    <t xml:space="preserve">Discounted </t>
  </si>
  <si>
    <t>Shares Outstanding (Diluted)</t>
  </si>
  <si>
    <t>Update Frequency (Q, Y)</t>
  </si>
  <si>
    <t>Income Statement Items:</t>
  </si>
  <si>
    <t>Cash and Cash Equivalents</t>
  </si>
  <si>
    <t>Days' Inventory Outstanding (DIO)</t>
  </si>
  <si>
    <t>365/Inventory Turnover</t>
  </si>
  <si>
    <t>Accounts Receivable Turnover</t>
  </si>
  <si>
    <t>Days' Sales Outstanding (DSO)</t>
  </si>
  <si>
    <t>Average Daily Sales</t>
  </si>
  <si>
    <t>Sales/365</t>
  </si>
  <si>
    <t>Sales/Average Accounts Recivable</t>
  </si>
  <si>
    <t>Average Accounts Receivable/ Average Daily Sales</t>
  </si>
  <si>
    <t>Accounts Payable Turnover</t>
  </si>
  <si>
    <t>Days' Payable Outstanding (DPO)</t>
  </si>
  <si>
    <t>Cash Conversion Cycle</t>
  </si>
  <si>
    <t>DIO+DSO-DPO</t>
  </si>
  <si>
    <t>COGS/Average Accounts Payable</t>
  </si>
  <si>
    <t>365/Accounts Payable Turnover</t>
  </si>
  <si>
    <t>Coverage Type</t>
  </si>
  <si>
    <t>Operating Costs/Sales</t>
  </si>
  <si>
    <t>Operating Costs to Sales</t>
  </si>
  <si>
    <t>Balance Sheet</t>
  </si>
  <si>
    <t>Statement of Cash Flows</t>
  </si>
  <si>
    <t>Capital Expnditures</t>
  </si>
  <si>
    <t>Current Price (MM/DD/YY)</t>
  </si>
  <si>
    <t>a</t>
  </si>
  <si>
    <t>Net income</t>
  </si>
  <si>
    <t>Depreciation &amp; amortization</t>
  </si>
  <si>
    <t>Amortization of debt discount/premium and issuance costs</t>
  </si>
  <si>
    <t>Investments losses (gains)</t>
  </si>
  <si>
    <t>Deferred income taxes</t>
  </si>
  <si>
    <t>Stock based compensation</t>
  </si>
  <si>
    <t>Accounts receivable</t>
  </si>
  <si>
    <t>Prepaid expenses</t>
  </si>
  <si>
    <t>Other working capital</t>
  </si>
  <si>
    <t>Other non-cash items</t>
  </si>
  <si>
    <t>Net cash provided by operating activities</t>
  </si>
  <si>
    <t>Cash Flows From Investing Activities</t>
  </si>
  <si>
    <t>Investments in property, plant, and equipment</t>
  </si>
  <si>
    <t>Acquisitions, net</t>
  </si>
  <si>
    <t>Purchases of investments</t>
  </si>
  <si>
    <t>Sales/Maturities of investments</t>
  </si>
  <si>
    <t>Purchases of intangibles</t>
  </si>
  <si>
    <t>Other investing activities</t>
  </si>
  <si>
    <t>Net cash used for investing activities</t>
  </si>
  <si>
    <t>Cash Flows From Financing Activities</t>
  </si>
  <si>
    <t>Debt issued</t>
  </si>
  <si>
    <t>Debt repayment</t>
  </si>
  <si>
    <t>Warrant issued</t>
  </si>
  <si>
    <t>Common stock repurchased</t>
  </si>
  <si>
    <t>Excess tax benefit from stock based compensation</t>
  </si>
  <si>
    <t>Other financing activities</t>
  </si>
  <si>
    <t>Net cash provided by (used for) financing activities</t>
  </si>
  <si>
    <t>Effect of exchange rate changes</t>
  </si>
  <si>
    <t>Net change in cash</t>
  </si>
  <si>
    <t>Cash at beginning of period</t>
  </si>
  <si>
    <t>Cash at end of period</t>
  </si>
  <si>
    <t>Free Cash Flow</t>
  </si>
  <si>
    <t>Operating cash flow</t>
  </si>
  <si>
    <t>Capital expenditure</t>
  </si>
  <si>
    <t>Free cash flow</t>
  </si>
  <si>
    <t>Short-term investments</t>
  </si>
  <si>
    <t>Total cash</t>
  </si>
  <si>
    <t>Receivables</t>
  </si>
  <si>
    <t>Other current assets</t>
  </si>
  <si>
    <t>Total current assets</t>
  </si>
  <si>
    <t>Non-current assets</t>
  </si>
  <si>
    <t>Property, plant and equipment</t>
  </si>
  <si>
    <t>Gross property, plant and equipment</t>
  </si>
  <si>
    <t>Accumulated Depreciation</t>
  </si>
  <si>
    <t>Net property, plant and equipment</t>
  </si>
  <si>
    <t>Equity and other investments</t>
  </si>
  <si>
    <t>Goodwill</t>
  </si>
  <si>
    <t>Intangible assets</t>
  </si>
  <si>
    <t>Other long-term assets</t>
  </si>
  <si>
    <t>Total non-current assets</t>
  </si>
  <si>
    <t>Total assets</t>
  </si>
  <si>
    <t>Liabilities and stockholders' equity</t>
  </si>
  <si>
    <t>Liabilities</t>
  </si>
  <si>
    <t>Current liabilities</t>
  </si>
  <si>
    <t>Accounts payable</t>
  </si>
  <si>
    <t>Taxes payable</t>
  </si>
  <si>
    <t>Accrued liabilities</t>
  </si>
  <si>
    <t>Deferred revenues</t>
  </si>
  <si>
    <t>Other current liabilities</t>
  </si>
  <si>
    <t>Total current liabilities</t>
  </si>
  <si>
    <t>Non-current liabilities</t>
  </si>
  <si>
    <t>Capital leases</t>
  </si>
  <si>
    <t>Deferred taxes liabilities</t>
  </si>
  <si>
    <t>Other long-term liabilities</t>
  </si>
  <si>
    <t>Total non-current liabilities</t>
  </si>
  <si>
    <t>Total liabilities</t>
  </si>
  <si>
    <t>Stockholders' equity</t>
  </si>
  <si>
    <t>Common stock</t>
  </si>
  <si>
    <t>Additional paid-in capital</t>
  </si>
  <si>
    <t>Retained earnings</t>
  </si>
  <si>
    <t>Treasury stock</t>
  </si>
  <si>
    <t>Accumulated other comprehensive income</t>
  </si>
  <si>
    <t>Total stockholders' equity</t>
  </si>
  <si>
    <t>Total liabilities and stockholders' equity</t>
  </si>
  <si>
    <t>RHT</t>
  </si>
  <si>
    <t>Red Hat .Inc</t>
  </si>
  <si>
    <t>Large Cap</t>
  </si>
  <si>
    <t>Arman Hastings</t>
  </si>
  <si>
    <t>Buy</t>
  </si>
  <si>
    <t>Yearly</t>
  </si>
  <si>
    <t>Pitch</t>
  </si>
  <si>
    <t>Statement of Operations</t>
  </si>
  <si>
    <t>Revenue</t>
  </si>
  <si>
    <t>Cost of revenue</t>
  </si>
  <si>
    <t>Gross profit</t>
  </si>
  <si>
    <t>Operating expenses</t>
  </si>
  <si>
    <t>Research and development</t>
  </si>
  <si>
    <t>Sales, General and administrative</t>
  </si>
  <si>
    <t>Total operating expenses</t>
  </si>
  <si>
    <t>Operating income</t>
  </si>
  <si>
    <t>Interest Expense</t>
  </si>
  <si>
    <t>Other income (expense)</t>
  </si>
  <si>
    <t>Income before taxes</t>
  </si>
  <si>
    <t>Provision for income taxes</t>
  </si>
  <si>
    <t>Earnings per share</t>
  </si>
  <si>
    <t>Basic</t>
  </si>
  <si>
    <t>Diluted</t>
  </si>
  <si>
    <t>Weighted average shares outstanding</t>
  </si>
  <si>
    <t>EBITDA</t>
  </si>
  <si>
    <t>Operating Expenses:</t>
  </si>
  <si>
    <t>Depreciation and amortization</t>
  </si>
  <si>
    <t>Earnings Before Interest, Tax, D&amp;A (EBITDA)</t>
  </si>
  <si>
    <t>EBITDA Margin</t>
  </si>
  <si>
    <t>Earnings Before Interest, Tax (EBIT)</t>
  </si>
  <si>
    <t>EBIT Margin</t>
  </si>
  <si>
    <t>Interest (income) expense, net</t>
  </si>
  <si>
    <t>Earnings Before Tax (EBT)</t>
  </si>
  <si>
    <t>EBT Margin</t>
  </si>
  <si>
    <t>Diluted Earnings Per Share</t>
  </si>
  <si>
    <t>Short-term Debt</t>
  </si>
  <si>
    <t>vmw</t>
  </si>
  <si>
    <t>now</t>
  </si>
  <si>
    <t>data</t>
  </si>
  <si>
    <t>wday</t>
  </si>
  <si>
    <t>orcl</t>
  </si>
  <si>
    <t>ctxs</t>
  </si>
  <si>
    <t>Oracle Corporation</t>
  </si>
  <si>
    <t>Citrix Systems</t>
  </si>
  <si>
    <t>Tableau Software Inc</t>
  </si>
  <si>
    <t>Workday Inc</t>
  </si>
  <si>
    <t>ServiceNow Inc</t>
  </si>
  <si>
    <t>VMware, Inc.</t>
  </si>
  <si>
    <t>EW</t>
  </si>
  <si>
    <t>Edwards Lifesciences</t>
  </si>
  <si>
    <t>No Dividends</t>
  </si>
  <si>
    <t>VMW</t>
  </si>
  <si>
    <t>NOW</t>
  </si>
  <si>
    <t>WDAY</t>
  </si>
  <si>
    <t>DATA</t>
  </si>
  <si>
    <t>ORCL</t>
  </si>
  <si>
    <t>CTXS</t>
  </si>
  <si>
    <t>Citrix Systems, Inc.</t>
  </si>
  <si>
    <t xml:space="preserve"> </t>
  </si>
  <si>
    <t>% Current Liabilities</t>
  </si>
  <si>
    <t>% Current assests</t>
  </si>
  <si>
    <t>% EBT</t>
  </si>
  <si>
    <t>% Total EBT</t>
  </si>
  <si>
    <t>Net Income (2017E)</t>
  </si>
  <si>
    <t>Sales (2017E)</t>
  </si>
  <si>
    <t>EPS (2017E)</t>
  </si>
  <si>
    <t>EBITDA (2017E)</t>
  </si>
  <si>
    <t>-</t>
  </si>
  <si>
    <t>Interest Expense, Net</t>
  </si>
  <si>
    <t>Discounted Cash Flows Model ($M)</t>
  </si>
  <si>
    <t>Enterpirse Value to Revenue(sales)</t>
  </si>
  <si>
    <t>.</t>
  </si>
  <si>
    <t>Change logs 2/13/17 (since Friday):
 - [DCF C33-34] Corrected Total current asset and liabitlites links for DCF
 - [DCF L40] Corrected net cash flow formula
 - [DCF J54] Changed cost of debt from 4% to 4.375% cost of debt
 - [DCF S26] Corrected outdated links
 - [DCF] Added more color coding 
Change logs 2/14/17:
 - [Comparable] Changed weights (Unchanged weights is the original sheet seen on friday)
 - [Valuation] Decided to use the exit multiple intrinsic valuation
Change logs 2/20/17
 - [DCF G47] Increase cell value to better represent RHT considering very low comparable average weighted values bringing down the DCF evaluation.
 - Added more comments.</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</si>
</sst>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5" formatCode="&quot;$&quot;#,##0_);\(&quot;$&quot;#,##0\)"/>
    <numFmt numFmtId="6" formatCode="&quot;$&quot;#,##0_);[Red]\(&quot;$&quot;#,##0\)"/>
    <numFmt numFmtId="8" formatCode="&quot;$&quot;#,##0.00_);[Red]\(&quot;$&quot;#,##0.00\)"/>
    <numFmt numFmtId="41" formatCode="_(* #,##0_);_(* \(#,##0\);_(* &quot;-&quot;_);_(@_)"/>
    <numFmt numFmtId="44" formatCode="_(&quot;$&quot;* #,##0.00_);_(&quot;$&quot;* \(#,##0.00\);_(&quot;$&quot;* &quot;-&quot;??_);_(@_)"/>
    <numFmt numFmtId="43" formatCode="_(* #,##0.00_);_(* \(#,##0.00\);_(* &quot;-&quot;??_);_(@_)"/>
    <numFmt numFmtId="164" formatCode="0.0%"/>
    <numFmt numFmtId="165" formatCode="&quot;$&quot;#,##0.00"/>
    <numFmt numFmtId="166" formatCode="0.00_);[Red]\(0.00\)"/>
    <numFmt numFmtId="167" formatCode="0.0000_);[Red]\(0.0000\)"/>
    <numFmt numFmtId="168" formatCode="0&quot;A&quot;"/>
    <numFmt numFmtId="169" formatCode="0&quot;E&quot;"/>
    <numFmt numFmtId="170" formatCode="[$-F800]dddd\,\ mmmm\ dd\,\ yyyy"/>
    <numFmt numFmtId="171" formatCode="_(* #,##0_);_(* \(#,##0\);_(* &quot;-&quot;??_);_(@_)"/>
    <numFmt numFmtId="172" formatCode="&quot;Intrinsic Value&quot;"/>
    <numFmt numFmtId="173" formatCode="0.0\ %_);\(0.0%\)"/>
    <numFmt numFmtId="174" formatCode="#0.0_)%;\(#0.0\)%"/>
    <numFmt numFmtId="175" formatCode="0.0_)\x;\(0.0\)\x"/>
    <numFmt numFmtId="176" formatCode="_(* #,##0.00_);_(* \(#,##0.00\);_(* &quot;-&quot;_);_(@_)"/>
  </numFmts>
  <fonts count="49">
    <font>
      <sz val="11"/>
      <color theme="1"/>
      <name val="Calibri"/>
      <family val="2"/>
      <scheme val="minor"/>
    </font>
    <font>
      <sz val="11"/>
      <color theme="1"/>
      <name val="Calibri"/>
      <family val="2"/>
    </font>
    <font>
      <sz val="11"/>
      <color theme="1"/>
      <name val="Calibri"/>
      <family val="2"/>
      <scheme val="minor"/>
    </font>
    <font>
      <sz val="11"/>
      <color indexed="8"/>
      <name val="Calibri"/>
      <family val="2"/>
    </font>
    <font>
      <sz val="10"/>
      <name val="Verdana"/>
      <family val="2"/>
    </font>
    <font>
      <b/>
      <sz val="11"/>
      <color theme="1"/>
      <name val="Calibri"/>
      <family val="2"/>
      <scheme val="minor"/>
    </font>
    <font>
      <sz val="10"/>
      <name val="Arial"/>
      <family val="2"/>
    </font>
    <font>
      <b/>
      <sz val="11"/>
      <color theme="3"/>
      <name val="Times New Roman"/>
      <family val="2"/>
    </font>
    <font>
      <sz val="11"/>
      <name val="Calibri"/>
      <family val="2"/>
      <scheme val="minor"/>
    </font>
    <font>
      <b/>
      <sz val="11"/>
      <name val="Calibri"/>
      <family val="2"/>
      <scheme val="minor"/>
    </font>
    <font>
      <sz val="12"/>
      <name val="Calibri"/>
      <family val="2"/>
      <scheme val="minor"/>
    </font>
    <font>
      <sz val="11"/>
      <color indexed="8"/>
      <name val="Calibri"/>
      <family val="2"/>
      <scheme val="minor"/>
    </font>
    <font>
      <b/>
      <sz val="11"/>
      <color indexed="8"/>
      <name val="Calibri"/>
      <family val="2"/>
      <scheme val="minor"/>
    </font>
    <font>
      <sz val="11"/>
      <color indexed="17"/>
      <name val="Calibri"/>
      <family val="2"/>
      <scheme val="minor"/>
    </font>
    <font>
      <b/>
      <sz val="11"/>
      <color indexed="17"/>
      <name val="Calibri"/>
      <family val="2"/>
      <scheme val="minor"/>
    </font>
    <font>
      <i/>
      <sz val="11"/>
      <name val="Calibri"/>
      <family val="2"/>
      <scheme val="minor"/>
    </font>
    <font>
      <i/>
      <sz val="11"/>
      <color indexed="17"/>
      <name val="Calibri"/>
      <family val="2"/>
      <scheme val="minor"/>
    </font>
    <font>
      <i/>
      <sz val="11"/>
      <color indexed="8"/>
      <name val="Calibri"/>
      <family val="2"/>
      <scheme val="minor"/>
    </font>
    <font>
      <b/>
      <i/>
      <sz val="11"/>
      <color indexed="8"/>
      <name val="Calibri"/>
      <family val="2"/>
      <scheme val="minor"/>
    </font>
    <font>
      <sz val="18"/>
      <color indexed="17"/>
      <name val="Calibri"/>
      <family val="2"/>
      <scheme val="minor"/>
    </font>
    <font>
      <sz val="10"/>
      <name val="Inherit"/>
    </font>
    <font>
      <sz val="11"/>
      <color rgb="FF3F3F76"/>
      <name val="Calibri"/>
      <family val="2"/>
    </font>
    <font>
      <sz val="11"/>
      <color theme="0"/>
      <name val="Calibri"/>
      <family val="2"/>
    </font>
    <font>
      <sz val="18"/>
      <name val="Calibri"/>
      <family val="2"/>
      <scheme val="minor"/>
    </font>
    <font>
      <sz val="11"/>
      <color indexed="12"/>
      <name val="Calibri"/>
      <family val="2"/>
      <scheme val="minor"/>
    </font>
    <font>
      <b/>
      <sz val="11"/>
      <color indexed="12"/>
      <name val="Calibri"/>
      <family val="2"/>
      <scheme val="minor"/>
    </font>
    <font>
      <sz val="11"/>
      <color indexed="12"/>
      <name val="Calibri"/>
      <family val="2"/>
    </font>
    <font>
      <i/>
      <sz val="11"/>
      <color indexed="12"/>
      <name val="Calibri"/>
      <family val="2"/>
      <scheme val="minor"/>
    </font>
    <font>
      <b/>
      <i/>
      <sz val="11"/>
      <color indexed="12"/>
      <name val="Calibri"/>
      <family val="2"/>
      <scheme val="minor"/>
    </font>
    <font>
      <b/>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color rgb="FF3F3F76"/>
      <name val="Calibri"/>
      <family val="2"/>
      <scheme val="minor"/>
    </font>
    <font>
      <b/>
      <sz val="9"/>
      <color indexed="81"/>
      <name val="Tahoma"/>
      <family val="2"/>
    </font>
    <font>
      <b/>
      <sz val="9"/>
      <color indexed="81"/>
      <name val="Tahoma"/>
      <charset val="1"/>
    </font>
    <font>
      <sz val="18"/>
      <color indexed="8"/>
      <name val="Calibri"/>
      <family val="2"/>
      <scheme val="minor"/>
    </font>
    <font>
      <sz val="18"/>
      <color indexed="12"/>
      <name val="Calibri"/>
      <family val="2"/>
      <scheme val="minor"/>
    </font>
    <font>
      <sz val="9"/>
      <color indexed="81"/>
      <name val="Tahoma"/>
      <charset val="1"/>
    </font>
  </fonts>
  <fills count="46">
    <fill>
      <patternFill patternType="none"/>
    </fill>
    <fill>
      <patternFill patternType="gray125"/>
    </fill>
    <fill>
      <patternFill patternType="solid">
        <fgColor rgb="FFF37321"/>
        <bgColor indexed="64"/>
      </patternFill>
    </fill>
    <fill>
      <patternFill patternType="solid">
        <fgColor theme="2"/>
        <bgColor indexed="64"/>
      </patternFill>
    </fill>
    <fill>
      <patternFill patternType="solid">
        <fgColor theme="5" tint="0.59999389629810485"/>
        <bgColor indexed="64"/>
      </patternFill>
    </fill>
    <fill>
      <patternFill patternType="solid">
        <fgColor rgb="FFFFFF99"/>
        <bgColor indexed="64"/>
      </patternFill>
    </fill>
    <fill>
      <patternFill patternType="solid">
        <fgColor rgb="FFFF9900"/>
        <bgColor indexed="64"/>
      </patternFill>
    </fill>
    <fill>
      <patternFill patternType="solid">
        <fgColor theme="5" tint="0.59999389629810485"/>
        <bgColor indexed="65"/>
      </patternFill>
    </fill>
    <fill>
      <patternFill patternType="solid">
        <fgColor rgb="FFFFCC9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tint="0.79998168889431442"/>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C99"/>
      </patternFill>
    </fill>
    <fill>
      <patternFill patternType="solid">
        <fgColor theme="5"/>
      </patternFill>
    </fill>
    <fill>
      <patternFill patternType="solid">
        <fgColor theme="5" tint="0.39997558519241921"/>
        <bgColor indexed="65"/>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rgb="FFFF8E85"/>
        <bgColor indexed="64"/>
      </patternFill>
    </fill>
    <fill>
      <patternFill patternType="solid">
        <fgColor theme="9" tint="0.39997558519241921"/>
        <bgColor indexed="64"/>
      </patternFill>
    </fill>
    <fill>
      <patternFill patternType="solid">
        <fgColor rgb="FFFFFF00"/>
        <bgColor indexed="64"/>
      </patternFill>
    </fill>
  </fills>
  <borders count="20">
    <border>
      <left/>
      <right/>
      <top/>
      <bottom/>
      <diagonal/>
    </border>
    <border>
      <left/>
      <right style="medium">
        <color auto="1"/>
      </right>
      <top/>
      <bottom/>
      <diagonal/>
    </border>
    <border>
      <left style="thin">
        <color indexed="64"/>
      </left>
      <right/>
      <top/>
      <bottom/>
      <diagonal/>
    </border>
    <border>
      <left style="medium">
        <color indexed="64"/>
      </left>
      <right/>
      <top/>
      <bottom/>
      <diagonal/>
    </border>
    <border>
      <left/>
      <right style="thin">
        <color auto="1"/>
      </right>
      <top/>
      <bottom/>
      <diagonal/>
    </border>
    <border>
      <left style="thin">
        <color auto="1"/>
      </left>
      <right style="thin">
        <color auto="1"/>
      </right>
      <top style="thin">
        <color auto="1"/>
      </top>
      <bottom style="thin">
        <color auto="1"/>
      </bottom>
      <diagonal/>
    </border>
    <border>
      <left/>
      <right/>
      <top/>
      <bottom style="double">
        <color indexed="64"/>
      </bottom>
      <diagonal/>
    </border>
    <border>
      <left/>
      <right style="thin">
        <color auto="1"/>
      </right>
      <top style="thin">
        <color auto="1"/>
      </top>
      <bottom style="thin">
        <color auto="1"/>
      </bottom>
      <diagonal/>
    </border>
    <border>
      <left/>
      <right/>
      <top/>
      <bottom style="thin">
        <color indexed="64"/>
      </bottom>
      <diagonal/>
    </border>
    <border>
      <left style="thin">
        <color auto="1"/>
      </left>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auto="1"/>
      </top>
      <bottom/>
      <diagonal/>
    </border>
  </borders>
  <cellStyleXfs count="56">
    <xf numFmtId="0" fontId="0" fillId="0" borderId="0"/>
    <xf numFmtId="44" fontId="2" fillId="0" borderId="0" applyFont="0" applyFill="0" applyBorder="0" applyAlignment="0" applyProtection="0"/>
    <xf numFmtId="174" fontId="2" fillId="0" borderId="0" applyFont="0" applyFill="0" applyBorder="0" applyProtection="0"/>
    <xf numFmtId="0" fontId="3" fillId="0" borderId="0"/>
    <xf numFmtId="0" fontId="4" fillId="0" borderId="0"/>
    <xf numFmtId="0" fontId="6" fillId="0" borderId="0"/>
    <xf numFmtId="41" fontId="2" fillId="0" borderId="0" applyFont="0" applyFill="0" applyBorder="0" applyProtection="0"/>
    <xf numFmtId="0" fontId="4" fillId="0" borderId="0"/>
    <xf numFmtId="0" fontId="7" fillId="0" borderId="0" applyNumberFormat="0" applyFill="0" applyBorder="0" applyAlignment="0" applyProtection="0"/>
    <xf numFmtId="0" fontId="21" fillId="5" borderId="5" applyNumberFormat="0" applyFont="0" applyAlignment="0" applyProtection="0"/>
    <xf numFmtId="43" fontId="2" fillId="0" borderId="0" applyFont="0" applyFill="0" applyBorder="0" applyProtection="0"/>
    <xf numFmtId="0" fontId="22" fillId="6" borderId="0" applyNumberFormat="0" applyFont="0" applyBorder="0" applyAlignment="0" applyProtection="0"/>
    <xf numFmtId="0" fontId="1" fillId="7" borderId="0" applyNumberFormat="0" applyBorder="0" applyAlignment="0" applyProtection="0"/>
    <xf numFmtId="0" fontId="22" fillId="8" borderId="0" applyNumberFormat="0" applyFont="0" applyBorder="0" applyAlignment="0" applyProtection="0"/>
    <xf numFmtId="175" fontId="2" fillId="0" borderId="0" applyFont="0" applyFill="0" applyBorder="0" applyProtection="0"/>
    <xf numFmtId="0" fontId="29" fillId="0" borderId="0" applyNumberFormat="0" applyFill="0" applyBorder="0" applyAlignment="0" applyProtection="0"/>
    <xf numFmtId="0" fontId="30" fillId="0" borderId="10" applyNumberFormat="0" applyFill="0" applyAlignment="0" applyProtection="0"/>
    <xf numFmtId="0" fontId="31" fillId="0" borderId="11" applyNumberFormat="0" applyFill="0" applyAlignment="0" applyProtection="0"/>
    <xf numFmtId="0" fontId="32" fillId="0" borderId="12" applyNumberFormat="0" applyFill="0" applyAlignment="0" applyProtection="0"/>
    <xf numFmtId="0" fontId="33" fillId="9" borderId="0" applyNumberFormat="0" applyBorder="0" applyAlignment="0" applyProtection="0"/>
    <xf numFmtId="0" fontId="34" fillId="10" borderId="0" applyNumberFormat="0" applyBorder="0" applyAlignment="0" applyProtection="0"/>
    <xf numFmtId="0" fontId="35" fillId="11" borderId="0" applyNumberFormat="0" applyBorder="0" applyAlignment="0" applyProtection="0"/>
    <xf numFmtId="0" fontId="36" fillId="12" borderId="13" applyNumberFormat="0" applyAlignment="0" applyProtection="0"/>
    <xf numFmtId="0" fontId="37" fillId="12" borderId="14" applyNumberFormat="0" applyAlignment="0" applyProtection="0"/>
    <xf numFmtId="0" fontId="38" fillId="0" borderId="15" applyNumberFormat="0" applyFill="0" applyAlignment="0" applyProtection="0"/>
    <xf numFmtId="0" fontId="39" fillId="13" borderId="16" applyNumberFormat="0" applyAlignment="0" applyProtection="0"/>
    <xf numFmtId="0" fontId="40" fillId="0" borderId="0" applyNumberFormat="0" applyFill="0" applyBorder="0" applyAlignment="0" applyProtection="0"/>
    <xf numFmtId="0" fontId="2" fillId="14" borderId="17" applyNumberFormat="0" applyFont="0" applyAlignment="0" applyProtection="0"/>
    <xf numFmtId="0" fontId="41" fillId="0" borderId="0" applyNumberFormat="0" applyFill="0" applyBorder="0" applyAlignment="0" applyProtection="0"/>
    <xf numFmtId="0" fontId="5" fillId="0" borderId="18" applyNumberFormat="0" applyFill="0" applyAlignment="0" applyProtection="0"/>
    <xf numFmtId="0" fontId="4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42" fillId="18" borderId="0" applyNumberFormat="0" applyBorder="0" applyAlignment="0" applyProtection="0"/>
    <xf numFmtId="0" fontId="2" fillId="19" borderId="0" applyNumberFormat="0" applyBorder="0" applyAlignment="0" applyProtection="0"/>
    <xf numFmtId="0" fontId="42" fillId="20"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42" fillId="23" borderId="0" applyNumberFormat="0" applyBorder="0" applyAlignment="0" applyProtection="0"/>
    <xf numFmtId="0" fontId="42" fillId="24"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42" fillId="27" borderId="0" applyNumberFormat="0" applyBorder="0" applyAlignment="0" applyProtection="0"/>
    <xf numFmtId="0" fontId="42" fillId="28"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42" fillId="31" borderId="0" applyNumberFormat="0" applyBorder="0" applyAlignment="0" applyProtection="0"/>
    <xf numFmtId="0" fontId="42" fillId="32"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42" fillId="35" borderId="0" applyNumberFormat="0" applyBorder="0" applyAlignment="0" applyProtection="0"/>
    <xf numFmtId="0" fontId="32" fillId="0" borderId="0" applyNumberFormat="0" applyFill="0" applyBorder="0" applyAlignment="0" applyProtection="0"/>
    <xf numFmtId="0" fontId="43" fillId="36" borderId="14" applyNumberFormat="0" applyAlignment="0" applyProtection="0"/>
    <xf numFmtId="0" fontId="42" fillId="37" borderId="0" applyNumberFormat="0" applyBorder="0" applyAlignment="0" applyProtection="0"/>
    <xf numFmtId="0" fontId="2" fillId="7" borderId="0" applyNumberFormat="0" applyBorder="0" applyAlignment="0" applyProtection="0"/>
    <xf numFmtId="0" fontId="42" fillId="38" borderId="0" applyNumberFormat="0" applyBorder="0" applyAlignment="0" applyProtection="0"/>
  </cellStyleXfs>
  <cellXfs count="518">
    <xf numFmtId="0" fontId="0" fillId="0" borderId="0" xfId="0"/>
    <xf numFmtId="0" fontId="0" fillId="0" borderId="0" xfId="0" applyFont="1"/>
    <xf numFmtId="166" fontId="0" fillId="0" borderId="0" xfId="0" applyNumberFormat="1" applyFont="1"/>
    <xf numFmtId="166" fontId="5" fillId="0" borderId="0" xfId="0" applyNumberFormat="1" applyFont="1"/>
    <xf numFmtId="0" fontId="8" fillId="0" borderId="0" xfId="0" applyFont="1" applyBorder="1"/>
    <xf numFmtId="0" fontId="8" fillId="0" borderId="0" xfId="6" applyNumberFormat="1" applyFont="1" applyBorder="1" applyAlignment="1">
      <alignment horizontal="center"/>
    </xf>
    <xf numFmtId="0" fontId="0" fillId="0" borderId="0" xfId="0" applyFont="1" applyAlignment="1"/>
    <xf numFmtId="0" fontId="8" fillId="2" borderId="0" xfId="0" applyFont="1" applyFill="1"/>
    <xf numFmtId="0" fontId="8" fillId="0" borderId="0" xfId="0" applyFont="1" applyBorder="1" applyAlignment="1">
      <alignment vertical="center" wrapText="1"/>
    </xf>
    <xf numFmtId="14" fontId="8" fillId="0" borderId="0" xfId="0" applyNumberFormat="1" applyFont="1" applyBorder="1"/>
    <xf numFmtId="0" fontId="8" fillId="0" borderId="0" xfId="0" applyFont="1" applyBorder="1" applyAlignment="1">
      <alignment horizontal="center"/>
    </xf>
    <xf numFmtId="8" fontId="8" fillId="0" borderId="0" xfId="0" applyNumberFormat="1" applyFont="1"/>
    <xf numFmtId="10" fontId="8" fillId="0" borderId="0" xfId="0" applyNumberFormat="1" applyFont="1" applyBorder="1"/>
    <xf numFmtId="43" fontId="8" fillId="0" borderId="0" xfId="0" applyNumberFormat="1" applyFont="1" applyFill="1"/>
    <xf numFmtId="41" fontId="8" fillId="0" borderId="0" xfId="6" applyFont="1" applyFill="1" applyAlignment="1"/>
    <xf numFmtId="0" fontId="9" fillId="0" borderId="0" xfId="0" applyFont="1" applyFill="1" applyBorder="1"/>
    <xf numFmtId="171" fontId="8" fillId="0" borderId="0" xfId="6" applyNumberFormat="1" applyFont="1" applyFill="1" applyAlignment="1"/>
    <xf numFmtId="9" fontId="8" fillId="0" borderId="0" xfId="6" applyNumberFormat="1" applyFont="1" applyFill="1" applyAlignment="1"/>
    <xf numFmtId="10" fontId="8" fillId="0" borderId="0" xfId="0" applyNumberFormat="1" applyFont="1" applyFill="1"/>
    <xf numFmtId="6" fontId="8" fillId="0" borderId="0" xfId="0" applyNumberFormat="1" applyFont="1" applyFill="1"/>
    <xf numFmtId="37" fontId="8" fillId="0" borderId="0" xfId="0" applyNumberFormat="1" applyFont="1" applyFill="1"/>
    <xf numFmtId="0" fontId="9" fillId="0" borderId="0" xfId="0" applyFont="1" applyFill="1" applyAlignment="1"/>
    <xf numFmtId="37" fontId="8" fillId="0" borderId="0" xfId="0" applyNumberFormat="1" applyFont="1" applyFill="1" applyBorder="1"/>
    <xf numFmtId="174" fontId="8" fillId="0" borderId="0" xfId="2" applyFont="1" applyFill="1" applyBorder="1"/>
    <xf numFmtId="0" fontId="9" fillId="0" borderId="0" xfId="0" applyFont="1" applyFill="1" applyBorder="1" applyAlignment="1"/>
    <xf numFmtId="0" fontId="9" fillId="0" borderId="0" xfId="0" applyFont="1" applyFill="1" applyBorder="1" applyAlignment="1">
      <alignment horizontal="right"/>
    </xf>
    <xf numFmtId="0" fontId="8" fillId="3" borderId="0" xfId="0" applyFont="1" applyFill="1" applyBorder="1"/>
    <xf numFmtId="0" fontId="8" fillId="0" borderId="0" xfId="0" applyFont="1" applyFill="1" applyBorder="1"/>
    <xf numFmtId="43" fontId="8" fillId="0" borderId="0" xfId="6" applyNumberFormat="1" applyFont="1" applyFill="1" applyBorder="1" applyAlignment="1">
      <alignment horizontal="center" vertical="center"/>
    </xf>
    <xf numFmtId="37" fontId="8" fillId="0" borderId="0" xfId="0" applyNumberFormat="1" applyFont="1" applyFill="1" applyBorder="1" applyAlignment="1">
      <alignment horizontal="center" vertical="center"/>
    </xf>
    <xf numFmtId="174" fontId="8" fillId="0" borderId="0" xfId="2" applyFont="1" applyFill="1" applyBorder="1" applyAlignment="1">
      <alignment horizontal="center" vertical="center"/>
    </xf>
    <xf numFmtId="0" fontId="8" fillId="0" borderId="3" xfId="0" applyFont="1" applyFill="1" applyBorder="1"/>
    <xf numFmtId="0" fontId="8" fillId="3" borderId="3" xfId="0" applyFont="1" applyFill="1" applyBorder="1"/>
    <xf numFmtId="10" fontId="8" fillId="0" borderId="0" xfId="0" applyNumberFormat="1" applyFont="1" applyFill="1" applyBorder="1"/>
    <xf numFmtId="41" fontId="8" fillId="0" borderId="0" xfId="6" applyFont="1" applyFill="1" applyBorder="1" applyAlignment="1">
      <alignment horizontal="center" vertical="center"/>
    </xf>
    <xf numFmtId="0" fontId="14" fillId="0" borderId="0" xfId="0" applyFont="1" applyFill="1" applyBorder="1" applyAlignment="1">
      <alignment horizontal="right"/>
    </xf>
    <xf numFmtId="0" fontId="9" fillId="3" borderId="0" xfId="0" applyFont="1" applyFill="1" applyBorder="1" applyAlignment="1"/>
    <xf numFmtId="10" fontId="15" fillId="0" borderId="0" xfId="0" applyNumberFormat="1" applyFont="1" applyFill="1" applyBorder="1"/>
    <xf numFmtId="0" fontId="9" fillId="6" borderId="0" xfId="5" applyFont="1" applyFill="1" applyBorder="1" applyAlignment="1">
      <alignment horizontal="center" vertical="center"/>
    </xf>
    <xf numFmtId="169" fontId="12" fillId="6" borderId="0" xfId="7" applyNumberFormat="1" applyFont="1" applyFill="1" applyBorder="1"/>
    <xf numFmtId="0" fontId="8" fillId="6" borderId="0" xfId="0" applyFont="1" applyFill="1"/>
    <xf numFmtId="41" fontId="8" fillId="0" borderId="0" xfId="6" applyFont="1" applyFill="1" applyBorder="1" applyAlignment="1">
      <alignment horizontal="center"/>
    </xf>
    <xf numFmtId="0" fontId="19" fillId="0" borderId="0" xfId="0" applyFont="1" applyAlignment="1"/>
    <xf numFmtId="0" fontId="13" fillId="0" borderId="0" xfId="0" applyFont="1"/>
    <xf numFmtId="0" fontId="9" fillId="0" borderId="0" xfId="0" applyFont="1"/>
    <xf numFmtId="169" fontId="12" fillId="6" borderId="3" xfId="7" applyNumberFormat="1" applyFont="1" applyFill="1" applyBorder="1"/>
    <xf numFmtId="10" fontId="8" fillId="0" borderId="3" xfId="0" applyNumberFormat="1" applyFont="1" applyFill="1" applyBorder="1"/>
    <xf numFmtId="10" fontId="9" fillId="0" borderId="0" xfId="0" applyNumberFormat="1" applyFont="1" applyFill="1" applyBorder="1"/>
    <xf numFmtId="168" fontId="14" fillId="6" borderId="0" xfId="7" applyNumberFormat="1" applyFont="1" applyFill="1" applyBorder="1"/>
    <xf numFmtId="168" fontId="12" fillId="6" borderId="0" xfId="7" applyNumberFormat="1" applyFont="1" applyFill="1" applyBorder="1"/>
    <xf numFmtId="168" fontId="14" fillId="6" borderId="0" xfId="5" applyNumberFormat="1" applyFont="1" applyFill="1" applyBorder="1" applyAlignment="1">
      <alignment horizontal="center" vertical="center"/>
    </xf>
    <xf numFmtId="168" fontId="12" fillId="6" borderId="0" xfId="5" applyNumberFormat="1" applyFont="1" applyFill="1" applyBorder="1" applyAlignment="1">
      <alignment horizontal="center" vertical="center"/>
    </xf>
    <xf numFmtId="169" fontId="14" fillId="6" borderId="3" xfId="7" applyNumberFormat="1" applyFont="1" applyFill="1" applyBorder="1"/>
    <xf numFmtId="169" fontId="14" fillId="6" borderId="0" xfId="7" applyNumberFormat="1" applyFont="1" applyFill="1" applyBorder="1"/>
    <xf numFmtId="0" fontId="9" fillId="6" borderId="0" xfId="0" applyFont="1" applyFill="1" applyBorder="1"/>
    <xf numFmtId="41" fontId="0" fillId="0" borderId="0" xfId="6" applyFont="1"/>
    <xf numFmtId="0" fontId="5" fillId="0" borderId="0" xfId="0" applyFont="1"/>
    <xf numFmtId="0" fontId="0" fillId="0" borderId="0" xfId="0" applyFont="1" applyFill="1"/>
    <xf numFmtId="14" fontId="0" fillId="0" borderId="0" xfId="0" applyNumberFormat="1" applyFont="1"/>
    <xf numFmtId="10" fontId="0" fillId="0" borderId="0" xfId="2" applyNumberFormat="1" applyFont="1"/>
    <xf numFmtId="41" fontId="8" fillId="0" borderId="0" xfId="6" applyFont="1" applyFill="1" applyBorder="1" applyAlignment="1">
      <alignment vertical="center"/>
    </xf>
    <xf numFmtId="10" fontId="15" fillId="0" borderId="0" xfId="0" applyNumberFormat="1" applyFont="1" applyFill="1" applyBorder="1" applyAlignment="1">
      <alignment vertical="center"/>
    </xf>
    <xf numFmtId="10" fontId="15" fillId="0" borderId="0" xfId="2" applyNumberFormat="1" applyFont="1" applyFill="1" applyBorder="1" applyAlignment="1">
      <alignment horizontal="center" vertical="center"/>
    </xf>
    <xf numFmtId="10" fontId="15" fillId="0" borderId="0" xfId="0" applyNumberFormat="1" applyFont="1" applyFill="1" applyBorder="1" applyAlignment="1">
      <alignment horizontal="center" vertical="center"/>
    </xf>
    <xf numFmtId="9" fontId="17" fillId="0" borderId="0" xfId="0" applyNumberFormat="1" applyFont="1" applyFill="1" applyBorder="1" applyAlignment="1">
      <alignment horizontal="right"/>
    </xf>
    <xf numFmtId="0" fontId="8" fillId="0" borderId="2" xfId="0" applyFont="1" applyFill="1" applyBorder="1"/>
    <xf numFmtId="0" fontId="8" fillId="0" borderId="0" xfId="0" applyFont="1" applyFill="1" applyBorder="1" applyAlignment="1">
      <alignment horizontal="right"/>
    </xf>
    <xf numFmtId="0" fontId="9" fillId="0" borderId="1" xfId="0" applyFont="1" applyFill="1" applyBorder="1" applyAlignment="1"/>
    <xf numFmtId="0" fontId="8" fillId="6" borderId="0" xfId="0" applyFont="1" applyFill="1" applyBorder="1" applyAlignment="1">
      <alignment horizontal="center"/>
    </xf>
    <xf numFmtId="0" fontId="13" fillId="0" borderId="0" xfId="0" applyFont="1" applyFill="1" applyBorder="1"/>
    <xf numFmtId="0" fontId="14" fillId="6" borderId="0" xfId="0" applyFont="1" applyFill="1" applyBorder="1" applyAlignment="1">
      <alignment horizontal="center"/>
    </xf>
    <xf numFmtId="0" fontId="9" fillId="6" borderId="0" xfId="0" applyFont="1" applyFill="1" applyAlignment="1">
      <alignment horizontal="left" vertical="center"/>
    </xf>
    <xf numFmtId="3" fontId="8" fillId="0" borderId="0" xfId="0" applyNumberFormat="1" applyFont="1"/>
    <xf numFmtId="43" fontId="8" fillId="0" borderId="0" xfId="0" applyNumberFormat="1" applyFont="1"/>
    <xf numFmtId="0" fontId="20" fillId="0" borderId="0" xfId="0" applyFont="1" applyAlignment="1">
      <alignment vertical="center" wrapText="1"/>
    </xf>
    <xf numFmtId="0" fontId="20" fillId="0" borderId="0" xfId="0" applyFont="1" applyAlignment="1">
      <alignment vertical="center"/>
    </xf>
    <xf numFmtId="0" fontId="11" fillId="0" borderId="0" xfId="0" applyFont="1" applyFill="1" applyBorder="1"/>
    <xf numFmtId="165" fontId="9" fillId="0" borderId="0" xfId="0" applyNumberFormat="1" applyFont="1" applyFill="1" applyBorder="1"/>
    <xf numFmtId="166" fontId="5" fillId="0" borderId="0" xfId="0" applyNumberFormat="1" applyFont="1" applyFill="1"/>
    <xf numFmtId="168" fontId="14" fillId="6" borderId="0" xfId="0" applyNumberFormat="1" applyFont="1" applyFill="1" applyBorder="1"/>
    <xf numFmtId="0" fontId="11" fillId="5" borderId="5" xfId="0" applyFont="1" applyFill="1" applyBorder="1"/>
    <xf numFmtId="172" fontId="14" fillId="6" borderId="0" xfId="0" applyNumberFormat="1" applyFont="1" applyFill="1" applyAlignment="1">
      <alignment horizontal="left"/>
    </xf>
    <xf numFmtId="0" fontId="2" fillId="0" borderId="0" xfId="0" applyFont="1"/>
    <xf numFmtId="0" fontId="8" fillId="0" borderId="0" xfId="0" applyFont="1"/>
    <xf numFmtId="174" fontId="11" fillId="0" borderId="3" xfId="2" applyFont="1" applyFill="1" applyBorder="1"/>
    <xf numFmtId="174" fontId="11" fillId="0" borderId="0" xfId="2" applyFont="1" applyFill="1" applyBorder="1"/>
    <xf numFmtId="174" fontId="17" fillId="0" borderId="0" xfId="2" applyFont="1" applyBorder="1"/>
    <xf numFmtId="174" fontId="17" fillId="0" borderId="0" xfId="2" applyFont="1" applyFill="1" applyBorder="1"/>
    <xf numFmtId="174" fontId="18" fillId="0" borderId="0" xfId="2" applyFont="1" applyFill="1" applyBorder="1"/>
    <xf numFmtId="43" fontId="11" fillId="0" borderId="0" xfId="10" applyFont="1" applyFill="1" applyBorder="1"/>
    <xf numFmtId="43" fontId="13" fillId="0" borderId="0" xfId="10" applyFont="1" applyFill="1" applyBorder="1"/>
    <xf numFmtId="43" fontId="11" fillId="3" borderId="0" xfId="10" applyFont="1" applyFill="1" applyBorder="1"/>
    <xf numFmtId="43" fontId="12" fillId="6" borderId="0" xfId="10" applyFont="1" applyFill="1" applyBorder="1"/>
    <xf numFmtId="43" fontId="11" fillId="0" borderId="0" xfId="10" applyFont="1"/>
    <xf numFmtId="43" fontId="12" fillId="6" borderId="0" xfId="10" applyFont="1" applyFill="1"/>
    <xf numFmtId="43" fontId="13" fillId="3" borderId="0" xfId="10" applyFont="1" applyFill="1" applyBorder="1"/>
    <xf numFmtId="43" fontId="11" fillId="3" borderId="3" xfId="10" applyFont="1" applyFill="1" applyBorder="1"/>
    <xf numFmtId="43" fontId="12" fillId="3" borderId="3" xfId="10" applyFont="1" applyFill="1" applyBorder="1"/>
    <xf numFmtId="43" fontId="12" fillId="3" borderId="0" xfId="10" applyFont="1" applyFill="1" applyBorder="1"/>
    <xf numFmtId="43" fontId="12" fillId="0" borderId="0" xfId="10" applyFont="1" applyFill="1" applyBorder="1"/>
    <xf numFmtId="43" fontId="14" fillId="0" borderId="0" xfId="10" applyFont="1" applyFill="1" applyBorder="1"/>
    <xf numFmtId="174" fontId="12" fillId="6" borderId="0" xfId="2" applyFont="1" applyFill="1" applyBorder="1"/>
    <xf numFmtId="174" fontId="16" fillId="3" borderId="0" xfId="2" applyFont="1" applyFill="1" applyBorder="1"/>
    <xf numFmtId="175" fontId="11" fillId="0" borderId="0" xfId="14" applyFont="1" applyFill="1" applyBorder="1"/>
    <xf numFmtId="169" fontId="9" fillId="8" borderId="0" xfId="13" applyNumberFormat="1" applyFont="1" applyAlignment="1">
      <alignment horizontal="center"/>
    </xf>
    <xf numFmtId="43" fontId="8" fillId="8" borderId="0" xfId="13" applyNumberFormat="1" applyFont="1" applyBorder="1"/>
    <xf numFmtId="10" fontId="15" fillId="8" borderId="0" xfId="13" applyNumberFormat="1" applyFont="1" applyBorder="1"/>
    <xf numFmtId="43" fontId="8" fillId="8" borderId="0" xfId="13" applyNumberFormat="1" applyFont="1" applyBorder="1" applyAlignment="1">
      <alignment horizontal="center" vertical="center"/>
    </xf>
    <xf numFmtId="41" fontId="8" fillId="8" borderId="0" xfId="13" applyNumberFormat="1" applyFont="1" applyBorder="1" applyAlignment="1">
      <alignment horizontal="center"/>
    </xf>
    <xf numFmtId="37" fontId="8" fillId="8" borderId="0" xfId="13" applyNumberFormat="1" applyFont="1" applyBorder="1" applyAlignment="1">
      <alignment horizontal="center" vertical="center"/>
    </xf>
    <xf numFmtId="173" fontId="8" fillId="8" borderId="0" xfId="13" applyNumberFormat="1" applyFont="1" applyBorder="1" applyAlignment="1">
      <alignment horizontal="center" vertical="center"/>
    </xf>
    <xf numFmtId="173" fontId="18" fillId="8" borderId="0" xfId="13" applyNumberFormat="1" applyFont="1" applyBorder="1"/>
    <xf numFmtId="174" fontId="15" fillId="5" borderId="5" xfId="2" applyFont="1" applyFill="1" applyBorder="1"/>
    <xf numFmtId="0" fontId="8" fillId="0" borderId="0" xfId="0" applyFont="1" applyAlignment="1"/>
    <xf numFmtId="0" fontId="23" fillId="5" borderId="5" xfId="0" applyFont="1" applyFill="1" applyBorder="1" applyAlignment="1"/>
    <xf numFmtId="0" fontId="8" fillId="5" borderId="5" xfId="0" applyFont="1" applyFill="1" applyBorder="1"/>
    <xf numFmtId="0" fontId="24" fillId="0" borderId="0" xfId="0" applyFont="1"/>
    <xf numFmtId="0" fontId="25" fillId="6" borderId="0" xfId="0" applyFont="1" applyFill="1" applyBorder="1" applyAlignment="1">
      <alignment horizontal="left"/>
    </xf>
    <xf numFmtId="0" fontId="25" fillId="6" borderId="0" xfId="0" applyFont="1" applyFill="1" applyBorder="1" applyAlignment="1">
      <alignment horizontal="right"/>
    </xf>
    <xf numFmtId="0" fontId="24" fillId="0" borderId="0" xfId="0" applyFont="1" applyFill="1" applyBorder="1"/>
    <xf numFmtId="174" fontId="8" fillId="5" borderId="5" xfId="2" applyFont="1" applyFill="1" applyBorder="1"/>
    <xf numFmtId="43" fontId="8" fillId="5" borderId="5" xfId="10" applyFont="1" applyFill="1" applyBorder="1"/>
    <xf numFmtId="0" fontId="25" fillId="0" borderId="0" xfId="0" applyFont="1" applyFill="1" applyBorder="1"/>
    <xf numFmtId="170" fontId="24" fillId="0" borderId="0" xfId="0" applyNumberFormat="1" applyFont="1" applyFill="1" applyBorder="1"/>
    <xf numFmtId="43" fontId="9" fillId="5" borderId="5" xfId="10" applyFont="1" applyFill="1" applyBorder="1"/>
    <xf numFmtId="0" fontId="25" fillId="6" borderId="0" xfId="0" applyFont="1" applyFill="1" applyAlignment="1">
      <alignment horizontal="left"/>
    </xf>
    <xf numFmtId="0" fontId="24" fillId="0" borderId="0" xfId="0" applyFont="1" applyFill="1"/>
    <xf numFmtId="0" fontId="25" fillId="6" borderId="0" xfId="0" applyFont="1" applyFill="1"/>
    <xf numFmtId="0" fontId="24" fillId="6" borderId="0" xfId="0" applyFont="1" applyFill="1" applyAlignment="1"/>
    <xf numFmtId="166" fontId="24" fillId="6" borderId="0" xfId="0" applyNumberFormat="1" applyFont="1" applyFill="1" applyBorder="1" applyAlignment="1">
      <alignment horizontal="left"/>
    </xf>
    <xf numFmtId="166" fontId="24" fillId="6" borderId="0" xfId="7" applyNumberFormat="1" applyFont="1" applyFill="1" applyBorder="1" applyAlignment="1">
      <alignment horizontal="left"/>
    </xf>
    <xf numFmtId="166" fontId="24" fillId="0" borderId="0" xfId="0" applyNumberFormat="1" applyFont="1"/>
    <xf numFmtId="0" fontId="25" fillId="6" borderId="0" xfId="0" applyNumberFormat="1" applyFont="1" applyFill="1" applyBorder="1" applyAlignment="1"/>
    <xf numFmtId="0" fontId="25" fillId="6" borderId="2" xfId="0" applyNumberFormat="1" applyFont="1" applyFill="1" applyBorder="1" applyAlignment="1">
      <alignment horizontal="center" vertical="center"/>
    </xf>
    <xf numFmtId="0" fontId="24" fillId="0" borderId="0" xfId="7" applyFont="1" applyFill="1" applyBorder="1" applyAlignment="1"/>
    <xf numFmtId="166" fontId="24" fillId="3" borderId="0" xfId="7" applyNumberFormat="1" applyFont="1" applyFill="1" applyBorder="1" applyAlignment="1"/>
    <xf numFmtId="0" fontId="24" fillId="3" borderId="0" xfId="7" applyFont="1" applyFill="1" applyBorder="1"/>
    <xf numFmtId="0" fontId="24" fillId="0" borderId="0" xfId="3" applyFont="1" applyBorder="1"/>
    <xf numFmtId="166" fontId="24" fillId="0" borderId="0" xfId="7" applyNumberFormat="1" applyFont="1" applyFill="1" applyBorder="1" applyAlignment="1"/>
    <xf numFmtId="174" fontId="27" fillId="5" borderId="5" xfId="2" applyFont="1" applyFill="1" applyBorder="1"/>
    <xf numFmtId="0" fontId="24" fillId="0" borderId="0" xfId="7" applyFont="1" applyFill="1" applyBorder="1"/>
    <xf numFmtId="0" fontId="24" fillId="3" borderId="0" xfId="7" applyFont="1" applyFill="1" applyBorder="1" applyAlignment="1"/>
    <xf numFmtId="0" fontId="25" fillId="8" borderId="0" xfId="13" applyFont="1" applyBorder="1" applyAlignment="1"/>
    <xf numFmtId="0" fontId="25" fillId="6" borderId="0" xfId="7" applyFont="1" applyFill="1" applyBorder="1"/>
    <xf numFmtId="0" fontId="24" fillId="3" borderId="0" xfId="0" applyFont="1" applyFill="1" applyBorder="1" applyAlignment="1">
      <alignment horizontal="right"/>
    </xf>
    <xf numFmtId="0" fontId="24" fillId="0" borderId="0" xfId="0" applyFont="1" applyFill="1" applyBorder="1" applyAlignment="1">
      <alignment horizontal="right"/>
    </xf>
    <xf numFmtId="0" fontId="28" fillId="0" borderId="0" xfId="0" applyFont="1" applyFill="1" applyBorder="1"/>
    <xf numFmtId="43" fontId="8" fillId="5" borderId="7" xfId="10" applyFont="1" applyFill="1" applyBorder="1"/>
    <xf numFmtId="0" fontId="25" fillId="3" borderId="0" xfId="0" applyFont="1" applyFill="1" applyBorder="1" applyAlignment="1">
      <alignment horizontal="right"/>
    </xf>
    <xf numFmtId="43" fontId="24" fillId="6" borderId="0" xfId="10" applyFont="1" applyFill="1" applyBorder="1"/>
    <xf numFmtId="43" fontId="24" fillId="6" borderId="2" xfId="10" applyFont="1" applyFill="1" applyBorder="1"/>
    <xf numFmtId="43" fontId="24" fillId="6" borderId="4" xfId="10" applyFont="1" applyFill="1" applyBorder="1"/>
    <xf numFmtId="2" fontId="24" fillId="0" borderId="0" xfId="0" applyNumberFormat="1" applyFont="1" applyFill="1" applyBorder="1" applyAlignment="1">
      <alignment horizontal="left"/>
    </xf>
    <xf numFmtId="165" fontId="24" fillId="0" borderId="0" xfId="0" applyNumberFormat="1" applyFont="1" applyFill="1" applyBorder="1" applyAlignment="1">
      <alignment horizontal="left"/>
    </xf>
    <xf numFmtId="165" fontId="24" fillId="0" borderId="0" xfId="0" applyNumberFormat="1" applyFont="1" applyFill="1" applyBorder="1"/>
    <xf numFmtId="165" fontId="25" fillId="0" borderId="0" xfId="0" applyNumberFormat="1" applyFont="1" applyFill="1" applyBorder="1"/>
    <xf numFmtId="0" fontId="25" fillId="0" borderId="0" xfId="0" applyFont="1" applyFill="1" applyBorder="1" applyAlignment="1"/>
    <xf numFmtId="0" fontId="25" fillId="8" borderId="0" xfId="13" applyFont="1" applyBorder="1"/>
    <xf numFmtId="41" fontId="24" fillId="8" borderId="0" xfId="13" applyNumberFormat="1" applyFont="1" applyBorder="1" applyAlignment="1">
      <alignment horizontal="center"/>
    </xf>
    <xf numFmtId="0" fontId="25" fillId="0" borderId="0" xfId="0" applyFont="1" applyFill="1" applyBorder="1" applyAlignment="1">
      <alignment horizontal="left"/>
    </xf>
    <xf numFmtId="175" fontId="8" fillId="0" borderId="0" xfId="14" applyFont="1" applyFill="1" applyBorder="1"/>
    <xf numFmtId="0" fontId="24" fillId="0" borderId="0" xfId="0" applyFont="1" applyFill="1" applyBorder="1" applyAlignment="1">
      <alignment horizontal="left" indent="1"/>
    </xf>
    <xf numFmtId="41" fontId="24" fillId="8" borderId="0" xfId="13" applyNumberFormat="1" applyFont="1" applyBorder="1" applyAlignment="1">
      <alignment horizontal="center" vertical="center"/>
    </xf>
    <xf numFmtId="0" fontId="25" fillId="0" borderId="0" xfId="0" applyFont="1" applyFill="1" applyBorder="1" applyAlignment="1">
      <alignment horizontal="right"/>
    </xf>
    <xf numFmtId="0" fontId="9" fillId="0" borderId="6" xfId="0" applyFont="1" applyBorder="1" applyAlignment="1"/>
    <xf numFmtId="0" fontId="24" fillId="6" borderId="0" xfId="0" applyFont="1" applyFill="1" applyBorder="1" applyAlignment="1">
      <alignment horizontal="center"/>
    </xf>
    <xf numFmtId="0" fontId="25" fillId="6" borderId="0" xfId="0" applyFont="1" applyFill="1" applyAlignment="1">
      <alignment vertical="center"/>
    </xf>
    <xf numFmtId="0" fontId="24" fillId="3" borderId="0" xfId="3" applyFont="1" applyFill="1" applyBorder="1" applyAlignment="1"/>
    <xf numFmtId="0" fontId="24" fillId="0" borderId="0" xfId="3" applyFont="1" applyFill="1" applyBorder="1" applyAlignment="1"/>
    <xf numFmtId="0" fontId="25" fillId="6" borderId="0" xfId="0" applyFont="1" applyFill="1" applyBorder="1"/>
    <xf numFmtId="0" fontId="25" fillId="0" borderId="0" xfId="8" applyFont="1" applyBorder="1"/>
    <xf numFmtId="0" fontId="24" fillId="6" borderId="0" xfId="0" applyFont="1" applyFill="1" applyBorder="1" applyAlignment="1">
      <alignment wrapText="1"/>
    </xf>
    <xf numFmtId="0" fontId="24" fillId="0" borderId="0" xfId="0" applyFont="1" applyBorder="1"/>
    <xf numFmtId="5" fontId="25" fillId="0" borderId="0" xfId="1" applyNumberFormat="1" applyFont="1" applyFill="1" applyBorder="1"/>
    <xf numFmtId="0" fontId="24" fillId="6" borderId="0" xfId="0" applyFont="1" applyFill="1" applyBorder="1"/>
    <xf numFmtId="0" fontId="24" fillId="6" borderId="2" xfId="0" applyFont="1" applyFill="1" applyBorder="1"/>
    <xf numFmtId="0" fontId="24" fillId="8" borderId="2" xfId="13" applyFont="1" applyBorder="1"/>
    <xf numFmtId="0" fontId="24" fillId="8" borderId="0" xfId="13" applyFont="1" applyBorder="1"/>
    <xf numFmtId="0" fontId="24" fillId="3" borderId="0" xfId="0" applyFont="1" applyFill="1" applyBorder="1" applyAlignment="1">
      <alignment horizontal="left" indent="1"/>
    </xf>
    <xf numFmtId="0" fontId="24" fillId="0" borderId="0" xfId="0" applyFont="1" applyBorder="1" applyAlignment="1">
      <alignment horizontal="left" indent="1"/>
    </xf>
    <xf numFmtId="0" fontId="24" fillId="3" borderId="0" xfId="5" applyFont="1" applyFill="1" applyBorder="1"/>
    <xf numFmtId="0" fontId="24" fillId="0" borderId="0" xfId="5" applyFont="1" applyFill="1" applyBorder="1"/>
    <xf numFmtId="0" fontId="24" fillId="3" borderId="0" xfId="5" applyFont="1" applyFill="1" applyBorder="1" applyAlignment="1"/>
    <xf numFmtId="0" fontId="24" fillId="0" borderId="0" xfId="5" applyFont="1" applyFill="1" applyBorder="1" applyAlignment="1"/>
    <xf numFmtId="0" fontId="0" fillId="40" borderId="0" xfId="0" applyFill="1"/>
    <xf numFmtId="0" fontId="8" fillId="39" borderId="0" xfId="0" applyFont="1" applyFill="1" applyAlignment="1"/>
    <xf numFmtId="0" fontId="8" fillId="39" borderId="0" xfId="0" applyFont="1" applyFill="1"/>
    <xf numFmtId="0" fontId="9" fillId="39" borderId="0" xfId="0" applyFont="1" applyFill="1" applyAlignment="1"/>
    <xf numFmtId="14" fontId="8" fillId="5" borderId="5" xfId="0" applyNumberFormat="1" applyFont="1" applyFill="1" applyBorder="1"/>
    <xf numFmtId="0" fontId="0" fillId="39" borderId="0" xfId="0" applyFill="1"/>
    <xf numFmtId="0" fontId="0" fillId="0" borderId="0" xfId="0" applyFont="1"/>
    <xf numFmtId="41" fontId="12" fillId="0" borderId="0" xfId="6" applyFont="1" applyFill="1" applyBorder="1"/>
    <xf numFmtId="10" fontId="15" fillId="0" borderId="2" xfId="2" applyNumberFormat="1" applyFont="1" applyFill="1" applyBorder="1"/>
    <xf numFmtId="166" fontId="8" fillId="0" borderId="0" xfId="0" applyNumberFormat="1" applyFont="1" applyFill="1" applyBorder="1" applyAlignment="1"/>
    <xf numFmtId="41" fontId="9" fillId="0" borderId="0" xfId="6" applyFont="1" applyFill="1" applyBorder="1"/>
    <xf numFmtId="174" fontId="17" fillId="0" borderId="2" xfId="2" applyFont="1" applyFill="1" applyBorder="1"/>
    <xf numFmtId="168" fontId="9" fillId="8" borderId="0" xfId="13" applyNumberFormat="1" applyFont="1" applyAlignment="1">
      <alignment horizontal="center"/>
    </xf>
    <xf numFmtId="41" fontId="8" fillId="8" borderId="2" xfId="13" applyNumberFormat="1" applyFont="1" applyBorder="1"/>
    <xf numFmtId="0" fontId="24" fillId="0" borderId="0" xfId="0" applyFont="1"/>
    <xf numFmtId="166" fontId="24" fillId="0" borderId="0" xfId="0" applyNumberFormat="1" applyFont="1" applyAlignment="1"/>
    <xf numFmtId="166" fontId="24" fillId="6" borderId="0" xfId="0" applyNumberFormat="1" applyFont="1" applyFill="1" applyBorder="1" applyAlignment="1"/>
    <xf numFmtId="166" fontId="25" fillId="8" borderId="0" xfId="13" applyNumberFormat="1" applyFont="1" applyBorder="1" applyAlignment="1"/>
    <xf numFmtId="166" fontId="25" fillId="0" borderId="0" xfId="0" applyNumberFormat="1" applyFont="1" applyFill="1" applyBorder="1" applyAlignment="1"/>
    <xf numFmtId="166" fontId="24" fillId="0" borderId="0" xfId="0" applyNumberFormat="1" applyFont="1" applyFill="1" applyBorder="1" applyAlignment="1">
      <alignment horizontal="left" indent="1"/>
    </xf>
    <xf numFmtId="166" fontId="24" fillId="0" borderId="0" xfId="0" applyNumberFormat="1" applyFont="1" applyBorder="1" applyAlignment="1">
      <alignment horizontal="left" indent="1"/>
    </xf>
    <xf numFmtId="166" fontId="24" fillId="0" borderId="0" xfId="0" applyNumberFormat="1" applyFont="1" applyFill="1" applyBorder="1" applyAlignment="1"/>
    <xf numFmtId="166" fontId="26" fillId="0" borderId="0" xfId="0" applyNumberFormat="1" applyFont="1" applyFill="1" applyBorder="1" applyAlignment="1">
      <alignment horizontal="left" indent="1"/>
    </xf>
    <xf numFmtId="166" fontId="25" fillId="0" borderId="0" xfId="0" applyNumberFormat="1" applyFont="1" applyFill="1" applyBorder="1" applyAlignment="1">
      <alignment horizontal="left"/>
    </xf>
    <xf numFmtId="41" fontId="24" fillId="3" borderId="0" xfId="6" applyFont="1" applyFill="1" applyAlignment="1">
      <alignment horizontal="left" indent="1"/>
    </xf>
    <xf numFmtId="41" fontId="24" fillId="0" borderId="0" xfId="6" applyFont="1" applyFill="1" applyAlignment="1">
      <alignment horizontal="left" indent="1"/>
    </xf>
    <xf numFmtId="168" fontId="11" fillId="6" borderId="2" xfId="0" applyNumberFormat="1" applyFont="1" applyFill="1" applyBorder="1" applyAlignment="1">
      <alignment horizontal="center"/>
    </xf>
    <xf numFmtId="168" fontId="9" fillId="8" borderId="2" xfId="13" applyNumberFormat="1" applyFont="1" applyBorder="1" applyAlignment="1">
      <alignment horizontal="center"/>
    </xf>
    <xf numFmtId="0" fontId="8" fillId="0" borderId="2" xfId="0" applyFont="1" applyBorder="1"/>
    <xf numFmtId="3" fontId="8" fillId="0" borderId="2" xfId="0" applyNumberFormat="1" applyFont="1" applyBorder="1"/>
    <xf numFmtId="0" fontId="11" fillId="0" borderId="0" xfId="0" applyFont="1"/>
    <xf numFmtId="0" fontId="11" fillId="0" borderId="0" xfId="0" applyNumberFormat="1" applyFont="1"/>
    <xf numFmtId="2" fontId="11" fillId="0" borderId="0" xfId="2" applyNumberFormat="1" applyFont="1"/>
    <xf numFmtId="41" fontId="13" fillId="0" borderId="0" xfId="0" applyNumberFormat="1" applyFont="1"/>
    <xf numFmtId="0" fontId="13" fillId="0" borderId="2" xfId="0" applyFont="1" applyBorder="1"/>
    <xf numFmtId="166" fontId="9" fillId="0" borderId="0" xfId="0" applyNumberFormat="1" applyFont="1" applyFill="1" applyBorder="1" applyAlignment="1"/>
    <xf numFmtId="166" fontId="24" fillId="0" borderId="0" xfId="0" applyNumberFormat="1" applyFont="1" applyFill="1" applyBorder="1" applyAlignment="1">
      <alignment horizontal="left"/>
    </xf>
    <xf numFmtId="0" fontId="25" fillId="0" borderId="0" xfId="6" applyNumberFormat="1" applyFont="1" applyFill="1" applyBorder="1" applyAlignment="1"/>
    <xf numFmtId="166" fontId="8" fillId="0" borderId="0" xfId="0" applyNumberFormat="1" applyFont="1" applyFill="1" applyBorder="1" applyAlignment="1">
      <alignment horizontal="left"/>
    </xf>
    <xf numFmtId="41" fontId="8" fillId="0" borderId="0" xfId="0" applyNumberFormat="1" applyFont="1"/>
    <xf numFmtId="3" fontId="8" fillId="0" borderId="0" xfId="0" applyNumberFormat="1" applyFont="1" applyFill="1"/>
    <xf numFmtId="166" fontId="24" fillId="5" borderId="5" xfId="0" applyNumberFormat="1" applyFont="1" applyFill="1" applyBorder="1"/>
    <xf numFmtId="0" fontId="11" fillId="0" borderId="0" xfId="0" applyFont="1" applyFill="1"/>
    <xf numFmtId="174" fontId="11" fillId="0" borderId="0" xfId="2" applyFont="1" applyFill="1"/>
    <xf numFmtId="0" fontId="11" fillId="0" borderId="0" xfId="0" applyNumberFormat="1" applyFont="1" applyFill="1"/>
    <xf numFmtId="171" fontId="13" fillId="5" borderId="9" xfId="10" applyNumberFormat="1" applyFont="1" applyFill="1" applyBorder="1"/>
    <xf numFmtId="174" fontId="15" fillId="41" borderId="0" xfId="2" applyFont="1" applyFill="1" applyBorder="1"/>
    <xf numFmtId="0" fontId="0" fillId="0" borderId="0" xfId="0" applyFont="1"/>
    <xf numFmtId="0" fontId="8" fillId="0" borderId="0" xfId="0" applyFont="1" applyBorder="1"/>
    <xf numFmtId="166" fontId="8" fillId="0" borderId="0" xfId="0" applyNumberFormat="1" applyFont="1"/>
    <xf numFmtId="166" fontId="8" fillId="2" borderId="0" xfId="0" applyNumberFormat="1" applyFont="1" applyFill="1"/>
    <xf numFmtId="10" fontId="8" fillId="0" borderId="0" xfId="2" applyNumberFormat="1" applyFont="1"/>
    <xf numFmtId="43" fontId="8" fillId="0" borderId="0" xfId="0" applyNumberFormat="1" applyFont="1" applyBorder="1"/>
    <xf numFmtId="166" fontId="9" fillId="0" borderId="0" xfId="0" applyNumberFormat="1" applyFont="1"/>
    <xf numFmtId="43" fontId="9" fillId="0" borderId="0" xfId="0" applyNumberFormat="1" applyFont="1" applyBorder="1"/>
    <xf numFmtId="166" fontId="8" fillId="0" borderId="0" xfId="0" applyNumberFormat="1" applyFont="1" applyBorder="1"/>
    <xf numFmtId="0" fontId="10" fillId="0" borderId="0" xfId="0" applyFont="1" applyAlignment="1"/>
    <xf numFmtId="0" fontId="10" fillId="0" borderId="0" xfId="0" applyFont="1"/>
    <xf numFmtId="0" fontId="8" fillId="2" borderId="0" xfId="0" applyFont="1" applyFill="1"/>
    <xf numFmtId="0" fontId="8" fillId="0" borderId="0" xfId="0" applyFont="1" applyAlignment="1">
      <alignment wrapText="1"/>
    </xf>
    <xf numFmtId="14" fontId="8" fillId="0" borderId="0" xfId="0" applyNumberFormat="1" applyFont="1"/>
    <xf numFmtId="0" fontId="9" fillId="0" borderId="0" xfId="0" applyFont="1" applyAlignment="1"/>
    <xf numFmtId="164" fontId="8" fillId="0" borderId="0" xfId="2" applyNumberFormat="1" applyFont="1"/>
    <xf numFmtId="0" fontId="8" fillId="0" borderId="0" xfId="0" applyFont="1" applyFill="1" applyBorder="1" applyAlignment="1">
      <alignment horizontal="center"/>
    </xf>
    <xf numFmtId="0" fontId="8" fillId="0" borderId="0" xfId="0" applyFont="1" applyFill="1"/>
    <xf numFmtId="0" fontId="9" fillId="0" borderId="0" xfId="0" applyFont="1" applyFill="1" applyBorder="1"/>
    <xf numFmtId="166" fontId="8" fillId="0" borderId="0" xfId="0" applyNumberFormat="1" applyFont="1" applyAlignment="1"/>
    <xf numFmtId="0" fontId="8" fillId="0" borderId="0" xfId="7" applyFont="1" applyFill="1" applyBorder="1"/>
    <xf numFmtId="0" fontId="8" fillId="0" borderId="0" xfId="3" applyFont="1" applyBorder="1"/>
    <xf numFmtId="41" fontId="11" fillId="0" borderId="0" xfId="6" applyFont="1" applyBorder="1"/>
    <xf numFmtId="41" fontId="8" fillId="0" borderId="0" xfId="6" applyFont="1" applyBorder="1"/>
    <xf numFmtId="166" fontId="8" fillId="0" borderId="0" xfId="0" applyNumberFormat="1" applyFont="1" applyAlignment="1">
      <alignment wrapText="1"/>
    </xf>
    <xf numFmtId="0" fontId="8" fillId="3" borderId="0" xfId="0" applyFont="1" applyFill="1" applyBorder="1"/>
    <xf numFmtId="0" fontId="8" fillId="3" borderId="0" xfId="0" applyFont="1" applyFill="1"/>
    <xf numFmtId="41" fontId="11" fillId="3" borderId="0" xfId="6" applyFont="1" applyFill="1" applyBorder="1"/>
    <xf numFmtId="0" fontId="8" fillId="0" borderId="0" xfId="0" applyFont="1" applyFill="1" applyBorder="1"/>
    <xf numFmtId="2" fontId="9" fillId="0" borderId="0" xfId="0" applyNumberFormat="1" applyFont="1" applyAlignment="1">
      <alignment vertical="center"/>
    </xf>
    <xf numFmtId="41" fontId="8" fillId="0" borderId="0" xfId="6" applyFont="1" applyFill="1" applyBorder="1"/>
    <xf numFmtId="41" fontId="11" fillId="0" borderId="0" xfId="6" applyFont="1" applyFill="1" applyBorder="1"/>
    <xf numFmtId="41" fontId="13" fillId="0" borderId="0" xfId="6" applyFont="1" applyFill="1" applyBorder="1"/>
    <xf numFmtId="0" fontId="8" fillId="6" borderId="0" xfId="0" applyFont="1" applyFill="1" applyBorder="1"/>
    <xf numFmtId="0" fontId="8" fillId="6" borderId="0" xfId="0" applyFont="1" applyFill="1" applyBorder="1" applyAlignment="1">
      <alignment horizontal="left"/>
    </xf>
    <xf numFmtId="41" fontId="12" fillId="6" borderId="0" xfId="6" applyFont="1" applyFill="1" applyBorder="1"/>
    <xf numFmtId="0" fontId="8" fillId="6" borderId="0" xfId="0" applyFont="1" applyFill="1"/>
    <xf numFmtId="0" fontId="19" fillId="0" borderId="0" xfId="0" applyFont="1" applyAlignment="1"/>
    <xf numFmtId="0" fontId="13" fillId="0" borderId="0" xfId="0" applyFont="1"/>
    <xf numFmtId="167" fontId="8" fillId="0" borderId="0" xfId="0" applyNumberFormat="1" applyFont="1"/>
    <xf numFmtId="6" fontId="8" fillId="0" borderId="0" xfId="0" applyNumberFormat="1" applyFont="1" applyAlignment="1"/>
    <xf numFmtId="0" fontId="9" fillId="0" borderId="0" xfId="0" applyFont="1"/>
    <xf numFmtId="168" fontId="8" fillId="0" borderId="0" xfId="0" applyNumberFormat="1" applyFont="1" applyBorder="1"/>
    <xf numFmtId="41" fontId="13" fillId="5" borderId="5" xfId="6" applyFont="1" applyFill="1" applyBorder="1"/>
    <xf numFmtId="168" fontId="13" fillId="6" borderId="0" xfId="0" applyNumberFormat="1" applyFont="1" applyFill="1" applyBorder="1"/>
    <xf numFmtId="168" fontId="11" fillId="6" borderId="0" xfId="0" applyNumberFormat="1" applyFont="1" applyFill="1" applyBorder="1"/>
    <xf numFmtId="0" fontId="8" fillId="0" borderId="0" xfId="3" applyFont="1" applyFill="1" applyBorder="1"/>
    <xf numFmtId="0" fontId="8" fillId="3" borderId="0" xfId="7" applyFont="1" applyFill="1" applyBorder="1"/>
    <xf numFmtId="168" fontId="11" fillId="6" borderId="0" xfId="0" applyNumberFormat="1" applyFont="1" applyFill="1" applyAlignment="1"/>
    <xf numFmtId="0" fontId="8" fillId="0" borderId="0" xfId="0" applyFont="1" applyFill="1" applyBorder="1" applyAlignment="1"/>
    <xf numFmtId="2" fontId="12" fillId="3" borderId="0" xfId="0" quotePrefix="1" applyNumberFormat="1" applyFont="1" applyFill="1" applyAlignment="1">
      <alignment horizontal="left" vertical="center"/>
    </xf>
    <xf numFmtId="2" fontId="11" fillId="3" borderId="0" xfId="3" quotePrefix="1" applyNumberFormat="1" applyFont="1" applyFill="1" applyBorder="1" applyAlignment="1"/>
    <xf numFmtId="2" fontId="11" fillId="0" borderId="0" xfId="3" quotePrefix="1" applyNumberFormat="1" applyFont="1" applyFill="1" applyBorder="1" applyAlignment="1"/>
    <xf numFmtId="0" fontId="11" fillId="3" borderId="0" xfId="3" quotePrefix="1" applyFont="1" applyFill="1" applyBorder="1" applyAlignment="1"/>
    <xf numFmtId="168" fontId="13" fillId="6" borderId="0" xfId="0" applyNumberFormat="1" applyFont="1" applyFill="1" applyAlignment="1"/>
    <xf numFmtId="168" fontId="13" fillId="6" borderId="0" xfId="0" applyNumberFormat="1" applyFont="1" applyFill="1" applyBorder="1" applyAlignment="1">
      <alignment horizontal="center"/>
    </xf>
    <xf numFmtId="168" fontId="11" fillId="6" borderId="0" xfId="0" applyNumberFormat="1" applyFont="1" applyFill="1" applyAlignment="1">
      <alignment horizontal="center"/>
    </xf>
    <xf numFmtId="168" fontId="11" fillId="6" borderId="0" xfId="0" applyNumberFormat="1" applyFont="1" applyFill="1" applyBorder="1" applyAlignment="1">
      <alignment horizontal="center"/>
    </xf>
    <xf numFmtId="169" fontId="11" fillId="6" borderId="0" xfId="0" applyNumberFormat="1" applyFont="1" applyFill="1" applyAlignment="1">
      <alignment horizontal="center"/>
    </xf>
    <xf numFmtId="10" fontId="15" fillId="3" borderId="0" xfId="2" applyNumberFormat="1" applyFont="1" applyFill="1"/>
    <xf numFmtId="10" fontId="15" fillId="0" borderId="0" xfId="2" applyNumberFormat="1" applyFont="1" applyFill="1"/>
    <xf numFmtId="10" fontId="17" fillId="4" borderId="0" xfId="2" applyNumberFormat="1" applyFont="1" applyFill="1" applyBorder="1"/>
    <xf numFmtId="0" fontId="11" fillId="6" borderId="0" xfId="0" applyFont="1" applyFill="1"/>
    <xf numFmtId="41" fontId="8" fillId="0" borderId="0" xfId="6" applyFont="1"/>
    <xf numFmtId="41" fontId="11" fillId="0" borderId="0" xfId="6" applyFont="1"/>
    <xf numFmtId="0" fontId="13" fillId="0" borderId="0" xfId="0" applyFont="1" applyAlignment="1"/>
    <xf numFmtId="166" fontId="8" fillId="2" borderId="0" xfId="0" applyNumberFormat="1" applyFont="1" applyFill="1" applyAlignment="1"/>
    <xf numFmtId="166" fontId="8" fillId="0" borderId="0" xfId="0" applyNumberFormat="1" applyFont="1" applyBorder="1" applyAlignment="1"/>
    <xf numFmtId="41" fontId="11" fillId="5" borderId="5" xfId="6" applyFont="1" applyFill="1" applyBorder="1"/>
    <xf numFmtId="41" fontId="11" fillId="0" borderId="0" xfId="6" applyFont="1" applyFill="1"/>
    <xf numFmtId="168" fontId="8" fillId="0" borderId="0" xfId="0" applyNumberFormat="1" applyFont="1" applyFill="1" applyBorder="1"/>
    <xf numFmtId="41" fontId="8" fillId="0" borderId="0" xfId="6" applyFont="1" applyFill="1" applyAlignment="1">
      <alignment horizontal="left" indent="1"/>
    </xf>
    <xf numFmtId="43" fontId="13" fillId="6" borderId="0" xfId="0" applyNumberFormat="1" applyFont="1" applyFill="1" applyBorder="1"/>
    <xf numFmtId="0" fontId="8" fillId="6" borderId="0" xfId="0" applyFont="1" applyFill="1" applyBorder="1" applyAlignment="1">
      <alignment horizontal="center"/>
    </xf>
    <xf numFmtId="0" fontId="13" fillId="0" borderId="0" xfId="0" applyFont="1" applyFill="1" applyBorder="1"/>
    <xf numFmtId="0" fontId="13" fillId="0" borderId="0" xfId="0" applyFont="1" applyFill="1"/>
    <xf numFmtId="166" fontId="11" fillId="0" borderId="0" xfId="0" applyNumberFormat="1" applyFont="1"/>
    <xf numFmtId="41" fontId="13" fillId="0" borderId="2" xfId="6" applyFont="1" applyFill="1" applyBorder="1"/>
    <xf numFmtId="41" fontId="11" fillId="0" borderId="2" xfId="6" applyFont="1" applyFill="1" applyBorder="1"/>
    <xf numFmtId="168" fontId="9" fillId="0" borderId="0" xfId="0" applyNumberFormat="1" applyFont="1" applyFill="1" applyBorder="1"/>
    <xf numFmtId="0" fontId="9" fillId="0" borderId="0" xfId="0" applyFont="1" applyFill="1"/>
    <xf numFmtId="166" fontId="9" fillId="0" borderId="0" xfId="0" applyNumberFormat="1" applyFont="1" applyFill="1"/>
    <xf numFmtId="0" fontId="9" fillId="6" borderId="0" xfId="5" applyFont="1" applyFill="1" applyBorder="1" applyAlignment="1">
      <alignment horizontal="right" vertical="center"/>
    </xf>
    <xf numFmtId="168" fontId="12" fillId="6" borderId="0" xfId="0" applyNumberFormat="1" applyFont="1" applyFill="1" applyBorder="1"/>
    <xf numFmtId="168" fontId="14" fillId="6" borderId="0" xfId="0" applyNumberFormat="1" applyFont="1" applyFill="1" applyBorder="1"/>
    <xf numFmtId="169" fontId="12" fillId="6" borderId="0" xfId="0" applyNumberFormat="1" applyFont="1" applyFill="1" applyBorder="1"/>
    <xf numFmtId="166" fontId="9" fillId="0" borderId="0" xfId="0" applyNumberFormat="1" applyFont="1" applyFill="1" applyBorder="1" applyAlignment="1">
      <alignment horizontal="left"/>
    </xf>
    <xf numFmtId="166" fontId="9" fillId="0" borderId="0" xfId="7" applyNumberFormat="1" applyFont="1" applyFill="1" applyBorder="1" applyAlignment="1">
      <alignment horizontal="left"/>
    </xf>
    <xf numFmtId="10" fontId="8" fillId="0" borderId="0" xfId="2" applyNumberFormat="1" applyFont="1" applyBorder="1"/>
    <xf numFmtId="10" fontId="9" fillId="0" borderId="0" xfId="2" applyNumberFormat="1" applyFont="1"/>
    <xf numFmtId="166" fontId="11" fillId="0" borderId="0" xfId="0" applyNumberFormat="1" applyFont="1" applyFill="1" applyBorder="1"/>
    <xf numFmtId="0" fontId="9" fillId="6" borderId="0" xfId="0" applyNumberFormat="1" applyFont="1" applyFill="1" applyBorder="1" applyAlignment="1"/>
    <xf numFmtId="43" fontId="9" fillId="0" borderId="0" xfId="0" applyNumberFormat="1" applyFont="1" applyAlignment="1"/>
    <xf numFmtId="0" fontId="8" fillId="0" borderId="0" xfId="0" applyFont="1"/>
    <xf numFmtId="174" fontId="8" fillId="0" borderId="0" xfId="2" applyFont="1"/>
    <xf numFmtId="174" fontId="17" fillId="0" borderId="0" xfId="2" applyFont="1" applyBorder="1"/>
    <xf numFmtId="174" fontId="17" fillId="0" borderId="0" xfId="2" applyFont="1" applyFill="1" applyBorder="1"/>
    <xf numFmtId="174" fontId="17" fillId="0" borderId="0" xfId="2" applyFont="1" applyFill="1"/>
    <xf numFmtId="174" fontId="8" fillId="0" borderId="0" xfId="2" applyFont="1" applyBorder="1"/>
    <xf numFmtId="174" fontId="9" fillId="6" borderId="0" xfId="2" applyFont="1" applyFill="1" applyBorder="1"/>
    <xf numFmtId="174" fontId="17" fillId="3" borderId="0" xfId="2" applyFont="1" applyFill="1" applyBorder="1"/>
    <xf numFmtId="43" fontId="13" fillId="3" borderId="0" xfId="10" applyFont="1" applyFill="1"/>
    <xf numFmtId="43" fontId="13" fillId="0" borderId="2" xfId="10" applyFont="1" applyBorder="1"/>
    <xf numFmtId="43" fontId="11" fillId="0" borderId="0" xfId="10" applyFont="1" applyFill="1" applyBorder="1"/>
    <xf numFmtId="43" fontId="13" fillId="0" borderId="0" xfId="10" applyFont="1" applyFill="1" applyBorder="1"/>
    <xf numFmtId="41" fontId="13" fillId="5" borderId="9" xfId="6" applyFont="1" applyFill="1" applyBorder="1"/>
    <xf numFmtId="43" fontId="8" fillId="0" borderId="0" xfId="10" applyFont="1" applyFill="1" applyBorder="1"/>
    <xf numFmtId="43" fontId="11" fillId="0" borderId="0" xfId="10" applyFont="1" applyBorder="1"/>
    <xf numFmtId="43" fontId="12" fillId="6" borderId="0" xfId="10" applyFont="1" applyFill="1" applyBorder="1"/>
    <xf numFmtId="174" fontId="16" fillId="0" borderId="0" xfId="2" applyFont="1" applyFill="1" applyBorder="1"/>
    <xf numFmtId="174" fontId="17" fillId="3" borderId="0" xfId="2" applyFont="1" applyFill="1"/>
    <xf numFmtId="174" fontId="17" fillId="3" borderId="2" xfId="2" applyFont="1" applyFill="1" applyBorder="1"/>
    <xf numFmtId="174" fontId="15" fillId="0" borderId="0" xfId="2" applyFont="1" applyFill="1"/>
    <xf numFmtId="174" fontId="15" fillId="3" borderId="0" xfId="2" applyFont="1" applyFill="1"/>
    <xf numFmtId="174" fontId="17" fillId="0" borderId="2" xfId="2" applyFont="1" applyBorder="1"/>
    <xf numFmtId="174" fontId="11" fillId="3" borderId="0" xfId="2" applyFont="1" applyFill="1" applyBorder="1"/>
    <xf numFmtId="174" fontId="16" fillId="0" borderId="0" xfId="2" applyFont="1" applyBorder="1"/>
    <xf numFmtId="43" fontId="11" fillId="6" borderId="0" xfId="10" applyFont="1" applyFill="1" applyBorder="1"/>
    <xf numFmtId="174" fontId="11" fillId="0" borderId="0" xfId="2" applyFont="1"/>
    <xf numFmtId="43" fontId="12" fillId="3" borderId="0" xfId="10" quotePrefix="1" applyFont="1" applyFill="1"/>
    <xf numFmtId="43" fontId="11" fillId="0" borderId="2" xfId="10" applyFont="1" applyFill="1" applyBorder="1"/>
    <xf numFmtId="43" fontId="11" fillId="0" borderId="4" xfId="10" applyFont="1" applyFill="1" applyBorder="1"/>
    <xf numFmtId="43" fontId="8" fillId="0" borderId="4" xfId="10" applyFont="1" applyFill="1" applyBorder="1"/>
    <xf numFmtId="175" fontId="13" fillId="0" borderId="0" xfId="14" applyFont="1"/>
    <xf numFmtId="41" fontId="8" fillId="8" borderId="0" xfId="13" applyNumberFormat="1" applyFont="1"/>
    <xf numFmtId="168" fontId="9" fillId="8" borderId="0" xfId="13" applyNumberFormat="1" applyFont="1" applyBorder="1" applyAlignment="1">
      <alignment horizontal="center"/>
    </xf>
    <xf numFmtId="43" fontId="9" fillId="8" borderId="0" xfId="13" applyNumberFormat="1" applyFont="1" applyBorder="1"/>
    <xf numFmtId="43" fontId="12" fillId="8" borderId="0" xfId="13" applyNumberFormat="1" applyFont="1" applyBorder="1"/>
    <xf numFmtId="43" fontId="12" fillId="8" borderId="2" xfId="13" applyNumberFormat="1" applyFont="1" applyBorder="1"/>
    <xf numFmtId="10" fontId="17" fillId="8" borderId="0" xfId="13" applyNumberFormat="1" applyFont="1" applyBorder="1"/>
    <xf numFmtId="41" fontId="8" fillId="8" borderId="0" xfId="13" applyNumberFormat="1" applyFont="1" applyBorder="1"/>
    <xf numFmtId="41" fontId="13" fillId="8" borderId="0" xfId="13" applyNumberFormat="1" applyFont="1" applyBorder="1"/>
    <xf numFmtId="41" fontId="13" fillId="8" borderId="0" xfId="13" applyNumberFormat="1" applyFont="1"/>
    <xf numFmtId="0" fontId="8" fillId="40" borderId="0" xfId="0" applyFont="1" applyFill="1" applyBorder="1"/>
    <xf numFmtId="0" fontId="8" fillId="40" borderId="0" xfId="0" applyFont="1" applyFill="1"/>
    <xf numFmtId="43" fontId="8" fillId="0" borderId="0" xfId="10" applyFont="1"/>
    <xf numFmtId="176" fontId="12" fillId="8" borderId="0" xfId="13" applyNumberFormat="1" applyFont="1" applyBorder="1"/>
    <xf numFmtId="41" fontId="12" fillId="40" borderId="0" xfId="6" applyFont="1" applyFill="1" applyBorder="1"/>
    <xf numFmtId="41" fontId="13" fillId="40" borderId="0" xfId="13" applyNumberFormat="1" applyFont="1" applyFill="1"/>
    <xf numFmtId="174" fontId="15" fillId="0" borderId="2" xfId="2" applyFont="1" applyFill="1" applyBorder="1"/>
    <xf numFmtId="41" fontId="14" fillId="8" borderId="0" xfId="13" applyNumberFormat="1" applyFont="1" applyBorder="1"/>
    <xf numFmtId="176" fontId="14" fillId="8" borderId="0" xfId="13" applyNumberFormat="1" applyFont="1" applyBorder="1"/>
    <xf numFmtId="43" fontId="24" fillId="0" borderId="0" xfId="10" applyFont="1" applyFill="1" applyBorder="1"/>
    <xf numFmtId="43" fontId="24" fillId="0" borderId="0" xfId="10" applyFont="1"/>
    <xf numFmtId="3" fontId="24" fillId="0" borderId="0" xfId="0" applyNumberFormat="1" applyFont="1"/>
    <xf numFmtId="43" fontId="24" fillId="5" borderId="5" xfId="10" applyFont="1" applyFill="1" applyBorder="1"/>
    <xf numFmtId="14" fontId="25" fillId="0" borderId="5" xfId="0" applyNumberFormat="1" applyFont="1" applyBorder="1" applyAlignment="1">
      <alignment horizontal="center" vertical="top"/>
    </xf>
    <xf numFmtId="1" fontId="11" fillId="0" borderId="0" xfId="0" applyNumberFormat="1" applyFont="1"/>
    <xf numFmtId="2" fontId="8" fillId="0" borderId="0" xfId="0" applyNumberFormat="1" applyFont="1"/>
    <xf numFmtId="1" fontId="8" fillId="0" borderId="0" xfId="0" applyNumberFormat="1" applyFont="1"/>
    <xf numFmtId="10" fontId="27" fillId="5" borderId="5" xfId="2" applyNumberFormat="1" applyFont="1" applyFill="1" applyBorder="1"/>
    <xf numFmtId="1" fontId="11" fillId="0" borderId="0" xfId="0" applyNumberFormat="1" applyFont="1" applyFill="1"/>
    <xf numFmtId="1" fontId="11" fillId="0" borderId="0" xfId="0" applyNumberFormat="1" applyFont="1" applyFill="1" applyBorder="1"/>
    <xf numFmtId="0" fontId="24" fillId="39" borderId="0" xfId="0" applyFont="1" applyFill="1"/>
    <xf numFmtId="3" fontId="24" fillId="0" borderId="0" xfId="0" applyNumberFormat="1" applyFont="1" applyBorder="1"/>
    <xf numFmtId="3" fontId="24" fillId="39" borderId="0" xfId="0" applyNumberFormat="1" applyFont="1" applyFill="1" applyBorder="1"/>
    <xf numFmtId="0" fontId="24" fillId="39" borderId="0" xfId="0" applyFont="1" applyFill="1" applyBorder="1"/>
    <xf numFmtId="0" fontId="8" fillId="39" borderId="0" xfId="0" applyFont="1" applyFill="1" applyBorder="1"/>
    <xf numFmtId="4" fontId="24" fillId="39" borderId="0" xfId="0" applyNumberFormat="1" applyFont="1" applyFill="1" applyBorder="1"/>
    <xf numFmtId="168" fontId="24" fillId="5" borderId="5" xfId="0" applyNumberFormat="1" applyFont="1" applyFill="1" applyBorder="1" applyAlignment="1"/>
    <xf numFmtId="6" fontId="24" fillId="0" borderId="0" xfId="0" applyNumberFormat="1" applyFont="1"/>
    <xf numFmtId="3" fontId="24" fillId="40" borderId="0" xfId="0" applyNumberFormat="1" applyFont="1" applyFill="1"/>
    <xf numFmtId="0" fontId="24" fillId="40" borderId="0" xfId="0" applyFont="1" applyFill="1"/>
    <xf numFmtId="3" fontId="24" fillId="39" borderId="0" xfId="0" applyNumberFormat="1" applyFont="1" applyFill="1"/>
    <xf numFmtId="3" fontId="24" fillId="0" borderId="0" xfId="0" applyNumberFormat="1" applyFont="1" applyFill="1"/>
    <xf numFmtId="3" fontId="8" fillId="39" borderId="0" xfId="0" applyNumberFormat="1" applyFont="1" applyFill="1"/>
    <xf numFmtId="6" fontId="24" fillId="39" borderId="0" xfId="0" applyNumberFormat="1" applyFont="1" applyFill="1"/>
    <xf numFmtId="3" fontId="8" fillId="40" borderId="0" xfId="0" applyNumberFormat="1" applyFont="1" applyFill="1"/>
    <xf numFmtId="1" fontId="24" fillId="0" borderId="0" xfId="0" applyNumberFormat="1" applyFont="1"/>
    <xf numFmtId="1" fontId="24" fillId="0" borderId="0" xfId="1" applyNumberFormat="1" applyFont="1"/>
    <xf numFmtId="1" fontId="24" fillId="0" borderId="0" xfId="1" applyNumberFormat="1" applyFont="1" applyFill="1"/>
    <xf numFmtId="1" fontId="24" fillId="39" borderId="0" xfId="0" applyNumberFormat="1" applyFont="1" applyFill="1"/>
    <xf numFmtId="1" fontId="8" fillId="39" borderId="0" xfId="0" applyNumberFormat="1" applyFont="1" applyFill="1"/>
    <xf numFmtId="1" fontId="24" fillId="39" borderId="0" xfId="1" applyNumberFormat="1" applyFont="1" applyFill="1"/>
    <xf numFmtId="1" fontId="8" fillId="0" borderId="0" xfId="1" applyNumberFormat="1" applyFont="1"/>
    <xf numFmtId="1" fontId="8" fillId="0" borderId="0" xfId="1" applyNumberFormat="1" applyFont="1" applyFill="1"/>
    <xf numFmtId="1" fontId="8" fillId="39" borderId="0" xfId="1" applyNumberFormat="1" applyFont="1" applyFill="1"/>
    <xf numFmtId="1" fontId="8" fillId="0" borderId="0" xfId="0" applyNumberFormat="1" applyFont="1" applyFill="1"/>
    <xf numFmtId="1" fontId="24" fillId="0" borderId="0" xfId="0" applyNumberFormat="1" applyFont="1" applyFill="1"/>
    <xf numFmtId="0" fontId="13" fillId="0" borderId="0" xfId="0" applyNumberFormat="1" applyFont="1"/>
    <xf numFmtId="0" fontId="13" fillId="0" borderId="2" xfId="0" applyNumberFormat="1" applyFont="1" applyBorder="1"/>
    <xf numFmtId="0" fontId="25" fillId="0" borderId="0" xfId="0" applyNumberFormat="1" applyFont="1" applyFill="1" applyBorder="1" applyAlignment="1"/>
    <xf numFmtId="1" fontId="13" fillId="0" borderId="0" xfId="0" applyNumberFormat="1" applyFont="1"/>
    <xf numFmtId="1" fontId="11" fillId="0" borderId="2" xfId="0" applyNumberFormat="1" applyFont="1" applyFill="1" applyBorder="1"/>
    <xf numFmtId="174" fontId="11" fillId="0" borderId="2" xfId="2" applyFont="1" applyFill="1" applyBorder="1"/>
    <xf numFmtId="3" fontId="8" fillId="0" borderId="2" xfId="0" applyNumberFormat="1" applyFont="1" applyFill="1" applyBorder="1"/>
    <xf numFmtId="3" fontId="11" fillId="0" borderId="2" xfId="0" applyNumberFormat="1" applyFont="1" applyFill="1" applyBorder="1"/>
    <xf numFmtId="2" fontId="11" fillId="0" borderId="2" xfId="2" applyNumberFormat="1" applyFont="1" applyFill="1" applyBorder="1"/>
    <xf numFmtId="43" fontId="9" fillId="8" borderId="2" xfId="13" applyNumberFormat="1" applyFont="1" applyBorder="1"/>
    <xf numFmtId="41" fontId="12" fillId="0" borderId="2" xfId="6" applyFont="1" applyFill="1" applyBorder="1"/>
    <xf numFmtId="3" fontId="11" fillId="0" borderId="0" xfId="0" applyNumberFormat="1" applyFont="1" applyFill="1" applyBorder="1"/>
    <xf numFmtId="1" fontId="11" fillId="0" borderId="0" xfId="0" applyNumberFormat="1" applyFont="1" applyBorder="1"/>
    <xf numFmtId="0" fontId="13" fillId="0" borderId="0" xfId="0" applyNumberFormat="1" applyFont="1" applyBorder="1"/>
    <xf numFmtId="0" fontId="11" fillId="0" borderId="0" xfId="0" applyNumberFormat="1" applyFont="1" applyBorder="1"/>
    <xf numFmtId="174" fontId="11" fillId="0" borderId="0" xfId="2" applyFont="1" applyBorder="1"/>
    <xf numFmtId="3" fontId="8" fillId="0" borderId="0" xfId="0" applyNumberFormat="1" applyFont="1" applyBorder="1"/>
    <xf numFmtId="0" fontId="13" fillId="0" borderId="0" xfId="0" applyFont="1" applyBorder="1"/>
    <xf numFmtId="0" fontId="11" fillId="0" borderId="0" xfId="0" applyFont="1" applyBorder="1"/>
    <xf numFmtId="2" fontId="11" fillId="0" borderId="0" xfId="2" applyNumberFormat="1" applyFont="1" applyBorder="1"/>
    <xf numFmtId="0" fontId="11" fillId="0" borderId="2" xfId="0" applyNumberFormat="1" applyFont="1" applyBorder="1"/>
    <xf numFmtId="174" fontId="11" fillId="0" borderId="2" xfId="2" applyFont="1" applyBorder="1"/>
    <xf numFmtId="0" fontId="11" fillId="0" borderId="2" xfId="0" applyFont="1" applyBorder="1"/>
    <xf numFmtId="2" fontId="11" fillId="0" borderId="2" xfId="2" applyNumberFormat="1" applyFont="1" applyBorder="1"/>
    <xf numFmtId="0" fontId="13" fillId="0" borderId="2" xfId="0" applyFont="1" applyFill="1" applyBorder="1"/>
    <xf numFmtId="41" fontId="9" fillId="0" borderId="2" xfId="6" applyFont="1" applyFill="1" applyBorder="1"/>
    <xf numFmtId="169" fontId="11" fillId="6" borderId="19" xfId="0" applyNumberFormat="1" applyFont="1" applyFill="1" applyBorder="1" applyAlignment="1">
      <alignment horizontal="center"/>
    </xf>
    <xf numFmtId="169" fontId="9" fillId="8" borderId="2" xfId="13" applyNumberFormat="1" applyFont="1" applyBorder="1" applyAlignment="1">
      <alignment horizontal="center"/>
    </xf>
    <xf numFmtId="1" fontId="11" fillId="0" borderId="2" xfId="0" applyNumberFormat="1" applyFont="1" applyBorder="1"/>
    <xf numFmtId="43" fontId="11" fillId="0" borderId="2" xfId="2" applyNumberFormat="1" applyFont="1" applyFill="1" applyBorder="1"/>
    <xf numFmtId="43" fontId="11" fillId="0" borderId="0" xfId="2" applyNumberFormat="1" applyFont="1" applyFill="1"/>
    <xf numFmtId="166" fontId="8" fillId="0" borderId="0" xfId="0" applyNumberFormat="1" applyFont="1" applyFill="1" applyBorder="1"/>
    <xf numFmtId="3" fontId="24" fillId="40" borderId="0" xfId="0" applyNumberFormat="1" applyFont="1" applyFill="1" applyBorder="1"/>
    <xf numFmtId="0" fontId="24" fillId="40" borderId="0" xfId="0" applyFont="1" applyFill="1" applyBorder="1"/>
    <xf numFmtId="3" fontId="8" fillId="40" borderId="0" xfId="0" applyNumberFormat="1" applyFont="1" applyFill="1" applyBorder="1"/>
    <xf numFmtId="4" fontId="24" fillId="40" borderId="0" xfId="0" applyNumberFormat="1" applyFont="1" applyFill="1" applyBorder="1"/>
    <xf numFmtId="0" fontId="25" fillId="6" borderId="0" xfId="0" applyFont="1" applyFill="1" applyBorder="1" applyAlignment="1">
      <alignment horizontal="center"/>
    </xf>
    <xf numFmtId="0" fontId="9" fillId="6" borderId="0" xfId="0" applyFont="1" applyFill="1" applyBorder="1" applyAlignment="1">
      <alignment horizontal="center"/>
    </xf>
    <xf numFmtId="0" fontId="25" fillId="6" borderId="0" xfId="0" applyFont="1" applyFill="1" applyBorder="1" applyAlignment="1">
      <alignment horizontal="center" vertical="center"/>
    </xf>
    <xf numFmtId="0" fontId="24" fillId="0" borderId="0" xfId="0" applyFont="1" applyAlignment="1"/>
    <xf numFmtId="0" fontId="8" fillId="0" borderId="0" xfId="0" applyFont="1" applyAlignment="1"/>
    <xf numFmtId="0" fontId="8" fillId="0" borderId="0" xfId="0" applyFont="1" applyAlignment="1">
      <alignment horizontal="left"/>
    </xf>
    <xf numFmtId="166" fontId="8" fillId="40" borderId="0" xfId="0" applyNumberFormat="1" applyFont="1" applyFill="1"/>
    <xf numFmtId="174" fontId="8" fillId="40" borderId="0" xfId="2" applyFont="1" applyFill="1"/>
    <xf numFmtId="43" fontId="11" fillId="0" borderId="2" xfId="6" applyNumberFormat="1" applyFont="1" applyFill="1" applyBorder="1"/>
    <xf numFmtId="174" fontId="13" fillId="5" borderId="5" xfId="2" applyFont="1" applyFill="1" applyBorder="1"/>
    <xf numFmtId="0" fontId="11" fillId="40" borderId="0" xfId="0" applyFont="1" applyFill="1"/>
    <xf numFmtId="174" fontId="24" fillId="5" borderId="5" xfId="2" applyFont="1" applyFill="1" applyBorder="1"/>
    <xf numFmtId="1" fontId="8" fillId="0" borderId="2" xfId="0" applyNumberFormat="1" applyFont="1" applyFill="1" applyBorder="1"/>
    <xf numFmtId="41" fontId="8" fillId="0" borderId="2" xfId="0" applyNumberFormat="1" applyFont="1" applyBorder="1"/>
    <xf numFmtId="41" fontId="8" fillId="0" borderId="0" xfId="0" applyNumberFormat="1" applyFont="1" applyBorder="1"/>
    <xf numFmtId="41" fontId="8" fillId="0" borderId="2" xfId="6" applyFont="1" applyFill="1" applyBorder="1"/>
    <xf numFmtId="175" fontId="24" fillId="0" borderId="0" xfId="14" applyFont="1" applyFill="1" applyBorder="1"/>
    <xf numFmtId="43" fontId="13" fillId="5" borderId="5" xfId="10" applyFont="1" applyFill="1" applyBorder="1"/>
    <xf numFmtId="41" fontId="24" fillId="5" borderId="5" xfId="6" applyFont="1" applyFill="1" applyBorder="1"/>
    <xf numFmtId="0" fontId="46" fillId="0" borderId="0" xfId="0" applyFont="1" applyAlignment="1"/>
    <xf numFmtId="43" fontId="11" fillId="5" borderId="5" xfId="10" applyFont="1" applyFill="1" applyBorder="1"/>
    <xf numFmtId="174" fontId="11" fillId="5" borderId="5" xfId="2" applyFont="1" applyFill="1" applyBorder="1"/>
    <xf numFmtId="0" fontId="47" fillId="0" borderId="0" xfId="0" applyFont="1" applyAlignment="1"/>
    <xf numFmtId="0" fontId="25" fillId="0" borderId="0" xfId="0" applyFont="1"/>
    <xf numFmtId="0" fontId="24" fillId="41" borderId="0" xfId="0" applyFont="1" applyFill="1" applyBorder="1"/>
    <xf numFmtId="175" fontId="11" fillId="3" borderId="0" xfId="14" applyFont="1" applyFill="1" applyBorder="1"/>
    <xf numFmtId="175" fontId="13" fillId="0" borderId="0" xfId="14" applyFont="1" applyFill="1" applyBorder="1"/>
    <xf numFmtId="175" fontId="17" fillId="0" borderId="0" xfId="14" applyFont="1" applyFill="1" applyBorder="1"/>
    <xf numFmtId="43" fontId="11" fillId="0" borderId="0" xfId="6" applyNumberFormat="1" applyFont="1" applyFill="1" applyBorder="1"/>
    <xf numFmtId="0" fontId="8" fillId="42" borderId="0" xfId="0" applyFont="1" applyFill="1"/>
    <xf numFmtId="0" fontId="8" fillId="43" borderId="0" xfId="0" applyFont="1" applyFill="1"/>
    <xf numFmtId="0" fontId="8" fillId="44" borderId="0" xfId="0" applyFont="1" applyFill="1"/>
    <xf numFmtId="0" fontId="25" fillId="6" borderId="0" xfId="0" applyFont="1" applyFill="1" applyBorder="1" applyAlignment="1">
      <alignment horizontal="center"/>
    </xf>
    <xf numFmtId="0" fontId="25" fillId="6" borderId="0" xfId="0" applyFont="1" applyFill="1" applyBorder="1" applyAlignment="1">
      <alignment horizontal="center" vertical="center"/>
    </xf>
    <xf numFmtId="0" fontId="8" fillId="0" borderId="0" xfId="0" applyFont="1" applyAlignment="1"/>
    <xf numFmtId="0" fontId="8" fillId="45" borderId="0" xfId="0" applyFont="1" applyFill="1" applyBorder="1"/>
    <xf numFmtId="0" fontId="11" fillId="45" borderId="0" xfId="0" applyFont="1" applyFill="1" applyBorder="1"/>
    <xf numFmtId="0" fontId="8" fillId="40" borderId="0" xfId="0" applyFont="1" applyFill="1" applyBorder="1" applyAlignment="1">
      <alignment horizontal="left" vertical="top" wrapText="1"/>
    </xf>
    <xf numFmtId="0" fontId="8" fillId="40" borderId="8" xfId="0" applyFont="1" applyFill="1" applyBorder="1" applyAlignment="1">
      <alignment horizontal="left" vertical="top" wrapText="1"/>
    </xf>
    <xf numFmtId="0" fontId="25" fillId="6" borderId="0" xfId="0" applyFont="1" applyFill="1" applyBorder="1" applyAlignment="1">
      <alignment horizontal="center" vertical="center" textRotation="90" wrapText="1" readingOrder="1"/>
    </xf>
    <xf numFmtId="0" fontId="9" fillId="6" borderId="0" xfId="0" applyFont="1" applyFill="1" applyBorder="1" applyAlignment="1">
      <alignment horizontal="center" vertical="center" textRotation="90" wrapText="1" readingOrder="1"/>
    </xf>
    <xf numFmtId="0" fontId="25" fillId="6" borderId="0" xfId="0" applyFont="1" applyFill="1" applyBorder="1" applyAlignment="1">
      <alignment horizontal="center"/>
    </xf>
    <xf numFmtId="0" fontId="9" fillId="6" borderId="0" xfId="0" applyFont="1" applyFill="1" applyBorder="1" applyAlignment="1">
      <alignment horizontal="center"/>
    </xf>
    <xf numFmtId="166" fontId="25" fillId="6" borderId="0" xfId="3" applyNumberFormat="1" applyFont="1" applyFill="1" applyBorder="1" applyAlignment="1">
      <alignment horizontal="center" vertical="center"/>
    </xf>
    <xf numFmtId="166" fontId="9" fillId="6" borderId="0" xfId="3" applyNumberFormat="1" applyFont="1" applyFill="1" applyBorder="1" applyAlignment="1">
      <alignment horizontal="center" vertical="center"/>
    </xf>
    <xf numFmtId="43" fontId="25" fillId="6" borderId="0" xfId="10" applyFont="1" applyFill="1" applyBorder="1"/>
    <xf numFmtId="43" fontId="9" fillId="6" borderId="0" xfId="10" applyFont="1" applyFill="1" applyBorder="1"/>
    <xf numFmtId="43" fontId="25" fillId="6" borderId="2" xfId="10" applyFont="1" applyFill="1" applyBorder="1"/>
    <xf numFmtId="43" fontId="9" fillId="6" borderId="4" xfId="10" applyFont="1" applyFill="1" applyBorder="1"/>
    <xf numFmtId="0" fontId="25" fillId="6" borderId="0" xfId="0" applyFont="1" applyFill="1" applyAlignment="1">
      <alignment horizontal="center" vertical="center"/>
    </xf>
    <xf numFmtId="0" fontId="9" fillId="6" borderId="0" xfId="0" applyFont="1" applyFill="1" applyAlignment="1">
      <alignment horizontal="center" vertical="center"/>
    </xf>
    <xf numFmtId="0" fontId="12" fillId="6" borderId="0" xfId="0" applyFont="1" applyFill="1" applyBorder="1" applyAlignment="1">
      <alignment horizontal="center" vertical="center"/>
    </xf>
    <xf numFmtId="0" fontId="9" fillId="6" borderId="0" xfId="0" applyFont="1" applyFill="1" applyBorder="1" applyAlignment="1">
      <alignment horizontal="center" vertical="center"/>
    </xf>
    <xf numFmtId="0" fontId="25" fillId="6" borderId="0" xfId="0" applyFont="1" applyFill="1" applyBorder="1" applyAlignment="1">
      <alignment horizontal="center" vertical="center"/>
    </xf>
    <xf numFmtId="0" fontId="24" fillId="6" borderId="0" xfId="3" applyFont="1" applyFill="1" applyBorder="1" applyAlignment="1">
      <alignment horizontal="center"/>
    </xf>
    <xf numFmtId="0" fontId="8" fillId="6" borderId="0" xfId="3" applyFont="1" applyFill="1" applyBorder="1" applyAlignment="1">
      <alignment horizontal="center"/>
    </xf>
    <xf numFmtId="0" fontId="13" fillId="6" borderId="0" xfId="0" applyFont="1" applyFill="1" applyAlignment="1">
      <alignment horizontal="center"/>
    </xf>
    <xf numFmtId="0" fontId="8" fillId="6" borderId="0" xfId="0" applyFont="1" applyFill="1" applyAlignment="1">
      <alignment horizontal="center"/>
    </xf>
    <xf numFmtId="0" fontId="24" fillId="6" borderId="0" xfId="0" applyFont="1" applyFill="1" applyAlignment="1">
      <alignment horizontal="center"/>
    </xf>
    <xf numFmtId="0" fontId="25" fillId="0" borderId="6" xfId="0" applyFont="1" applyBorder="1" applyAlignment="1">
      <alignment horizontal="center"/>
    </xf>
    <xf numFmtId="0" fontId="9" fillId="0" borderId="6" xfId="0" applyFont="1" applyBorder="1" applyAlignment="1">
      <alignment horizontal="center"/>
    </xf>
    <xf numFmtId="0" fontId="12" fillId="6" borderId="0" xfId="0" applyFont="1" applyFill="1" applyBorder="1" applyAlignment="1">
      <alignment horizontal="center"/>
    </xf>
    <xf numFmtId="0" fontId="25" fillId="6" borderId="0" xfId="8" applyFont="1" applyFill="1" applyBorder="1" applyAlignment="1">
      <alignment horizontal="center"/>
    </xf>
    <xf numFmtId="0" fontId="9" fillId="6" borderId="0" xfId="8" applyFont="1" applyFill="1" applyBorder="1" applyAlignment="1">
      <alignment horizontal="center"/>
    </xf>
    <xf numFmtId="0" fontId="8" fillId="0" borderId="0" xfId="0" applyFont="1" applyFill="1" applyAlignment="1">
      <alignment horizontal="center"/>
    </xf>
    <xf numFmtId="0" fontId="8" fillId="0" borderId="0" xfId="0" quotePrefix="1" applyFont="1" applyFill="1" applyAlignment="1">
      <alignment horizontal="center"/>
    </xf>
    <xf numFmtId="0" fontId="24" fillId="0" borderId="0" xfId="0" applyFont="1" applyAlignment="1"/>
    <xf numFmtId="0" fontId="8" fillId="0" borderId="0" xfId="0" applyFont="1" applyAlignment="1"/>
    <xf numFmtId="0" fontId="25" fillId="6" borderId="0" xfId="5" applyFont="1" applyFill="1" applyBorder="1" applyAlignment="1">
      <alignment horizontal="center"/>
    </xf>
    <xf numFmtId="0" fontId="9" fillId="6" borderId="0" xfId="5" applyFont="1" applyFill="1" applyBorder="1" applyAlignment="1">
      <alignment horizontal="center"/>
    </xf>
    <xf numFmtId="0" fontId="24" fillId="0" borderId="0" xfId="0" applyFont="1" applyAlignment="1">
      <alignment horizontal="left"/>
    </xf>
    <xf numFmtId="0" fontId="8" fillId="0" borderId="0" xfId="0" applyFont="1" applyAlignment="1">
      <alignment horizontal="left"/>
    </xf>
  </cellXfs>
  <cellStyles count="56">
    <cellStyle name="20% - Accent1" xfId="31" builtinId="30" customBuiltin="1"/>
    <cellStyle name="20% - Accent2" xfId="34" builtinId="34" customBuiltin="1"/>
    <cellStyle name="20% - Accent3" xfId="36" builtinId="38" customBuiltin="1"/>
    <cellStyle name="20% - Accent4" xfId="40" builtinId="42" customBuiltin="1"/>
    <cellStyle name="20% - Accent5" xfId="44" builtinId="46" customBuiltin="1"/>
    <cellStyle name="20% - Accent6" xfId="48" builtinId="50" customBuiltin="1"/>
    <cellStyle name="40% - Accent1" xfId="32" builtinId="31" customBuiltin="1"/>
    <cellStyle name="40% - Accent2" xfId="12" builtinId="35" customBuiltin="1"/>
    <cellStyle name="40% - Accent2 2" xfId="54"/>
    <cellStyle name="40% - Accent3" xfId="37" builtinId="39" customBuiltin="1"/>
    <cellStyle name="40% - Accent4" xfId="41" builtinId="43" customBuiltin="1"/>
    <cellStyle name="40% - Accent5" xfId="45" builtinId="47" customBuiltin="1"/>
    <cellStyle name="40% - Accent6" xfId="49" builtinId="51" customBuiltin="1"/>
    <cellStyle name="60% - Accent1" xfId="33" builtinId="32" customBuiltin="1"/>
    <cellStyle name="60% - Accent2" xfId="13" builtinId="36" customBuiltin="1"/>
    <cellStyle name="60% - Accent2 2" xfId="55"/>
    <cellStyle name="60% - Accent3" xfId="38" builtinId="40" customBuiltin="1"/>
    <cellStyle name="60% - Accent4" xfId="42" builtinId="44" customBuiltin="1"/>
    <cellStyle name="60% - Accent5" xfId="46" builtinId="48" customBuiltin="1"/>
    <cellStyle name="60% - Accent6" xfId="50" builtinId="52" customBuiltin="1"/>
    <cellStyle name="Accent1" xfId="30" builtinId="29" customBuiltin="1"/>
    <cellStyle name="Accent2" xfId="11" builtinId="33" customBuiltin="1"/>
    <cellStyle name="Accent2 2" xfId="53"/>
    <cellStyle name="Accent3" xfId="35" builtinId="37" customBuiltin="1"/>
    <cellStyle name="Accent4" xfId="39" builtinId="41" customBuiltin="1"/>
    <cellStyle name="Accent5" xfId="43" builtinId="45" customBuiltin="1"/>
    <cellStyle name="Accent6" xfId="47" builtinId="49" customBuiltin="1"/>
    <cellStyle name="Bad" xfId="20" builtinId="27" customBuiltin="1"/>
    <cellStyle name="Calculation" xfId="23" builtinId="22" customBuiltin="1"/>
    <cellStyle name="Check Cell" xfId="25" builtinId="23" customBuiltin="1"/>
    <cellStyle name="Comma" xfId="6" builtinId="3" customBuiltin="1"/>
    <cellStyle name="Comma [0]" xfId="10" builtinId="6" customBuiltin="1"/>
    <cellStyle name="Currency" xfId="1" builtinId="4"/>
    <cellStyle name="Explanatory Text" xfId="28" builtinId="53" customBuiltin="1"/>
    <cellStyle name="Good" xfId="19" builtinId="26" customBuiltin="1"/>
    <cellStyle name="Heading 1" xfId="16" builtinId="16" customBuiltin="1"/>
    <cellStyle name="Heading 2" xfId="17" builtinId="17" customBuiltin="1"/>
    <cellStyle name="Heading 3" xfId="18" builtinId="18" customBuiltin="1"/>
    <cellStyle name="Heading 4" xfId="8" builtinId="19"/>
    <cellStyle name="Heading 4 2" xfId="51"/>
    <cellStyle name="Input" xfId="9" builtinId="20" customBuiltin="1"/>
    <cellStyle name="Input 2" xfId="52"/>
    <cellStyle name="Linked Cell" xfId="24" builtinId="24" customBuiltin="1"/>
    <cellStyle name="Neutral" xfId="21" builtinId="28" customBuiltin="1"/>
    <cellStyle name="Normal" xfId="0" builtinId="0"/>
    <cellStyle name="Normal 2" xfId="5"/>
    <cellStyle name="Normal 3" xfId="3"/>
    <cellStyle name="Normal 3 2" xfId="7"/>
    <cellStyle name="Normal 5" xfId="4"/>
    <cellStyle name="Note" xfId="27" builtinId="10" customBuiltin="1"/>
    <cellStyle name="Output" xfId="22" builtinId="21" customBuiltin="1"/>
    <cellStyle name="Percent" xfId="2" builtinId="5" customBuiltin="1"/>
    <cellStyle name="Ratio" xfId="14"/>
    <cellStyle name="Title" xfId="15" builtinId="15" customBuiltin="1"/>
    <cellStyle name="Total" xfId="29" builtinId="25" customBuiltin="1"/>
    <cellStyle name="Warning Text" xfId="26" builtinId="11" customBuiltin="1"/>
  </cellStyles>
  <dxfs count="29">
    <dxf>
      <fill>
        <patternFill>
          <bgColor theme="2"/>
        </patternFill>
      </fill>
    </dxf>
    <dxf>
      <font>
        <color rgb="FF9C0006"/>
      </font>
      <fill>
        <patternFill>
          <bgColor rgb="FFFFC7CE"/>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s>
  <tableStyles count="0" defaultTableStyle="TableStyleMedium2" defaultPivotStyle="PivotStyleLight16"/>
  <colors>
    <mruColors>
      <color rgb="FFFFFF99"/>
      <color rgb="FFFF8E85"/>
      <color rgb="FFFF978F"/>
      <color rgb="FFFF7B71"/>
      <color rgb="FFFC8E8E"/>
      <color rgb="FFFB7171"/>
      <color rgb="FFFF6699"/>
      <color rgb="FFFF7C80"/>
      <color rgb="FF66FF33"/>
      <color rgb="FFFFCC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pieChart>
        <c:varyColors val="1"/>
        <c:ser>
          <c:idx val="2"/>
          <c:order val="0"/>
          <c:tx>
            <c:strRef>
              <c:f>Valuation!$E$6</c:f>
              <c:strCache>
                <c:ptCount val="1"/>
                <c:pt idx="0">
                  <c:v>Weight</c:v>
                </c:pt>
              </c:strCache>
            </c:strRef>
          </c:tx>
          <c:dPt>
            <c:idx val="0"/>
            <c:bubble3D val="0"/>
            <c:spPr>
              <a:solidFill>
                <a:schemeClr val="accent2">
                  <a:shade val="58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EC67-4603-A3F5-AC77C7F7B38B}"/>
              </c:ext>
            </c:extLst>
          </c:dPt>
          <c:dPt>
            <c:idx val="1"/>
            <c:bubble3D val="0"/>
            <c:spPr>
              <a:solidFill>
                <a:schemeClr val="accent2">
                  <a:shade val="86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EC67-4603-A3F5-AC77C7F7B38B}"/>
              </c:ext>
            </c:extLst>
          </c:dPt>
          <c:dPt>
            <c:idx val="2"/>
            <c:bubble3D val="0"/>
            <c:spPr>
              <a:solidFill>
                <a:schemeClr val="accent2">
                  <a:tint val="86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5-EC67-4603-A3F5-AC77C7F7B38B}"/>
              </c:ext>
            </c:extLst>
          </c:dPt>
          <c:dPt>
            <c:idx val="3"/>
            <c:bubble3D val="0"/>
            <c:spPr>
              <a:solidFill>
                <a:schemeClr val="accent2">
                  <a:tint val="58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7-EC67-4603-A3F5-AC77C7F7B38B}"/>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Valuation!$B$7:$B$10</c:f>
              <c:strCache>
                <c:ptCount val="4"/>
                <c:pt idx="0">
                  <c:v>DCF</c:v>
                </c:pt>
                <c:pt idx="1">
                  <c:v>RIM</c:v>
                </c:pt>
                <c:pt idx="2">
                  <c:v>Comparable</c:v>
                </c:pt>
                <c:pt idx="3">
                  <c:v>Historical PE</c:v>
                </c:pt>
              </c:strCache>
              <c:extLst xmlns:c16r2="http://schemas.microsoft.com/office/drawing/2015/06/chart">
                <c:ext xmlns:c15="http://schemas.microsoft.com/office/drawing/2012/chart" uri="{02D57815-91ED-43cb-92C2-25804820EDAC}">
                  <c15:fullRef>
                    <c15:sqref>Valuation!$B$7:$B$12</c15:sqref>
                  </c15:fullRef>
                </c:ext>
              </c:extLst>
            </c:strRef>
          </c:cat>
          <c:val>
            <c:numRef>
              <c:f>Valuation!$E$7:$E$10</c:f>
              <c:numCache>
                <c:formatCode>#0.0_)%;\(#0.0\)%</c:formatCode>
                <c:ptCount val="4"/>
                <c:pt idx="0">
                  <c:v>0.3</c:v>
                </c:pt>
                <c:pt idx="1">
                  <c:v>0</c:v>
                </c:pt>
                <c:pt idx="2">
                  <c:v>0.3</c:v>
                </c:pt>
                <c:pt idx="3">
                  <c:v>0.4</c:v>
                </c:pt>
              </c:numCache>
              <c:extLst xmlns:c16r2="http://schemas.microsoft.com/office/drawing/2015/06/chart">
                <c:ext xmlns:c15="http://schemas.microsoft.com/office/drawing/2012/chart" uri="{02D57815-91ED-43cb-92C2-25804820EDAC}">
                  <c15:fullRef>
                    <c15:sqref>Valuation!$E$7:$E$12</c15:sqref>
                  </c15:fullRef>
                </c:ext>
              </c:extLst>
            </c:numRef>
          </c:val>
          <c:extLst xmlns:c16r2="http://schemas.microsoft.com/office/drawing/2015/06/chart">
            <c:ext xmlns:c15="http://schemas.microsoft.com/office/drawing/2012/chart" uri="{02D57815-91ED-43cb-92C2-25804820EDAC}">
              <c15:categoryFilterExceptions/>
            </c:ext>
            <c:ext xmlns:c16="http://schemas.microsoft.com/office/drawing/2014/chart" uri="{C3380CC4-5D6E-409C-BE32-E72D297353CC}">
              <c16:uniqueId val="{00000008-EC67-4603-A3F5-AC77C7F7B38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a:solidFill>
                  <a:sysClr val="windowText" lastClr="000000"/>
                </a:solidFill>
              </a:rPr>
              <a:t>Analyst Price Target Estimates</a:t>
            </a:r>
          </a:p>
        </c:rich>
      </c:tx>
      <c:layout/>
      <c:overlay val="0"/>
      <c:spPr>
        <a:noFill/>
        <a:ln>
          <a:noFill/>
        </a:ln>
        <a:effectLst/>
      </c:spPr>
    </c:title>
    <c:autoTitleDeleted val="0"/>
    <c:plotArea>
      <c:layout/>
      <c:barChart>
        <c:barDir val="col"/>
        <c:grouping val="clustered"/>
        <c:varyColors val="0"/>
        <c:ser>
          <c:idx val="0"/>
          <c:order val="0"/>
          <c:tx>
            <c:strRef>
              <c:f>Valuation!$G$6</c:f>
              <c:strCache>
                <c:ptCount val="1"/>
                <c:pt idx="0">
                  <c:v>Other Analysts Price Target Summary</c:v>
                </c:pt>
              </c:strCache>
            </c:strRef>
          </c:tx>
          <c:spPr>
            <a:solidFill>
              <a:schemeClr val="accent2">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Valuation!$G$7:$G$9</c:f>
              <c:strCache>
                <c:ptCount val="3"/>
                <c:pt idx="0">
                  <c:v>Low Target</c:v>
                </c:pt>
                <c:pt idx="1">
                  <c:v>Mean Target</c:v>
                </c:pt>
                <c:pt idx="2">
                  <c:v>High Target</c:v>
                </c:pt>
              </c:strCache>
            </c:strRef>
          </c:cat>
          <c:val>
            <c:numRef>
              <c:f>Valuation!$H$7:$H$9</c:f>
              <c:numCache>
                <c:formatCode>_(* #,##0.00_);_(* \(#,##0.00\);_(* "-"??_);_(@_)</c:formatCode>
                <c:ptCount val="3"/>
                <c:pt idx="0">
                  <c:v>70</c:v>
                </c:pt>
                <c:pt idx="1">
                  <c:v>86</c:v>
                </c:pt>
                <c:pt idx="2">
                  <c:v>105</c:v>
                </c:pt>
              </c:numCache>
            </c:numRef>
          </c:val>
          <c:extLst xmlns:c16r2="http://schemas.microsoft.com/office/drawing/2015/06/chart">
            <c:ext xmlns:c16="http://schemas.microsoft.com/office/drawing/2014/chart" uri="{C3380CC4-5D6E-409C-BE32-E72D297353CC}">
              <c16:uniqueId val="{00000000-9A6C-4EB1-99FC-8F646686BD37}"/>
            </c:ext>
          </c:extLst>
        </c:ser>
        <c:dLbls>
          <c:showLegendKey val="0"/>
          <c:showVal val="0"/>
          <c:showCatName val="0"/>
          <c:showSerName val="0"/>
          <c:showPercent val="0"/>
          <c:showBubbleSize val="0"/>
        </c:dLbls>
        <c:gapWidth val="219"/>
        <c:axId val="207043968"/>
        <c:axId val="207045760"/>
      </c:barChart>
      <c:lineChart>
        <c:grouping val="standard"/>
        <c:varyColors val="0"/>
        <c:ser>
          <c:idx val="1"/>
          <c:order val="1"/>
          <c:tx>
            <c:strRef>
              <c:f>Valuation!$B$11</c:f>
              <c:strCache>
                <c:ptCount val="1"/>
                <c:pt idx="0">
                  <c:v>Intrinsic Value</c:v>
                </c:pt>
              </c:strCache>
            </c:strRef>
          </c:tx>
          <c:spPr>
            <a:ln w="28575" cap="rnd">
              <a:solidFill>
                <a:schemeClr val="tx1"/>
              </a:solidFill>
              <a:round/>
            </a:ln>
            <a:effectLst/>
          </c:spPr>
          <c:marker>
            <c:symbol val="none"/>
          </c:marker>
          <c:cat>
            <c:strRef>
              <c:f>Valuation!$G$7:$G$9</c:f>
              <c:strCache>
                <c:ptCount val="3"/>
                <c:pt idx="0">
                  <c:v>Low Target</c:v>
                </c:pt>
                <c:pt idx="1">
                  <c:v>Mean Target</c:v>
                </c:pt>
                <c:pt idx="2">
                  <c:v>High Target</c:v>
                </c:pt>
              </c:strCache>
            </c:strRef>
          </c:cat>
          <c:val>
            <c:numRef>
              <c:f>(Valuation!$C$11,Valuation!$C$11,Valuation!$C$11)</c:f>
              <c:numCache>
                <c:formatCode>_(* #,##0.00_);_(* \(#,##0.00\);_(* "-"??_);_(@_)</c:formatCode>
                <c:ptCount val="3"/>
                <c:pt idx="0">
                  <c:v>94.78827518428136</c:v>
                </c:pt>
                <c:pt idx="1">
                  <c:v>94.78827518428136</c:v>
                </c:pt>
                <c:pt idx="2">
                  <c:v>94.78827518428136</c:v>
                </c:pt>
              </c:numCache>
            </c:numRef>
          </c:val>
          <c:smooth val="0"/>
          <c:extLst xmlns:c16r2="http://schemas.microsoft.com/office/drawing/2015/06/chart">
            <c:ext xmlns:c16="http://schemas.microsoft.com/office/drawing/2014/chart" uri="{C3380CC4-5D6E-409C-BE32-E72D297353CC}">
              <c16:uniqueId val="{00000001-9A6C-4EB1-99FC-8F646686BD37}"/>
            </c:ext>
          </c:extLst>
        </c:ser>
        <c:dLbls>
          <c:showLegendKey val="0"/>
          <c:showVal val="0"/>
          <c:showCatName val="0"/>
          <c:showSerName val="0"/>
          <c:showPercent val="0"/>
          <c:showBubbleSize val="0"/>
        </c:dLbls>
        <c:marker val="1"/>
        <c:smooth val="0"/>
        <c:axId val="207043968"/>
        <c:axId val="207045760"/>
      </c:lineChart>
      <c:catAx>
        <c:axId val="20704396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207045760"/>
        <c:crosses val="autoZero"/>
        <c:auto val="1"/>
        <c:lblAlgn val="ctr"/>
        <c:lblOffset val="100"/>
        <c:noMultiLvlLbl val="0"/>
      </c:catAx>
      <c:valAx>
        <c:axId val="207045760"/>
        <c:scaling>
          <c:orientation val="minMax"/>
        </c:scaling>
        <c:delete val="1"/>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crossAx val="2070439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1"/>
          <c:order val="0"/>
          <c:tx>
            <c:strRef>
              <c:f>IS!$B$20</c:f>
              <c:strCache>
                <c:ptCount val="1"/>
                <c:pt idx="0">
                  <c:v>Net income</c:v>
                </c:pt>
              </c:strCache>
            </c:strRef>
          </c:tx>
          <c:invertIfNegative val="0"/>
          <c:cat>
            <c:numRef>
              <c:f>IS!$C$6:$G$6</c:f>
              <c:numCache>
                <c:formatCode>0"A"</c:formatCode>
                <c:ptCount val="5"/>
                <c:pt idx="0">
                  <c:v>2012</c:v>
                </c:pt>
                <c:pt idx="1">
                  <c:v>2013</c:v>
                </c:pt>
                <c:pt idx="2">
                  <c:v>2014</c:v>
                </c:pt>
                <c:pt idx="3">
                  <c:v>2015</c:v>
                </c:pt>
                <c:pt idx="4">
                  <c:v>2016</c:v>
                </c:pt>
              </c:numCache>
            </c:numRef>
          </c:cat>
          <c:val>
            <c:numRef>
              <c:f>IS!$C$20:$G$20</c:f>
              <c:numCache>
                <c:formatCode>General</c:formatCode>
                <c:ptCount val="5"/>
                <c:pt idx="0">
                  <c:v>146626</c:v>
                </c:pt>
                <c:pt idx="1">
                  <c:v>150204</c:v>
                </c:pt>
                <c:pt idx="2">
                  <c:v>178292</c:v>
                </c:pt>
                <c:pt idx="3">
                  <c:v>180201</c:v>
                </c:pt>
                <c:pt idx="4">
                  <c:v>199365</c:v>
                </c:pt>
              </c:numCache>
            </c:numRef>
          </c:val>
        </c:ser>
        <c:ser>
          <c:idx val="0"/>
          <c:order val="1"/>
          <c:tx>
            <c:strRef>
              <c:f>IS!$B$13</c:f>
              <c:strCache>
                <c:ptCount val="1"/>
                <c:pt idx="0">
                  <c:v>Total operating expenses</c:v>
                </c:pt>
              </c:strCache>
            </c:strRef>
          </c:tx>
          <c:invertIfNegative val="0"/>
          <c:val>
            <c:numRef>
              <c:f>IS!$C$13:$G$13</c:f>
              <c:numCache>
                <c:formatCode>General</c:formatCode>
                <c:ptCount val="5"/>
                <c:pt idx="0">
                  <c:v>754642</c:v>
                </c:pt>
                <c:pt idx="1">
                  <c:v>927179</c:v>
                </c:pt>
                <c:pt idx="2">
                  <c:v>1069726</c:v>
                </c:pt>
                <c:pt idx="3">
                  <c:v>1266296</c:v>
                </c:pt>
                <c:pt idx="4">
                  <c:v>1454553</c:v>
                </c:pt>
              </c:numCache>
            </c:numRef>
          </c:val>
        </c:ser>
        <c:dLbls>
          <c:showLegendKey val="0"/>
          <c:showVal val="0"/>
          <c:showCatName val="0"/>
          <c:showSerName val="0"/>
          <c:showPercent val="0"/>
          <c:showBubbleSize val="0"/>
        </c:dLbls>
        <c:gapWidth val="150"/>
        <c:axId val="207097216"/>
        <c:axId val="207103104"/>
      </c:barChart>
      <c:catAx>
        <c:axId val="207097216"/>
        <c:scaling>
          <c:orientation val="minMax"/>
        </c:scaling>
        <c:delete val="0"/>
        <c:axPos val="b"/>
        <c:numFmt formatCode="0&quot;A&quot;" sourceLinked="1"/>
        <c:majorTickMark val="out"/>
        <c:minorTickMark val="none"/>
        <c:tickLblPos val="nextTo"/>
        <c:crossAx val="207103104"/>
        <c:crosses val="autoZero"/>
        <c:auto val="1"/>
        <c:lblAlgn val="ctr"/>
        <c:lblOffset val="100"/>
        <c:noMultiLvlLbl val="0"/>
      </c:catAx>
      <c:valAx>
        <c:axId val="207103104"/>
        <c:scaling>
          <c:orientation val="minMax"/>
        </c:scaling>
        <c:delete val="0"/>
        <c:axPos val="l"/>
        <c:majorGridlines/>
        <c:numFmt formatCode="General" sourceLinked="1"/>
        <c:majorTickMark val="out"/>
        <c:minorTickMark val="none"/>
        <c:tickLblPos val="nextTo"/>
        <c:crossAx val="207097216"/>
        <c:crosses val="autoZero"/>
        <c:crossBetween val="between"/>
      </c:valAx>
      <c:spPr>
        <a:noFill/>
        <a:ln w="25400">
          <a:noFill/>
        </a:ln>
      </c:spPr>
    </c:plotArea>
    <c:legend>
      <c:legendPos val="r"/>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000" b="1" i="0" u="none" strike="noStrike" kern="1200" spc="0" baseline="0">
                <a:solidFill>
                  <a:sysClr val="windowText" lastClr="000000"/>
                </a:solidFill>
                <a:latin typeface="+mn-lt"/>
                <a:ea typeface="+mn-ea"/>
                <a:cs typeface="+mn-cs"/>
              </a:defRPr>
            </a:pPr>
            <a:r>
              <a:rPr lang="en-US"/>
              <a:t>Diluted EPS (Unadjusted)</a:t>
            </a:r>
          </a:p>
        </c:rich>
      </c:tx>
      <c:overlay val="0"/>
      <c:spPr>
        <a:noFill/>
        <a:ln>
          <a:noFill/>
        </a:ln>
        <a:effectLst/>
      </c:spPr>
    </c:title>
    <c:autoTitleDeleted val="0"/>
    <c:plotArea>
      <c:layout/>
      <c:barChart>
        <c:barDir val="col"/>
        <c:grouping val="clustered"/>
        <c:varyColors val="0"/>
        <c:ser>
          <c:idx val="0"/>
          <c:order val="0"/>
          <c:tx>
            <c:strRef>
              <c:f>'Historical PE'!$B$7</c:f>
              <c:strCache>
                <c:ptCount val="1"/>
                <c:pt idx="0">
                  <c:v>Diluted EPS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tx1"/>
                </a:solidFill>
                <a:prstDash val="sysDot"/>
              </a:ln>
              <a:effectLst/>
            </c:spPr>
            <c:trendlineType val="movingAvg"/>
            <c:period val="2"/>
            <c:dispRSqr val="0"/>
            <c:dispEq val="0"/>
          </c:trendline>
          <c:cat>
            <c:numRef>
              <c:f>'Historical PE'!$I$6:$N$6</c:f>
              <c:numCache>
                <c:formatCode>0"A"</c:formatCode>
                <c:ptCount val="6"/>
                <c:pt idx="0">
                  <c:v>2012</c:v>
                </c:pt>
                <c:pt idx="1">
                  <c:v>2013</c:v>
                </c:pt>
                <c:pt idx="2">
                  <c:v>2014</c:v>
                </c:pt>
                <c:pt idx="3">
                  <c:v>2015</c:v>
                </c:pt>
                <c:pt idx="4">
                  <c:v>2016</c:v>
                </c:pt>
                <c:pt idx="5" formatCode="0&quot;E&quot;">
                  <c:v>2017</c:v>
                </c:pt>
              </c:numCache>
            </c:numRef>
          </c:cat>
          <c:val>
            <c:numRef>
              <c:f>'Historical PE'!$I$7:$N$7</c:f>
              <c:numCache>
                <c:formatCode>_(* #,##0.00_);_(* \(#,##0.00\);_(* "-"??_);_(@_)</c:formatCode>
                <c:ptCount val="6"/>
                <c:pt idx="0">
                  <c:v>0.75</c:v>
                </c:pt>
                <c:pt idx="1">
                  <c:v>0.77</c:v>
                </c:pt>
                <c:pt idx="2">
                  <c:v>0.93</c:v>
                </c:pt>
                <c:pt idx="3">
                  <c:v>0.95</c:v>
                </c:pt>
                <c:pt idx="4">
                  <c:v>1.07</c:v>
                </c:pt>
                <c:pt idx="5">
                  <c:v>1.4004002470190986</c:v>
                </c:pt>
              </c:numCache>
            </c:numRef>
          </c:val>
          <c:extLst xmlns:c16r2="http://schemas.microsoft.com/office/drawing/2015/06/chart">
            <c:ext xmlns:c16="http://schemas.microsoft.com/office/drawing/2014/chart" uri="{C3380CC4-5D6E-409C-BE32-E72D297353CC}">
              <c16:uniqueId val="{00000001-1533-4DD7-8FB4-DD34222B51E6}"/>
            </c:ext>
          </c:extLst>
        </c:ser>
        <c:dLbls>
          <c:showLegendKey val="0"/>
          <c:showVal val="0"/>
          <c:showCatName val="0"/>
          <c:showSerName val="0"/>
          <c:showPercent val="0"/>
          <c:showBubbleSize val="0"/>
        </c:dLbls>
        <c:gapWidth val="219"/>
        <c:overlap val="-27"/>
        <c:axId val="206623104"/>
        <c:axId val="206624640"/>
      </c:barChart>
      <c:catAx>
        <c:axId val="206623104"/>
        <c:scaling>
          <c:orientation val="minMax"/>
        </c:scaling>
        <c:delete val="0"/>
        <c:axPos val="b"/>
        <c:numFmt formatCode="0&quot;A&quot;"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206624640"/>
        <c:crosses val="autoZero"/>
        <c:auto val="1"/>
        <c:lblAlgn val="ctr"/>
        <c:lblOffset val="100"/>
        <c:noMultiLvlLbl val="0"/>
      </c:catAx>
      <c:valAx>
        <c:axId val="206624640"/>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206623104"/>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1" i="0" u="none" strike="noStrike" kern="1200" spc="0" baseline="0">
                <a:solidFill>
                  <a:sysClr val="windowText" lastClr="000000"/>
                </a:solidFill>
                <a:latin typeface="+mn-lt"/>
                <a:ea typeface="+mn-ea"/>
                <a:cs typeface="+mn-cs"/>
              </a:defRPr>
            </a:pPr>
            <a:r>
              <a:rPr lang="en-US"/>
              <a:t>Market Cap ($BN):</a:t>
            </a:r>
          </a:p>
        </c:rich>
      </c:tx>
      <c:overlay val="0"/>
      <c:spPr>
        <a:noFill/>
        <a:ln>
          <a:noFill/>
        </a:ln>
        <a:effectLst/>
      </c:spPr>
    </c:title>
    <c:autoTitleDeleted val="0"/>
    <c:plotArea>
      <c:layout/>
      <c:barChart>
        <c:barDir val="col"/>
        <c:grouping val="clustered"/>
        <c:varyColors val="0"/>
        <c:ser>
          <c:idx val="0"/>
          <c:order val="0"/>
          <c:tx>
            <c:strRef>
              <c:f>'Comparable - changed weights'!$B$8</c:f>
              <c:strCache>
                <c:ptCount val="1"/>
                <c:pt idx="0">
                  <c:v>Market Cap ($BN):</c:v>
                </c:pt>
              </c:strCache>
            </c:strRef>
          </c:tx>
          <c:spPr>
            <a:solidFill>
              <a:schemeClr val="accent2"/>
            </a:solidFill>
            <a:ln>
              <a:noFill/>
            </a:ln>
            <a:effectLst/>
          </c:spPr>
          <c:invertIfNegative val="0"/>
          <c:dPt>
            <c:idx val="1"/>
            <c:invertIfNegative val="0"/>
            <c:bubble3D val="0"/>
            <c:spPr>
              <a:solidFill>
                <a:schemeClr val="accent3"/>
              </a:solidFill>
              <a:ln>
                <a:noFill/>
              </a:ln>
              <a:effectLst/>
            </c:spPr>
            <c:extLst xmlns:c16r2="http://schemas.microsoft.com/office/drawing/2015/06/chart">
              <c:ext xmlns:c16="http://schemas.microsoft.com/office/drawing/2014/chart" uri="{C3380CC4-5D6E-409C-BE32-E72D297353CC}">
                <c16:uniqueId val="{00000001-4BE2-40DE-BDB2-FAA38A976AD3}"/>
              </c:ext>
            </c:extLst>
          </c:dPt>
          <c:dPt>
            <c:idx val="2"/>
            <c:invertIfNegative val="0"/>
            <c:bubble3D val="0"/>
            <c:spPr>
              <a:solidFill>
                <a:schemeClr val="accent3"/>
              </a:solidFill>
              <a:ln>
                <a:noFill/>
              </a:ln>
              <a:effectLst/>
            </c:spPr>
            <c:extLst xmlns:c16r2="http://schemas.microsoft.com/office/drawing/2015/06/chart">
              <c:ext xmlns:c16="http://schemas.microsoft.com/office/drawing/2014/chart" uri="{C3380CC4-5D6E-409C-BE32-E72D297353CC}">
                <c16:uniqueId val="{00000003-4BE2-40DE-BDB2-FAA38A976AD3}"/>
              </c:ext>
            </c:extLst>
          </c:dPt>
          <c:dPt>
            <c:idx val="3"/>
            <c:invertIfNegative val="0"/>
            <c:bubble3D val="0"/>
            <c:spPr>
              <a:solidFill>
                <a:schemeClr val="accent3"/>
              </a:solidFill>
              <a:ln>
                <a:noFill/>
              </a:ln>
              <a:effectLst/>
            </c:spPr>
            <c:extLst xmlns:c16r2="http://schemas.microsoft.com/office/drawing/2015/06/chart">
              <c:ext xmlns:c16="http://schemas.microsoft.com/office/drawing/2014/chart" uri="{C3380CC4-5D6E-409C-BE32-E72D297353CC}">
                <c16:uniqueId val="{00000005-4BE2-40DE-BDB2-FAA38A976AD3}"/>
              </c:ext>
            </c:extLst>
          </c:dPt>
          <c:dPt>
            <c:idx val="4"/>
            <c:invertIfNegative val="0"/>
            <c:bubble3D val="0"/>
            <c:spPr>
              <a:solidFill>
                <a:schemeClr val="accent3"/>
              </a:solidFill>
              <a:ln>
                <a:noFill/>
              </a:ln>
              <a:effectLst/>
            </c:spPr>
            <c:extLst xmlns:c16r2="http://schemas.microsoft.com/office/drawing/2015/06/chart">
              <c:ext xmlns:c16="http://schemas.microsoft.com/office/drawing/2014/chart" uri="{C3380CC4-5D6E-409C-BE32-E72D297353CC}">
                <c16:uniqueId val="{00000007-4BE2-40DE-BDB2-FAA38A976AD3}"/>
              </c:ext>
            </c:extLst>
          </c:dPt>
          <c:dPt>
            <c:idx val="5"/>
            <c:invertIfNegative val="0"/>
            <c:bubble3D val="0"/>
            <c:spPr>
              <a:solidFill>
                <a:schemeClr val="accent3"/>
              </a:solidFill>
              <a:ln>
                <a:noFill/>
              </a:ln>
              <a:effectLst/>
            </c:spPr>
            <c:extLst xmlns:c16r2="http://schemas.microsoft.com/office/drawing/2015/06/chart">
              <c:ext xmlns:c16="http://schemas.microsoft.com/office/drawing/2014/chart" uri="{C3380CC4-5D6E-409C-BE32-E72D297353CC}">
                <c16:uniqueId val="{00000009-4BE2-40DE-BDB2-FAA38A976AD3}"/>
              </c:ext>
            </c:extLst>
          </c:dPt>
          <c:dPt>
            <c:idx val="6"/>
            <c:invertIfNegative val="0"/>
            <c:bubble3D val="0"/>
            <c:spPr>
              <a:solidFill>
                <a:schemeClr val="accent3"/>
              </a:solidFill>
              <a:ln>
                <a:noFill/>
              </a:ln>
              <a:effectLst/>
            </c:spPr>
            <c:extLst xmlns:c16r2="http://schemas.microsoft.com/office/drawing/2015/06/chart">
              <c:ext xmlns:c16="http://schemas.microsoft.com/office/drawing/2014/chart" uri="{C3380CC4-5D6E-409C-BE32-E72D297353CC}">
                <c16:uniqueId val="{0000000B-4BE2-40DE-BDB2-FAA38A976AD3}"/>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'Comparable - changed weights'!$C$6:$I$6</c:f>
              <c:strCache>
                <c:ptCount val="7"/>
                <c:pt idx="0">
                  <c:v>RHT</c:v>
                </c:pt>
                <c:pt idx="1">
                  <c:v>VMW</c:v>
                </c:pt>
                <c:pt idx="2">
                  <c:v>NOW</c:v>
                </c:pt>
                <c:pt idx="3">
                  <c:v>WDAY</c:v>
                </c:pt>
                <c:pt idx="4">
                  <c:v>DATA</c:v>
                </c:pt>
                <c:pt idx="5">
                  <c:v>ORCL</c:v>
                </c:pt>
                <c:pt idx="6">
                  <c:v>CTXS</c:v>
                </c:pt>
              </c:strCache>
            </c:strRef>
          </c:cat>
          <c:val>
            <c:numRef>
              <c:f>'Comparable - changed weights'!$C$8:$I$8</c:f>
              <c:numCache>
                <c:formatCode>_(* #,##0.00_);_(* \(#,##0.00\);_(* "-"??_);_(@_)</c:formatCode>
                <c:ptCount val="7"/>
                <c:pt idx="0">
                  <c:v>14.1</c:v>
                </c:pt>
                <c:pt idx="1">
                  <c:v>36.49</c:v>
                </c:pt>
                <c:pt idx="2">
                  <c:v>15.02</c:v>
                </c:pt>
                <c:pt idx="3">
                  <c:v>17.100000000000001</c:v>
                </c:pt>
                <c:pt idx="4">
                  <c:v>4.12</c:v>
                </c:pt>
                <c:pt idx="5">
                  <c:v>164.5</c:v>
                </c:pt>
                <c:pt idx="6">
                  <c:v>11.9</c:v>
                </c:pt>
              </c:numCache>
            </c:numRef>
          </c:val>
          <c:extLst xmlns:c16r2="http://schemas.microsoft.com/office/drawing/2015/06/chart">
            <c:ext xmlns:c16="http://schemas.microsoft.com/office/drawing/2014/chart" uri="{C3380CC4-5D6E-409C-BE32-E72D297353CC}">
              <c16:uniqueId val="{0000000C-4BE2-40DE-BDB2-FAA38A976AD3}"/>
            </c:ext>
          </c:extLst>
        </c:ser>
        <c:dLbls>
          <c:dLblPos val="outEnd"/>
          <c:showLegendKey val="0"/>
          <c:showVal val="1"/>
          <c:showCatName val="0"/>
          <c:showSerName val="0"/>
          <c:showPercent val="0"/>
          <c:showBubbleSize val="0"/>
        </c:dLbls>
        <c:gapWidth val="219"/>
        <c:overlap val="-27"/>
        <c:axId val="207603584"/>
        <c:axId val="207608832"/>
      </c:barChart>
      <c:catAx>
        <c:axId val="207603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207608832"/>
        <c:crosses val="autoZero"/>
        <c:auto val="1"/>
        <c:lblAlgn val="ctr"/>
        <c:lblOffset val="100"/>
        <c:noMultiLvlLbl val="0"/>
      </c:catAx>
      <c:valAx>
        <c:axId val="207608832"/>
        <c:scaling>
          <c:orientation val="minMax"/>
        </c:scaling>
        <c:delete val="1"/>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crossAx val="207603584"/>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'Comparable - changed weights'!$B$15</c:f>
          <c:strCache>
            <c:ptCount val="1"/>
            <c:pt idx="0">
              <c:v>P/S (ttm)</c:v>
            </c:pt>
          </c:strCache>
        </c:strRef>
      </c:tx>
      <c:overlay val="0"/>
      <c:spPr>
        <a:noFill/>
        <a:ln>
          <a:noFill/>
        </a:ln>
        <a:effectLst/>
      </c:spPr>
      <c:txPr>
        <a:bodyPr rot="0" spcFirstLastPara="1" vertOverflow="ellipsis" vert="horz" wrap="square" anchor="ctr" anchorCtr="1"/>
        <a:lstStyle/>
        <a:p>
          <a:pPr>
            <a:defRPr sz="1000" b="1" i="0" u="none" strike="noStrike" kern="1200" spc="0" baseline="0">
              <a:solidFill>
                <a:sysClr val="windowText" lastClr="000000"/>
              </a:solidFill>
              <a:latin typeface="+mn-lt"/>
              <a:ea typeface="+mn-ea"/>
              <a:cs typeface="+mn-cs"/>
            </a:defRPr>
          </a:pPr>
          <a:endParaRPr lang="en-US"/>
        </a:p>
      </c:txPr>
    </c:title>
    <c:autoTitleDeleted val="0"/>
    <c:plotArea>
      <c:layout/>
      <c:barChart>
        <c:barDir val="col"/>
        <c:grouping val="clustered"/>
        <c:varyColors val="0"/>
        <c:ser>
          <c:idx val="0"/>
          <c:order val="0"/>
          <c:tx>
            <c:strRef>
              <c:f>'Comparable - changed weights'!$B$15</c:f>
              <c:strCache>
                <c:ptCount val="1"/>
                <c:pt idx="0">
                  <c:v>P/S (ttm)</c:v>
                </c:pt>
              </c:strCache>
            </c:strRef>
          </c:tx>
          <c:spPr>
            <a:solidFill>
              <a:schemeClr val="accent3"/>
            </a:solidFill>
            <a:ln>
              <a:noFill/>
            </a:ln>
            <a:effectLst/>
          </c:spPr>
          <c:invertIfNegative val="0"/>
          <c:dPt>
            <c:idx val="0"/>
            <c:invertIfNegative val="0"/>
            <c:bubble3D val="0"/>
            <c:spPr>
              <a:solidFill>
                <a:schemeClr val="accent2"/>
              </a:solidFill>
              <a:ln>
                <a:noFill/>
              </a:ln>
              <a:effectLst/>
            </c:spPr>
            <c:extLst xmlns:c16r2="http://schemas.microsoft.com/office/drawing/2015/06/chart">
              <c:ext xmlns:c16="http://schemas.microsoft.com/office/drawing/2014/chart" uri="{C3380CC4-5D6E-409C-BE32-E72D297353CC}">
                <c16:uniqueId val="{00000001-A008-41C4-9B59-6F23C92FA36B}"/>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'Comparable - changed weights'!$C$6:$I$6</c:f>
              <c:strCache>
                <c:ptCount val="7"/>
                <c:pt idx="0">
                  <c:v>RHT</c:v>
                </c:pt>
                <c:pt idx="1">
                  <c:v>VMW</c:v>
                </c:pt>
                <c:pt idx="2">
                  <c:v>NOW</c:v>
                </c:pt>
                <c:pt idx="3">
                  <c:v>WDAY</c:v>
                </c:pt>
                <c:pt idx="4">
                  <c:v>DATA</c:v>
                </c:pt>
                <c:pt idx="5">
                  <c:v>ORCL</c:v>
                </c:pt>
                <c:pt idx="6">
                  <c:v>CTXS</c:v>
                </c:pt>
              </c:strCache>
            </c:strRef>
          </c:cat>
          <c:val>
            <c:numRef>
              <c:f>'Comparable - changed weights'!$C$15:$I$15</c:f>
              <c:numCache>
                <c:formatCode>0.0_)\x;\(0.0\)\x</c:formatCode>
                <c:ptCount val="7"/>
                <c:pt idx="0">
                  <c:v>5.99</c:v>
                </c:pt>
                <c:pt idx="1">
                  <c:v>5.15</c:v>
                </c:pt>
                <c:pt idx="2">
                  <c:v>10.8</c:v>
                </c:pt>
                <c:pt idx="3">
                  <c:v>56.91</c:v>
                </c:pt>
                <c:pt idx="4">
                  <c:v>4.9800000000000004</c:v>
                </c:pt>
                <c:pt idx="5">
                  <c:v>4.42</c:v>
                </c:pt>
                <c:pt idx="6">
                  <c:v>3.48</c:v>
                </c:pt>
              </c:numCache>
            </c:numRef>
          </c:val>
          <c:extLst xmlns:c16r2="http://schemas.microsoft.com/office/drawing/2015/06/chart">
            <c:ext xmlns:c16="http://schemas.microsoft.com/office/drawing/2014/chart" uri="{C3380CC4-5D6E-409C-BE32-E72D297353CC}">
              <c16:uniqueId val="{00000002-A008-41C4-9B59-6F23C92FA36B}"/>
            </c:ext>
          </c:extLst>
        </c:ser>
        <c:dLbls>
          <c:showLegendKey val="0"/>
          <c:showVal val="0"/>
          <c:showCatName val="0"/>
          <c:showSerName val="0"/>
          <c:showPercent val="0"/>
          <c:showBubbleSize val="0"/>
        </c:dLbls>
        <c:gapWidth val="219"/>
        <c:overlap val="-27"/>
        <c:axId val="207450880"/>
        <c:axId val="207452416"/>
      </c:barChart>
      <c:catAx>
        <c:axId val="207450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207452416"/>
        <c:crosses val="autoZero"/>
        <c:auto val="1"/>
        <c:lblAlgn val="ctr"/>
        <c:lblOffset val="100"/>
        <c:noMultiLvlLbl val="0"/>
      </c:catAx>
      <c:valAx>
        <c:axId val="207452416"/>
        <c:scaling>
          <c:orientation val="minMax"/>
        </c:scaling>
        <c:delete val="1"/>
        <c:axPos val="l"/>
        <c:majorGridlines>
          <c:spPr>
            <a:ln w="9525" cap="flat" cmpd="sng" algn="ctr">
              <a:solidFill>
                <a:schemeClr val="tx1">
                  <a:lumMod val="15000"/>
                  <a:lumOff val="85000"/>
                </a:schemeClr>
              </a:solidFill>
              <a:round/>
            </a:ln>
            <a:effectLst/>
          </c:spPr>
        </c:majorGridlines>
        <c:numFmt formatCode="0.0_)\x;\(0.0\)\x" sourceLinked="1"/>
        <c:majorTickMark val="none"/>
        <c:minorTickMark val="none"/>
        <c:tickLblPos val="nextTo"/>
        <c:crossAx val="20745088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'Comparable - changed weights'!$B$19</c:f>
          <c:strCache>
            <c:ptCount val="1"/>
            <c:pt idx="0">
              <c:v>P/BV (mrq)</c:v>
            </c:pt>
          </c:strCache>
        </c:strRef>
      </c:tx>
      <c:overlay val="0"/>
      <c:spPr>
        <a:noFill/>
        <a:ln>
          <a:noFill/>
        </a:ln>
        <a:effectLst/>
      </c:spPr>
      <c:txPr>
        <a:bodyPr rot="0" spcFirstLastPara="1" vertOverflow="ellipsis" vert="horz" wrap="square" anchor="ctr" anchorCtr="1"/>
        <a:lstStyle/>
        <a:p>
          <a:pPr>
            <a:defRPr sz="1000" b="1" i="0" u="none" strike="noStrike" kern="1200" spc="0" baseline="0">
              <a:solidFill>
                <a:sysClr val="windowText" lastClr="000000"/>
              </a:solidFill>
              <a:latin typeface="+mn-lt"/>
              <a:ea typeface="+mn-ea"/>
              <a:cs typeface="+mn-cs"/>
            </a:defRPr>
          </a:pPr>
          <a:endParaRPr lang="en-US"/>
        </a:p>
      </c:txPr>
    </c:title>
    <c:autoTitleDeleted val="0"/>
    <c:plotArea>
      <c:layout/>
      <c:barChart>
        <c:barDir val="col"/>
        <c:grouping val="clustered"/>
        <c:varyColors val="0"/>
        <c:ser>
          <c:idx val="0"/>
          <c:order val="0"/>
          <c:tx>
            <c:strRef>
              <c:f>'Comparable - changed weights'!$B$19</c:f>
              <c:strCache>
                <c:ptCount val="1"/>
                <c:pt idx="0">
                  <c:v>P/BV (mrq)</c:v>
                </c:pt>
              </c:strCache>
            </c:strRef>
          </c:tx>
          <c:spPr>
            <a:solidFill>
              <a:schemeClr val="accent3"/>
            </a:solidFill>
            <a:ln>
              <a:noFill/>
            </a:ln>
            <a:effectLst/>
          </c:spPr>
          <c:invertIfNegative val="0"/>
          <c:dPt>
            <c:idx val="0"/>
            <c:invertIfNegative val="0"/>
            <c:bubble3D val="0"/>
            <c:spPr>
              <a:solidFill>
                <a:schemeClr val="accent2"/>
              </a:solidFill>
              <a:ln>
                <a:noFill/>
              </a:ln>
              <a:effectLst/>
            </c:spPr>
            <c:extLst xmlns:c16r2="http://schemas.microsoft.com/office/drawing/2015/06/chart">
              <c:ext xmlns:c16="http://schemas.microsoft.com/office/drawing/2014/chart" uri="{C3380CC4-5D6E-409C-BE32-E72D297353CC}">
                <c16:uniqueId val="{00000001-F312-4721-89E2-7B7695396826}"/>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'Comparable - changed weights'!$C$6:$I$6</c:f>
              <c:strCache>
                <c:ptCount val="7"/>
                <c:pt idx="0">
                  <c:v>RHT</c:v>
                </c:pt>
                <c:pt idx="1">
                  <c:v>VMW</c:v>
                </c:pt>
                <c:pt idx="2">
                  <c:v>NOW</c:v>
                </c:pt>
                <c:pt idx="3">
                  <c:v>WDAY</c:v>
                </c:pt>
                <c:pt idx="4">
                  <c:v>DATA</c:v>
                </c:pt>
                <c:pt idx="5">
                  <c:v>ORCL</c:v>
                </c:pt>
                <c:pt idx="6">
                  <c:v>CTXS</c:v>
                </c:pt>
              </c:strCache>
            </c:strRef>
          </c:cat>
          <c:val>
            <c:numRef>
              <c:f>'Comparable - changed weights'!$C$19:$I$19</c:f>
              <c:numCache>
                <c:formatCode>0.0_)\x;\(0.0\)\x</c:formatCode>
                <c:ptCount val="7"/>
                <c:pt idx="0">
                  <c:v>10.65</c:v>
                </c:pt>
                <c:pt idx="1">
                  <c:v>4.55</c:v>
                </c:pt>
                <c:pt idx="2">
                  <c:v>41.44</c:v>
                </c:pt>
                <c:pt idx="3">
                  <c:v>11.78</c:v>
                </c:pt>
                <c:pt idx="4">
                  <c:v>5.37</c:v>
                </c:pt>
                <c:pt idx="5">
                  <c:v>3.47</c:v>
                </c:pt>
                <c:pt idx="6">
                  <c:v>5.05</c:v>
                </c:pt>
              </c:numCache>
            </c:numRef>
          </c:val>
          <c:extLst xmlns:c16r2="http://schemas.microsoft.com/office/drawing/2015/06/chart">
            <c:ext xmlns:c16="http://schemas.microsoft.com/office/drawing/2014/chart" uri="{C3380CC4-5D6E-409C-BE32-E72D297353CC}">
              <c16:uniqueId val="{00000002-F312-4721-89E2-7B7695396826}"/>
            </c:ext>
          </c:extLst>
        </c:ser>
        <c:dLbls>
          <c:showLegendKey val="0"/>
          <c:showVal val="0"/>
          <c:showCatName val="0"/>
          <c:showSerName val="0"/>
          <c:showPercent val="0"/>
          <c:showBubbleSize val="0"/>
        </c:dLbls>
        <c:gapWidth val="219"/>
        <c:overlap val="-27"/>
        <c:axId val="207486336"/>
        <c:axId val="207492224"/>
      </c:barChart>
      <c:catAx>
        <c:axId val="207486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207492224"/>
        <c:crosses val="autoZero"/>
        <c:auto val="1"/>
        <c:lblAlgn val="ctr"/>
        <c:lblOffset val="100"/>
        <c:noMultiLvlLbl val="0"/>
      </c:catAx>
      <c:valAx>
        <c:axId val="207492224"/>
        <c:scaling>
          <c:orientation val="minMax"/>
        </c:scaling>
        <c:delete val="1"/>
        <c:axPos val="l"/>
        <c:majorGridlines>
          <c:spPr>
            <a:ln w="9525" cap="flat" cmpd="sng" algn="ctr">
              <a:solidFill>
                <a:schemeClr val="tx1">
                  <a:lumMod val="15000"/>
                  <a:lumOff val="85000"/>
                </a:schemeClr>
              </a:solidFill>
              <a:round/>
            </a:ln>
            <a:effectLst/>
          </c:spPr>
        </c:majorGridlines>
        <c:numFmt formatCode="0.0_)\x;\(0.0\)\x" sourceLinked="1"/>
        <c:majorTickMark val="none"/>
        <c:minorTickMark val="none"/>
        <c:tickLblPos val="nextTo"/>
        <c:crossAx val="207486336"/>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'Comparable - changed weights'!$B$23</c:f>
          <c:strCache>
            <c:ptCount val="1"/>
            <c:pt idx="0">
              <c:v>PEG (5 yr expected)</c:v>
            </c:pt>
          </c:strCache>
        </c:strRef>
      </c:tx>
      <c:overlay val="0"/>
      <c:spPr>
        <a:noFill/>
        <a:ln>
          <a:noFill/>
        </a:ln>
        <a:effectLst/>
      </c:spPr>
      <c:txPr>
        <a:bodyPr rot="0" spcFirstLastPara="1" vertOverflow="ellipsis" vert="horz" wrap="square" anchor="ctr" anchorCtr="1"/>
        <a:lstStyle/>
        <a:p>
          <a:pPr>
            <a:defRPr sz="1000" b="1" i="0" u="none" strike="noStrike" kern="1200" spc="0" baseline="0">
              <a:solidFill>
                <a:sysClr val="windowText" lastClr="000000"/>
              </a:solidFill>
              <a:latin typeface="+mn-lt"/>
              <a:ea typeface="+mn-ea"/>
              <a:cs typeface="+mn-cs"/>
            </a:defRPr>
          </a:pPr>
          <a:endParaRPr lang="en-US"/>
        </a:p>
      </c:txPr>
    </c:title>
    <c:autoTitleDeleted val="0"/>
    <c:plotArea>
      <c:layout/>
      <c:barChart>
        <c:barDir val="col"/>
        <c:grouping val="clustered"/>
        <c:varyColors val="0"/>
        <c:ser>
          <c:idx val="0"/>
          <c:order val="0"/>
          <c:tx>
            <c:strRef>
              <c:f>'Comparable - changed weights'!$B$23</c:f>
              <c:strCache>
                <c:ptCount val="1"/>
                <c:pt idx="0">
                  <c:v>PEG (5 yr expected)</c:v>
                </c:pt>
              </c:strCache>
            </c:strRef>
          </c:tx>
          <c:spPr>
            <a:solidFill>
              <a:schemeClr val="accent3"/>
            </a:solidFill>
            <a:ln>
              <a:noFill/>
            </a:ln>
            <a:effectLst/>
          </c:spPr>
          <c:invertIfNegative val="0"/>
          <c:dPt>
            <c:idx val="0"/>
            <c:invertIfNegative val="0"/>
            <c:bubble3D val="0"/>
            <c:spPr>
              <a:solidFill>
                <a:schemeClr val="accent2"/>
              </a:solidFill>
              <a:ln>
                <a:noFill/>
              </a:ln>
              <a:effectLst/>
            </c:spPr>
            <c:extLst xmlns:c16r2="http://schemas.microsoft.com/office/drawing/2015/06/chart">
              <c:ext xmlns:c16="http://schemas.microsoft.com/office/drawing/2014/chart" uri="{C3380CC4-5D6E-409C-BE32-E72D297353CC}">
                <c16:uniqueId val="{00000001-4877-4748-AFCE-51C79A5251D9}"/>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'Comparable - changed weights'!$C$6:$I$6</c:f>
              <c:strCache>
                <c:ptCount val="7"/>
                <c:pt idx="0">
                  <c:v>RHT</c:v>
                </c:pt>
                <c:pt idx="1">
                  <c:v>VMW</c:v>
                </c:pt>
                <c:pt idx="2">
                  <c:v>NOW</c:v>
                </c:pt>
                <c:pt idx="3">
                  <c:v>WDAY</c:v>
                </c:pt>
                <c:pt idx="4">
                  <c:v>DATA</c:v>
                </c:pt>
                <c:pt idx="5">
                  <c:v>ORCL</c:v>
                </c:pt>
                <c:pt idx="6">
                  <c:v>CTXS</c:v>
                </c:pt>
              </c:strCache>
            </c:strRef>
          </c:cat>
          <c:val>
            <c:numRef>
              <c:f>'Comparable - changed weights'!$C$23:$I$23</c:f>
              <c:numCache>
                <c:formatCode>_(* #,##0.00_);_(* \(#,##0.00\);_(* "-"??_);_(@_)</c:formatCode>
                <c:ptCount val="7"/>
                <c:pt idx="0">
                  <c:v>2.1800000000000002</c:v>
                </c:pt>
                <c:pt idx="1">
                  <c:v>1.91</c:v>
                </c:pt>
                <c:pt idx="2">
                  <c:v>1.91</c:v>
                </c:pt>
                <c:pt idx="3">
                  <c:v>15.09</c:v>
                </c:pt>
                <c:pt idx="4">
                  <c:v>259.97000000000003</c:v>
                </c:pt>
                <c:pt idx="5">
                  <c:v>1.85</c:v>
                </c:pt>
                <c:pt idx="6">
                  <c:v>1.37</c:v>
                </c:pt>
              </c:numCache>
            </c:numRef>
          </c:val>
          <c:extLst xmlns:c16r2="http://schemas.microsoft.com/office/drawing/2015/06/chart">
            <c:ext xmlns:c16="http://schemas.microsoft.com/office/drawing/2014/chart" uri="{C3380CC4-5D6E-409C-BE32-E72D297353CC}">
              <c16:uniqueId val="{00000002-4877-4748-AFCE-51C79A5251D9}"/>
            </c:ext>
          </c:extLst>
        </c:ser>
        <c:dLbls>
          <c:showLegendKey val="0"/>
          <c:showVal val="0"/>
          <c:showCatName val="0"/>
          <c:showSerName val="0"/>
          <c:showPercent val="0"/>
          <c:showBubbleSize val="0"/>
        </c:dLbls>
        <c:gapWidth val="219"/>
        <c:overlap val="-27"/>
        <c:axId val="207528704"/>
        <c:axId val="207530240"/>
      </c:barChart>
      <c:catAx>
        <c:axId val="207528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207530240"/>
        <c:crosses val="autoZero"/>
        <c:auto val="1"/>
        <c:lblAlgn val="ctr"/>
        <c:lblOffset val="100"/>
        <c:noMultiLvlLbl val="0"/>
      </c:catAx>
      <c:valAx>
        <c:axId val="207530240"/>
        <c:scaling>
          <c:orientation val="minMax"/>
        </c:scaling>
        <c:delete val="1"/>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crossAx val="207528704"/>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'Comparable - changed weights'!$B$27</c:f>
          <c:strCache>
            <c:ptCount val="1"/>
            <c:pt idx="0">
              <c:v>EV/EBITDA (ttm)</c:v>
            </c:pt>
          </c:strCache>
        </c:strRef>
      </c:tx>
      <c:overlay val="0"/>
      <c:spPr>
        <a:noFill/>
        <a:ln>
          <a:noFill/>
        </a:ln>
        <a:effectLst/>
      </c:spPr>
      <c:txPr>
        <a:bodyPr rot="0" spcFirstLastPara="1" vertOverflow="ellipsis" vert="horz" wrap="square" anchor="ctr" anchorCtr="1"/>
        <a:lstStyle/>
        <a:p>
          <a:pPr>
            <a:defRPr sz="1000" b="1" i="0" u="none" strike="noStrike" kern="1200" spc="0" baseline="0">
              <a:solidFill>
                <a:sysClr val="windowText" lastClr="000000"/>
              </a:solidFill>
              <a:latin typeface="+mn-lt"/>
              <a:ea typeface="+mn-ea"/>
              <a:cs typeface="+mn-cs"/>
            </a:defRPr>
          </a:pPr>
          <a:endParaRPr lang="en-US"/>
        </a:p>
      </c:txPr>
    </c:title>
    <c:autoTitleDeleted val="0"/>
    <c:plotArea>
      <c:layout/>
      <c:barChart>
        <c:barDir val="col"/>
        <c:grouping val="clustered"/>
        <c:varyColors val="0"/>
        <c:ser>
          <c:idx val="0"/>
          <c:order val="0"/>
          <c:tx>
            <c:strRef>
              <c:f>'Comparable - changed weights'!$B$27</c:f>
              <c:strCache>
                <c:ptCount val="1"/>
                <c:pt idx="0">
                  <c:v>EV/EBITDA (ttm)</c:v>
                </c:pt>
              </c:strCache>
            </c:strRef>
          </c:tx>
          <c:spPr>
            <a:solidFill>
              <a:schemeClr val="accent3"/>
            </a:solidFill>
            <a:ln>
              <a:noFill/>
            </a:ln>
            <a:effectLst/>
          </c:spPr>
          <c:invertIfNegative val="0"/>
          <c:dPt>
            <c:idx val="0"/>
            <c:invertIfNegative val="0"/>
            <c:bubble3D val="0"/>
            <c:spPr>
              <a:solidFill>
                <a:schemeClr val="accent2"/>
              </a:solidFill>
              <a:ln>
                <a:noFill/>
              </a:ln>
              <a:effectLst/>
            </c:spPr>
            <c:extLst xmlns:c16r2="http://schemas.microsoft.com/office/drawing/2015/06/chart">
              <c:ext xmlns:c16="http://schemas.microsoft.com/office/drawing/2014/chart" uri="{C3380CC4-5D6E-409C-BE32-E72D297353CC}">
                <c16:uniqueId val="{00000001-5583-47BE-8AD2-D81D3F48445D}"/>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'Comparable - changed weights'!$C$6:$I$6</c:f>
              <c:strCache>
                <c:ptCount val="7"/>
                <c:pt idx="0">
                  <c:v>RHT</c:v>
                </c:pt>
                <c:pt idx="1">
                  <c:v>VMW</c:v>
                </c:pt>
                <c:pt idx="2">
                  <c:v>NOW</c:v>
                </c:pt>
                <c:pt idx="3">
                  <c:v>WDAY</c:v>
                </c:pt>
                <c:pt idx="4">
                  <c:v>DATA</c:v>
                </c:pt>
                <c:pt idx="5">
                  <c:v>ORCL</c:v>
                </c:pt>
                <c:pt idx="6">
                  <c:v>CTXS</c:v>
                </c:pt>
              </c:strCache>
            </c:strRef>
          </c:cat>
          <c:val>
            <c:numRef>
              <c:f>'Comparable - changed weights'!$C$27:$I$27</c:f>
              <c:numCache>
                <c:formatCode>0.0_)\x;\(0.0\)\x</c:formatCode>
                <c:ptCount val="7"/>
                <c:pt idx="0">
                  <c:v>33.619999999999997</c:v>
                </c:pt>
                <c:pt idx="1">
                  <c:v>16.05</c:v>
                </c:pt>
                <c:pt idx="2">
                  <c:v>-213.94</c:v>
                </c:pt>
                <c:pt idx="3">
                  <c:v>-65.540000000000006</c:v>
                </c:pt>
                <c:pt idx="4">
                  <c:v>-33.42</c:v>
                </c:pt>
                <c:pt idx="5">
                  <c:v>11</c:v>
                </c:pt>
                <c:pt idx="6">
                  <c:v>11.04</c:v>
                </c:pt>
              </c:numCache>
            </c:numRef>
          </c:val>
          <c:extLst xmlns:c16r2="http://schemas.microsoft.com/office/drawing/2015/06/chart">
            <c:ext xmlns:c16="http://schemas.microsoft.com/office/drawing/2014/chart" uri="{C3380CC4-5D6E-409C-BE32-E72D297353CC}">
              <c16:uniqueId val="{00000002-5583-47BE-8AD2-D81D3F48445D}"/>
            </c:ext>
          </c:extLst>
        </c:ser>
        <c:dLbls>
          <c:showLegendKey val="0"/>
          <c:showVal val="0"/>
          <c:showCatName val="0"/>
          <c:showSerName val="0"/>
          <c:showPercent val="0"/>
          <c:showBubbleSize val="0"/>
        </c:dLbls>
        <c:gapWidth val="219"/>
        <c:overlap val="-27"/>
        <c:axId val="207302016"/>
        <c:axId val="207336576"/>
      </c:barChart>
      <c:catAx>
        <c:axId val="207302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207336576"/>
        <c:crosses val="autoZero"/>
        <c:auto val="1"/>
        <c:lblAlgn val="ctr"/>
        <c:lblOffset val="100"/>
        <c:noMultiLvlLbl val="0"/>
      </c:catAx>
      <c:valAx>
        <c:axId val="207336576"/>
        <c:scaling>
          <c:orientation val="minMax"/>
        </c:scaling>
        <c:delete val="1"/>
        <c:axPos val="l"/>
        <c:majorGridlines>
          <c:spPr>
            <a:ln w="9525" cap="flat" cmpd="sng" algn="ctr">
              <a:solidFill>
                <a:schemeClr val="tx1">
                  <a:lumMod val="15000"/>
                  <a:lumOff val="85000"/>
                </a:schemeClr>
              </a:solidFill>
              <a:round/>
            </a:ln>
            <a:effectLst/>
          </c:spPr>
        </c:majorGridlines>
        <c:numFmt formatCode="0.0_)\x;\(0.0\)\x" sourceLinked="1"/>
        <c:majorTickMark val="none"/>
        <c:minorTickMark val="none"/>
        <c:tickLblPos val="nextTo"/>
        <c:crossAx val="207302016"/>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1" i="0" u="none" strike="noStrike" kern="1200" spc="0" baseline="0">
                <a:solidFill>
                  <a:sysClr val="windowText" lastClr="000000"/>
                </a:solidFill>
                <a:latin typeface="+mn-lt"/>
                <a:ea typeface="+mn-ea"/>
                <a:cs typeface="+mn-cs"/>
              </a:defRPr>
            </a:pPr>
            <a:r>
              <a:rPr lang="en-US" sz="1000" b="1">
                <a:solidFill>
                  <a:sysClr val="windowText" lastClr="000000"/>
                </a:solidFill>
              </a:rPr>
              <a:t>P/E (ttm)</a:t>
            </a:r>
          </a:p>
        </c:rich>
      </c:tx>
      <c:overlay val="0"/>
      <c:spPr>
        <a:noFill/>
        <a:ln>
          <a:noFill/>
        </a:ln>
        <a:effectLst/>
      </c:spPr>
    </c:title>
    <c:autoTitleDeleted val="0"/>
    <c:plotArea>
      <c:layout/>
      <c:barChart>
        <c:barDir val="col"/>
        <c:grouping val="clustered"/>
        <c:varyColors val="0"/>
        <c:ser>
          <c:idx val="0"/>
          <c:order val="0"/>
          <c:tx>
            <c:strRef>
              <c:f>'Comparable - changed weights'!$B$11</c:f>
              <c:strCache>
                <c:ptCount val="1"/>
                <c:pt idx="0">
                  <c:v>P/E (ttm)</c:v>
                </c:pt>
              </c:strCache>
            </c:strRef>
          </c:tx>
          <c:spPr>
            <a:solidFill>
              <a:schemeClr val="accent3"/>
            </a:solidFill>
            <a:ln>
              <a:noFill/>
            </a:ln>
            <a:effectLst/>
          </c:spPr>
          <c:invertIfNegative val="0"/>
          <c:dPt>
            <c:idx val="0"/>
            <c:invertIfNegative val="0"/>
            <c:bubble3D val="0"/>
            <c:spPr>
              <a:solidFill>
                <a:schemeClr val="accent2"/>
              </a:solidFill>
              <a:ln>
                <a:noFill/>
              </a:ln>
              <a:effectLst/>
            </c:spPr>
            <c:extLst xmlns:c16r2="http://schemas.microsoft.com/office/drawing/2015/06/chart">
              <c:ext xmlns:c16="http://schemas.microsoft.com/office/drawing/2014/chart" uri="{C3380CC4-5D6E-409C-BE32-E72D297353CC}">
                <c16:uniqueId val="{00000001-FB52-42EC-801C-052E573ABCC3}"/>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'Comparable - changed weights'!$C$6:$I$6</c:f>
              <c:strCache>
                <c:ptCount val="7"/>
                <c:pt idx="0">
                  <c:v>RHT</c:v>
                </c:pt>
                <c:pt idx="1">
                  <c:v>VMW</c:v>
                </c:pt>
                <c:pt idx="2">
                  <c:v>NOW</c:v>
                </c:pt>
                <c:pt idx="3">
                  <c:v>WDAY</c:v>
                </c:pt>
                <c:pt idx="4">
                  <c:v>DATA</c:v>
                </c:pt>
                <c:pt idx="5">
                  <c:v>ORCL</c:v>
                </c:pt>
                <c:pt idx="6">
                  <c:v>CTXS</c:v>
                </c:pt>
              </c:strCache>
            </c:strRef>
          </c:cat>
          <c:val>
            <c:numRef>
              <c:f>'Comparable - changed weights'!$C$11:$I$11</c:f>
              <c:numCache>
                <c:formatCode>0.0_)\x;\(0.0\)\x</c:formatCode>
                <c:ptCount val="7"/>
                <c:pt idx="0">
                  <c:v>65.790000000000006</c:v>
                </c:pt>
                <c:pt idx="1">
                  <c:v>33.97</c:v>
                </c:pt>
                <c:pt idx="2">
                  <c:v>-32.26</c:v>
                </c:pt>
                <c:pt idx="3">
                  <c:v>-43.58</c:v>
                </c:pt>
                <c:pt idx="4">
                  <c:v>-23.33</c:v>
                </c:pt>
                <c:pt idx="5">
                  <c:v>19.05</c:v>
                </c:pt>
                <c:pt idx="6">
                  <c:v>25.51</c:v>
                </c:pt>
              </c:numCache>
            </c:numRef>
          </c:val>
          <c:extLst xmlns:c16r2="http://schemas.microsoft.com/office/drawing/2015/06/chart">
            <c:ext xmlns:c16="http://schemas.microsoft.com/office/drawing/2014/chart" uri="{C3380CC4-5D6E-409C-BE32-E72D297353CC}">
              <c16:uniqueId val="{00000002-FB52-42EC-801C-052E573ABCC3}"/>
            </c:ext>
          </c:extLst>
        </c:ser>
        <c:dLbls>
          <c:showLegendKey val="0"/>
          <c:showVal val="0"/>
          <c:showCatName val="0"/>
          <c:showSerName val="0"/>
          <c:showPercent val="0"/>
          <c:showBubbleSize val="0"/>
        </c:dLbls>
        <c:gapWidth val="219"/>
        <c:overlap val="-27"/>
        <c:axId val="208156544"/>
        <c:axId val="208158080"/>
      </c:barChart>
      <c:catAx>
        <c:axId val="208156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208158080"/>
        <c:crosses val="autoZero"/>
        <c:auto val="1"/>
        <c:lblAlgn val="ctr"/>
        <c:lblOffset val="100"/>
        <c:noMultiLvlLbl val="0"/>
      </c:catAx>
      <c:valAx>
        <c:axId val="208158080"/>
        <c:scaling>
          <c:orientation val="minMax"/>
        </c:scaling>
        <c:delete val="1"/>
        <c:axPos val="l"/>
        <c:majorGridlines>
          <c:spPr>
            <a:ln w="9525" cap="flat" cmpd="sng" algn="ctr">
              <a:solidFill>
                <a:schemeClr val="tx1">
                  <a:lumMod val="15000"/>
                  <a:lumOff val="85000"/>
                </a:schemeClr>
              </a:solidFill>
              <a:round/>
            </a:ln>
            <a:effectLst/>
          </c:spPr>
        </c:majorGridlines>
        <c:numFmt formatCode="0.0_)\x;\(0.0\)\x" sourceLinked="1"/>
        <c:majorTickMark val="none"/>
        <c:minorTickMark val="none"/>
        <c:tickLblPos val="nextTo"/>
        <c:crossAx val="208156544"/>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overlay val="0"/>
      <c:spPr>
        <a:noFill/>
        <a:ln>
          <a:noFill/>
        </a:ln>
        <a:effectLst/>
      </c:spPr>
      <c:txPr>
        <a:bodyPr rot="0" spcFirstLastPara="1" vertOverflow="ellipsis" vert="horz" wrap="square" anchor="ctr" anchorCtr="1"/>
        <a:lstStyle/>
        <a:p>
          <a:pPr>
            <a:defRPr sz="1000" b="1" i="0" u="none" strike="noStrike" kern="1200" spc="0" baseline="0">
              <a:solidFill>
                <a:sysClr val="windowText" lastClr="000000"/>
              </a:solidFill>
              <a:latin typeface="+mn-lt"/>
              <a:ea typeface="+mn-ea"/>
              <a:cs typeface="+mn-cs"/>
            </a:defRPr>
          </a:pPr>
          <a:endParaRPr lang="en-US"/>
        </a:p>
      </c:txPr>
    </c:title>
    <c:autoTitleDeleted val="0"/>
    <c:plotArea>
      <c:layout/>
      <c:pieChart>
        <c:varyColors val="1"/>
        <c:ser>
          <c:idx val="0"/>
          <c:order val="0"/>
          <c:tx>
            <c:strRef>
              <c:f>'Comparable - changed weights'!$N$6</c:f>
              <c:strCache>
                <c:ptCount val="1"/>
                <c:pt idx="0">
                  <c:v>Weights</c:v>
                </c:pt>
              </c:strCache>
            </c:strRef>
          </c:tx>
          <c:dPt>
            <c:idx val="0"/>
            <c:bubble3D val="0"/>
            <c:spPr>
              <a:solidFill>
                <a:schemeClr val="accent2">
                  <a:shade val="53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6581-478F-8C55-33F66CD562F9}"/>
              </c:ext>
            </c:extLst>
          </c:dPt>
          <c:dPt>
            <c:idx val="1"/>
            <c:bubble3D val="0"/>
            <c:spPr>
              <a:solidFill>
                <a:schemeClr val="accent2">
                  <a:shade val="76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6581-478F-8C55-33F66CD562F9}"/>
              </c:ext>
            </c:extLst>
          </c:dPt>
          <c:dPt>
            <c:idx val="2"/>
            <c:bubble3D val="0"/>
            <c:spPr>
              <a:solidFill>
                <a:schemeClr val="accent2"/>
              </a:solidFill>
              <a:ln w="19050">
                <a:solidFill>
                  <a:schemeClr val="lt1"/>
                </a:solidFill>
              </a:ln>
              <a:effectLst/>
            </c:spPr>
            <c:extLst xmlns:c16r2="http://schemas.microsoft.com/office/drawing/2015/06/chart">
              <c:ext xmlns:c16="http://schemas.microsoft.com/office/drawing/2014/chart" uri="{C3380CC4-5D6E-409C-BE32-E72D297353CC}">
                <c16:uniqueId val="{00000005-6581-478F-8C55-33F66CD562F9}"/>
              </c:ext>
            </c:extLst>
          </c:dPt>
          <c:dPt>
            <c:idx val="3"/>
            <c:bubble3D val="0"/>
            <c:spPr>
              <a:solidFill>
                <a:schemeClr val="accent2">
                  <a:tint val="77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24FC-4DD0-A635-94D1FD53B74C}"/>
              </c:ext>
            </c:extLst>
          </c:dPt>
          <c:dPt>
            <c:idx val="4"/>
            <c:bubble3D val="0"/>
            <c:spPr>
              <a:solidFill>
                <a:schemeClr val="accent2">
                  <a:tint val="54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9-6581-478F-8C55-33F66CD562F9}"/>
              </c:ext>
            </c:extLst>
          </c:dPt>
          <c:dLbls>
            <c:dLbl>
              <c:idx val="3"/>
              <c:layout>
                <c:manualLayout>
                  <c:x val="-9.7168197725284344E-2"/>
                  <c:y val="-0.14674103237095354"/>
                </c:manualLayout>
              </c:layout>
              <c:dLblPos val="bestFit"/>
              <c:showLegendKey val="0"/>
              <c:showVal val="1"/>
              <c:showCatName val="1"/>
              <c:showSerName val="0"/>
              <c:showPercent val="0"/>
              <c:showBubbleSize val="0"/>
              <c:separator> </c:separator>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24FC-4DD0-A635-94D1FD53B74C}"/>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bestFit"/>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('Comparable - changed weights'!$K$10,'Comparable - changed weights'!$K$14,'Comparable - changed weights'!$K$18,'Comparable - changed weights'!$K$22,'Comparable - changed weights'!$K$26)</c:f>
              <c:strCache>
                <c:ptCount val="5"/>
                <c:pt idx="0">
                  <c:v>EPS</c:v>
                </c:pt>
                <c:pt idx="1">
                  <c:v>Rev/Share</c:v>
                </c:pt>
                <c:pt idx="2">
                  <c:v>BV/Share</c:v>
                </c:pt>
                <c:pt idx="3">
                  <c:v>Earnings Growth</c:v>
                </c:pt>
                <c:pt idx="4">
                  <c:v>EBITDA/Share</c:v>
                </c:pt>
              </c:strCache>
            </c:strRef>
          </c:cat>
          <c:val>
            <c:numRef>
              <c:f>('Comparable - changed weights'!$N$11,'Comparable - changed weights'!$N$15,'Comparable - changed weights'!$N$19,'Comparable - changed weights'!$N$23,'Comparable - changed weights'!$N$27)</c:f>
              <c:numCache>
                <c:formatCode>#0.0_)%;\(#0.0\)%</c:formatCode>
                <c:ptCount val="5"/>
                <c:pt idx="0">
                  <c:v>0.15</c:v>
                </c:pt>
                <c:pt idx="1">
                  <c:v>0.15</c:v>
                </c:pt>
                <c:pt idx="2">
                  <c:v>0.4</c:v>
                </c:pt>
                <c:pt idx="3">
                  <c:v>0.1</c:v>
                </c:pt>
                <c:pt idx="4">
                  <c:v>0.2</c:v>
                </c:pt>
              </c:numCache>
            </c:numRef>
          </c:val>
          <c:extLst xmlns:c16r2="http://schemas.microsoft.com/office/drawing/2015/06/chart">
            <c:ext xmlns:c16="http://schemas.microsoft.com/office/drawing/2014/chart" uri="{C3380CC4-5D6E-409C-BE32-E72D297353CC}">
              <c16:uniqueId val="{00000000-24FC-4DD0-A635-94D1FD53B74C}"/>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000" b="1" i="0" u="none" strike="noStrike" kern="1200" spc="0" baseline="0">
              <a:solidFill>
                <a:sysClr val="windowText" lastClr="000000"/>
              </a:solidFill>
              <a:latin typeface="+mn-lt"/>
              <a:ea typeface="+mn-ea"/>
              <a:cs typeface="+mn-cs"/>
            </a:defRPr>
          </a:pPr>
          <a:endParaRPr lang="en-US"/>
        </a:p>
      </c:txPr>
    </c:title>
    <c:autoTitleDeleted val="0"/>
    <c:plotArea>
      <c:layout/>
      <c:barChart>
        <c:barDir val="col"/>
        <c:grouping val="clustered"/>
        <c:varyColors val="0"/>
        <c:ser>
          <c:idx val="0"/>
          <c:order val="0"/>
          <c:tx>
            <c:strRef>
              <c:f>'Comparable - unchanged weights'!$B$8</c:f>
              <c:strCache>
                <c:ptCount val="1"/>
                <c:pt idx="0">
                  <c:v>Market Cap ($BN):</c:v>
                </c:pt>
              </c:strCache>
            </c:strRef>
          </c:tx>
          <c:spPr>
            <a:solidFill>
              <a:schemeClr val="accent2"/>
            </a:solidFill>
            <a:ln>
              <a:noFill/>
            </a:ln>
            <a:effectLst/>
          </c:spPr>
          <c:invertIfNegative val="0"/>
          <c:dPt>
            <c:idx val="1"/>
            <c:invertIfNegative val="0"/>
            <c:bubble3D val="0"/>
            <c:spPr>
              <a:solidFill>
                <a:schemeClr val="accent3"/>
              </a:solidFill>
              <a:ln>
                <a:noFill/>
              </a:ln>
              <a:effectLst/>
            </c:spPr>
            <c:extLst xmlns:c16r2="http://schemas.microsoft.com/office/drawing/2015/06/chart">
              <c:ext xmlns:c16="http://schemas.microsoft.com/office/drawing/2014/chart" uri="{C3380CC4-5D6E-409C-BE32-E72D297353CC}">
                <c16:uniqueId val="{00000001-4BE2-40DE-BDB2-FAA38A976AD3}"/>
              </c:ext>
            </c:extLst>
          </c:dPt>
          <c:dPt>
            <c:idx val="2"/>
            <c:invertIfNegative val="0"/>
            <c:bubble3D val="0"/>
            <c:spPr>
              <a:solidFill>
                <a:schemeClr val="accent3"/>
              </a:solidFill>
              <a:ln>
                <a:noFill/>
              </a:ln>
              <a:effectLst/>
            </c:spPr>
            <c:extLst xmlns:c16r2="http://schemas.microsoft.com/office/drawing/2015/06/chart">
              <c:ext xmlns:c16="http://schemas.microsoft.com/office/drawing/2014/chart" uri="{C3380CC4-5D6E-409C-BE32-E72D297353CC}">
                <c16:uniqueId val="{00000003-4BE2-40DE-BDB2-FAA38A976AD3}"/>
              </c:ext>
            </c:extLst>
          </c:dPt>
          <c:dPt>
            <c:idx val="3"/>
            <c:invertIfNegative val="0"/>
            <c:bubble3D val="0"/>
            <c:spPr>
              <a:solidFill>
                <a:schemeClr val="accent3"/>
              </a:solidFill>
              <a:ln>
                <a:noFill/>
              </a:ln>
              <a:effectLst/>
            </c:spPr>
            <c:extLst xmlns:c16r2="http://schemas.microsoft.com/office/drawing/2015/06/chart">
              <c:ext xmlns:c16="http://schemas.microsoft.com/office/drawing/2014/chart" uri="{C3380CC4-5D6E-409C-BE32-E72D297353CC}">
                <c16:uniqueId val="{00000005-4BE2-40DE-BDB2-FAA38A976AD3}"/>
              </c:ext>
            </c:extLst>
          </c:dPt>
          <c:dPt>
            <c:idx val="4"/>
            <c:invertIfNegative val="0"/>
            <c:bubble3D val="0"/>
            <c:spPr>
              <a:solidFill>
                <a:schemeClr val="accent3"/>
              </a:solidFill>
              <a:ln>
                <a:noFill/>
              </a:ln>
              <a:effectLst/>
            </c:spPr>
            <c:extLst xmlns:c16r2="http://schemas.microsoft.com/office/drawing/2015/06/chart">
              <c:ext xmlns:c16="http://schemas.microsoft.com/office/drawing/2014/chart" uri="{C3380CC4-5D6E-409C-BE32-E72D297353CC}">
                <c16:uniqueId val="{00000007-4BE2-40DE-BDB2-FAA38A976AD3}"/>
              </c:ext>
            </c:extLst>
          </c:dPt>
          <c:dPt>
            <c:idx val="5"/>
            <c:invertIfNegative val="0"/>
            <c:bubble3D val="0"/>
            <c:spPr>
              <a:solidFill>
                <a:schemeClr val="accent3"/>
              </a:solidFill>
              <a:ln>
                <a:noFill/>
              </a:ln>
              <a:effectLst/>
            </c:spPr>
            <c:extLst xmlns:c16r2="http://schemas.microsoft.com/office/drawing/2015/06/chart">
              <c:ext xmlns:c16="http://schemas.microsoft.com/office/drawing/2014/chart" uri="{C3380CC4-5D6E-409C-BE32-E72D297353CC}">
                <c16:uniqueId val="{00000009-4BE2-40DE-BDB2-FAA38A976AD3}"/>
              </c:ext>
            </c:extLst>
          </c:dPt>
          <c:dPt>
            <c:idx val="6"/>
            <c:invertIfNegative val="0"/>
            <c:bubble3D val="0"/>
            <c:spPr>
              <a:solidFill>
                <a:schemeClr val="accent3"/>
              </a:solidFill>
              <a:ln>
                <a:noFill/>
              </a:ln>
              <a:effectLst/>
            </c:spPr>
            <c:extLst xmlns:c16r2="http://schemas.microsoft.com/office/drawing/2015/06/chart">
              <c:ext xmlns:c16="http://schemas.microsoft.com/office/drawing/2014/chart" uri="{C3380CC4-5D6E-409C-BE32-E72D297353CC}">
                <c16:uniqueId val="{0000000B-4BE2-40DE-BDB2-FAA38A976AD3}"/>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'Comparable - unchanged weights'!$C$6:$I$6</c:f>
              <c:strCache>
                <c:ptCount val="7"/>
                <c:pt idx="0">
                  <c:v>RHT</c:v>
                </c:pt>
                <c:pt idx="1">
                  <c:v>VMW</c:v>
                </c:pt>
                <c:pt idx="2">
                  <c:v>NOW</c:v>
                </c:pt>
                <c:pt idx="3">
                  <c:v>WDAY</c:v>
                </c:pt>
                <c:pt idx="4">
                  <c:v>DATA</c:v>
                </c:pt>
                <c:pt idx="5">
                  <c:v>ORCL</c:v>
                </c:pt>
                <c:pt idx="6">
                  <c:v>CTXS</c:v>
                </c:pt>
              </c:strCache>
            </c:strRef>
          </c:cat>
          <c:val>
            <c:numRef>
              <c:f>'Comparable - unchanged weights'!$C$8:$I$8</c:f>
              <c:numCache>
                <c:formatCode>_(* #,##0.00_);_(* \(#,##0.00\);_(* "-"??_);_(@_)</c:formatCode>
                <c:ptCount val="7"/>
                <c:pt idx="0">
                  <c:v>13983.8583</c:v>
                </c:pt>
                <c:pt idx="1">
                  <c:v>36.49</c:v>
                </c:pt>
                <c:pt idx="2">
                  <c:v>15.02</c:v>
                </c:pt>
                <c:pt idx="3">
                  <c:v>17.100000000000001</c:v>
                </c:pt>
                <c:pt idx="4">
                  <c:v>4.12</c:v>
                </c:pt>
                <c:pt idx="5">
                  <c:v>164.5</c:v>
                </c:pt>
                <c:pt idx="6">
                  <c:v>11.9</c:v>
                </c:pt>
              </c:numCache>
            </c:numRef>
          </c:val>
          <c:extLst xmlns:c16r2="http://schemas.microsoft.com/office/drawing/2015/06/chart">
            <c:ext xmlns:c16="http://schemas.microsoft.com/office/drawing/2014/chart" uri="{C3380CC4-5D6E-409C-BE32-E72D297353CC}">
              <c16:uniqueId val="{0000000C-4BE2-40DE-BDB2-FAA38A976AD3}"/>
            </c:ext>
          </c:extLst>
        </c:ser>
        <c:dLbls>
          <c:dLblPos val="outEnd"/>
          <c:showLegendKey val="0"/>
          <c:showVal val="1"/>
          <c:showCatName val="0"/>
          <c:showSerName val="0"/>
          <c:showPercent val="0"/>
          <c:showBubbleSize val="0"/>
        </c:dLbls>
        <c:gapWidth val="219"/>
        <c:overlap val="-27"/>
        <c:axId val="206550912"/>
        <c:axId val="206560256"/>
      </c:barChart>
      <c:catAx>
        <c:axId val="206550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206560256"/>
        <c:crosses val="autoZero"/>
        <c:auto val="1"/>
        <c:lblAlgn val="ctr"/>
        <c:lblOffset val="100"/>
        <c:noMultiLvlLbl val="0"/>
      </c:catAx>
      <c:valAx>
        <c:axId val="206560256"/>
        <c:scaling>
          <c:orientation val="minMax"/>
        </c:scaling>
        <c:delete val="1"/>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crossAx val="206550912"/>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'Comparable - unchanged weights'!$B$15</c:f>
          <c:strCache>
            <c:ptCount val="1"/>
            <c:pt idx="0">
              <c:v>P/S (ttm)</c:v>
            </c:pt>
          </c:strCache>
        </c:strRef>
      </c:tx>
      <c:overlay val="0"/>
      <c:spPr>
        <a:noFill/>
        <a:ln>
          <a:noFill/>
        </a:ln>
        <a:effectLst/>
      </c:spPr>
      <c:txPr>
        <a:bodyPr rot="0" spcFirstLastPara="1" vertOverflow="ellipsis" vert="horz" wrap="square" anchor="ctr" anchorCtr="1"/>
        <a:lstStyle/>
        <a:p>
          <a:pPr>
            <a:defRPr sz="1000" b="1" i="0" u="none" strike="noStrike" kern="1200" spc="0" baseline="0">
              <a:solidFill>
                <a:sysClr val="windowText" lastClr="000000"/>
              </a:solidFill>
              <a:latin typeface="+mn-lt"/>
              <a:ea typeface="+mn-ea"/>
              <a:cs typeface="+mn-cs"/>
            </a:defRPr>
          </a:pPr>
          <a:endParaRPr lang="en-US"/>
        </a:p>
      </c:txPr>
    </c:title>
    <c:autoTitleDeleted val="0"/>
    <c:plotArea>
      <c:layout/>
      <c:barChart>
        <c:barDir val="col"/>
        <c:grouping val="clustered"/>
        <c:varyColors val="0"/>
        <c:ser>
          <c:idx val="0"/>
          <c:order val="0"/>
          <c:tx>
            <c:strRef>
              <c:f>'Comparable - unchanged weights'!$B$15</c:f>
              <c:strCache>
                <c:ptCount val="1"/>
                <c:pt idx="0">
                  <c:v>P/S (ttm)</c:v>
                </c:pt>
              </c:strCache>
            </c:strRef>
          </c:tx>
          <c:spPr>
            <a:solidFill>
              <a:schemeClr val="accent3"/>
            </a:solidFill>
            <a:ln>
              <a:noFill/>
            </a:ln>
            <a:effectLst/>
          </c:spPr>
          <c:invertIfNegative val="0"/>
          <c:dPt>
            <c:idx val="0"/>
            <c:invertIfNegative val="0"/>
            <c:bubble3D val="0"/>
            <c:spPr>
              <a:solidFill>
                <a:schemeClr val="accent2"/>
              </a:solidFill>
              <a:ln>
                <a:noFill/>
              </a:ln>
              <a:effectLst/>
            </c:spPr>
            <c:extLst xmlns:c16r2="http://schemas.microsoft.com/office/drawing/2015/06/chart">
              <c:ext xmlns:c16="http://schemas.microsoft.com/office/drawing/2014/chart" uri="{C3380CC4-5D6E-409C-BE32-E72D297353CC}">
                <c16:uniqueId val="{00000001-A008-41C4-9B59-6F23C92FA36B}"/>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'Comparable - unchanged weights'!$C$6:$I$6</c:f>
              <c:strCache>
                <c:ptCount val="7"/>
                <c:pt idx="0">
                  <c:v>RHT</c:v>
                </c:pt>
                <c:pt idx="1">
                  <c:v>VMW</c:v>
                </c:pt>
                <c:pt idx="2">
                  <c:v>NOW</c:v>
                </c:pt>
                <c:pt idx="3">
                  <c:v>WDAY</c:v>
                </c:pt>
                <c:pt idx="4">
                  <c:v>DATA</c:v>
                </c:pt>
                <c:pt idx="5">
                  <c:v>ORCL</c:v>
                </c:pt>
                <c:pt idx="6">
                  <c:v>CTXS</c:v>
                </c:pt>
              </c:strCache>
            </c:strRef>
          </c:cat>
          <c:val>
            <c:numRef>
              <c:f>'Comparable - unchanged weights'!$C$15:$I$15</c:f>
              <c:numCache>
                <c:formatCode>0.0_)\x;\(0.0\)\x</c:formatCode>
                <c:ptCount val="7"/>
                <c:pt idx="0">
                  <c:v>5.99</c:v>
                </c:pt>
                <c:pt idx="1">
                  <c:v>5.15</c:v>
                </c:pt>
                <c:pt idx="2">
                  <c:v>10.8</c:v>
                </c:pt>
                <c:pt idx="3">
                  <c:v>56.91</c:v>
                </c:pt>
                <c:pt idx="4">
                  <c:v>4.9800000000000004</c:v>
                </c:pt>
                <c:pt idx="5">
                  <c:v>4.42</c:v>
                </c:pt>
                <c:pt idx="6">
                  <c:v>3.48</c:v>
                </c:pt>
              </c:numCache>
            </c:numRef>
          </c:val>
          <c:extLst xmlns:c16r2="http://schemas.microsoft.com/office/drawing/2015/06/chart">
            <c:ext xmlns:c16="http://schemas.microsoft.com/office/drawing/2014/chart" uri="{C3380CC4-5D6E-409C-BE32-E72D297353CC}">
              <c16:uniqueId val="{00000002-A008-41C4-9B59-6F23C92FA36B}"/>
            </c:ext>
          </c:extLst>
        </c:ser>
        <c:dLbls>
          <c:showLegendKey val="0"/>
          <c:showVal val="0"/>
          <c:showCatName val="0"/>
          <c:showSerName val="0"/>
          <c:showPercent val="0"/>
          <c:showBubbleSize val="0"/>
        </c:dLbls>
        <c:gapWidth val="219"/>
        <c:overlap val="-27"/>
        <c:axId val="208294272"/>
        <c:axId val="208295808"/>
      </c:barChart>
      <c:catAx>
        <c:axId val="208294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208295808"/>
        <c:crosses val="autoZero"/>
        <c:auto val="1"/>
        <c:lblAlgn val="ctr"/>
        <c:lblOffset val="100"/>
        <c:noMultiLvlLbl val="0"/>
      </c:catAx>
      <c:valAx>
        <c:axId val="208295808"/>
        <c:scaling>
          <c:orientation val="minMax"/>
        </c:scaling>
        <c:delete val="1"/>
        <c:axPos val="l"/>
        <c:majorGridlines>
          <c:spPr>
            <a:ln w="9525" cap="flat" cmpd="sng" algn="ctr">
              <a:solidFill>
                <a:schemeClr val="tx1">
                  <a:lumMod val="15000"/>
                  <a:lumOff val="85000"/>
                </a:schemeClr>
              </a:solidFill>
              <a:round/>
            </a:ln>
            <a:effectLst/>
          </c:spPr>
        </c:majorGridlines>
        <c:numFmt formatCode="0.0_)\x;\(0.0\)\x" sourceLinked="1"/>
        <c:majorTickMark val="none"/>
        <c:minorTickMark val="none"/>
        <c:tickLblPos val="nextTo"/>
        <c:crossAx val="208294272"/>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'Comparable - unchanged weights'!$B$19</c:f>
          <c:strCache>
            <c:ptCount val="1"/>
            <c:pt idx="0">
              <c:v>P/BV (mrq)</c:v>
            </c:pt>
          </c:strCache>
        </c:strRef>
      </c:tx>
      <c:overlay val="0"/>
      <c:spPr>
        <a:noFill/>
        <a:ln>
          <a:noFill/>
        </a:ln>
        <a:effectLst/>
      </c:spPr>
      <c:txPr>
        <a:bodyPr rot="0" spcFirstLastPara="1" vertOverflow="ellipsis" vert="horz" wrap="square" anchor="ctr" anchorCtr="1"/>
        <a:lstStyle/>
        <a:p>
          <a:pPr>
            <a:defRPr sz="1000" b="1" i="0" u="none" strike="noStrike" kern="1200" spc="0" baseline="0">
              <a:solidFill>
                <a:sysClr val="windowText" lastClr="000000"/>
              </a:solidFill>
              <a:latin typeface="+mn-lt"/>
              <a:ea typeface="+mn-ea"/>
              <a:cs typeface="+mn-cs"/>
            </a:defRPr>
          </a:pPr>
          <a:endParaRPr lang="en-US"/>
        </a:p>
      </c:txPr>
    </c:title>
    <c:autoTitleDeleted val="0"/>
    <c:plotArea>
      <c:layout/>
      <c:barChart>
        <c:barDir val="col"/>
        <c:grouping val="clustered"/>
        <c:varyColors val="0"/>
        <c:ser>
          <c:idx val="0"/>
          <c:order val="0"/>
          <c:tx>
            <c:strRef>
              <c:f>'Comparable - unchanged weights'!$B$19</c:f>
              <c:strCache>
                <c:ptCount val="1"/>
                <c:pt idx="0">
                  <c:v>P/BV (mrq)</c:v>
                </c:pt>
              </c:strCache>
            </c:strRef>
          </c:tx>
          <c:spPr>
            <a:solidFill>
              <a:schemeClr val="accent3"/>
            </a:solidFill>
            <a:ln>
              <a:noFill/>
            </a:ln>
            <a:effectLst/>
          </c:spPr>
          <c:invertIfNegative val="0"/>
          <c:dPt>
            <c:idx val="0"/>
            <c:invertIfNegative val="0"/>
            <c:bubble3D val="0"/>
            <c:spPr>
              <a:solidFill>
                <a:schemeClr val="accent2"/>
              </a:solidFill>
              <a:ln>
                <a:noFill/>
              </a:ln>
              <a:effectLst/>
            </c:spPr>
            <c:extLst xmlns:c16r2="http://schemas.microsoft.com/office/drawing/2015/06/chart">
              <c:ext xmlns:c16="http://schemas.microsoft.com/office/drawing/2014/chart" uri="{C3380CC4-5D6E-409C-BE32-E72D297353CC}">
                <c16:uniqueId val="{00000001-F312-4721-89E2-7B7695396826}"/>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'Comparable - unchanged weights'!$C$6:$I$6</c:f>
              <c:strCache>
                <c:ptCount val="7"/>
                <c:pt idx="0">
                  <c:v>RHT</c:v>
                </c:pt>
                <c:pt idx="1">
                  <c:v>VMW</c:v>
                </c:pt>
                <c:pt idx="2">
                  <c:v>NOW</c:v>
                </c:pt>
                <c:pt idx="3">
                  <c:v>WDAY</c:v>
                </c:pt>
                <c:pt idx="4">
                  <c:v>DATA</c:v>
                </c:pt>
                <c:pt idx="5">
                  <c:v>ORCL</c:v>
                </c:pt>
                <c:pt idx="6">
                  <c:v>CTXS</c:v>
                </c:pt>
              </c:strCache>
            </c:strRef>
          </c:cat>
          <c:val>
            <c:numRef>
              <c:f>'Comparable - unchanged weights'!$C$19:$I$19</c:f>
              <c:numCache>
                <c:formatCode>0.0_)\x;\(0.0\)\x</c:formatCode>
                <c:ptCount val="7"/>
                <c:pt idx="0">
                  <c:v>10.65</c:v>
                </c:pt>
                <c:pt idx="1">
                  <c:v>4.55</c:v>
                </c:pt>
                <c:pt idx="2">
                  <c:v>41.44</c:v>
                </c:pt>
                <c:pt idx="3">
                  <c:v>11.78</c:v>
                </c:pt>
                <c:pt idx="4">
                  <c:v>5.37</c:v>
                </c:pt>
                <c:pt idx="5">
                  <c:v>3.47</c:v>
                </c:pt>
                <c:pt idx="6">
                  <c:v>5.05</c:v>
                </c:pt>
              </c:numCache>
            </c:numRef>
          </c:val>
          <c:extLst xmlns:c16r2="http://schemas.microsoft.com/office/drawing/2015/06/chart">
            <c:ext xmlns:c16="http://schemas.microsoft.com/office/drawing/2014/chart" uri="{C3380CC4-5D6E-409C-BE32-E72D297353CC}">
              <c16:uniqueId val="{00000002-F312-4721-89E2-7B7695396826}"/>
            </c:ext>
          </c:extLst>
        </c:ser>
        <c:dLbls>
          <c:showLegendKey val="0"/>
          <c:showVal val="0"/>
          <c:showCatName val="0"/>
          <c:showSerName val="0"/>
          <c:showPercent val="0"/>
          <c:showBubbleSize val="0"/>
        </c:dLbls>
        <c:gapWidth val="219"/>
        <c:overlap val="-27"/>
        <c:axId val="208329728"/>
        <c:axId val="208339712"/>
      </c:barChart>
      <c:catAx>
        <c:axId val="208329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208339712"/>
        <c:crosses val="autoZero"/>
        <c:auto val="1"/>
        <c:lblAlgn val="ctr"/>
        <c:lblOffset val="100"/>
        <c:noMultiLvlLbl val="0"/>
      </c:catAx>
      <c:valAx>
        <c:axId val="208339712"/>
        <c:scaling>
          <c:orientation val="minMax"/>
        </c:scaling>
        <c:delete val="1"/>
        <c:axPos val="l"/>
        <c:majorGridlines>
          <c:spPr>
            <a:ln w="9525" cap="flat" cmpd="sng" algn="ctr">
              <a:solidFill>
                <a:schemeClr val="tx1">
                  <a:lumMod val="15000"/>
                  <a:lumOff val="85000"/>
                </a:schemeClr>
              </a:solidFill>
              <a:round/>
            </a:ln>
            <a:effectLst/>
          </c:spPr>
        </c:majorGridlines>
        <c:numFmt formatCode="0.0_)\x;\(0.0\)\x" sourceLinked="1"/>
        <c:majorTickMark val="none"/>
        <c:minorTickMark val="none"/>
        <c:tickLblPos val="nextTo"/>
        <c:crossAx val="20832972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'Comparable - unchanged weights'!$B$23</c:f>
          <c:strCache>
            <c:ptCount val="1"/>
            <c:pt idx="0">
              <c:v>PEG (5 yr expected)</c:v>
            </c:pt>
          </c:strCache>
        </c:strRef>
      </c:tx>
      <c:overlay val="0"/>
      <c:spPr>
        <a:noFill/>
        <a:ln>
          <a:noFill/>
        </a:ln>
        <a:effectLst/>
      </c:spPr>
      <c:txPr>
        <a:bodyPr rot="0" spcFirstLastPara="1" vertOverflow="ellipsis" vert="horz" wrap="square" anchor="ctr" anchorCtr="1"/>
        <a:lstStyle/>
        <a:p>
          <a:pPr>
            <a:defRPr sz="1000" b="1" i="0" u="none" strike="noStrike" kern="1200" spc="0" baseline="0">
              <a:solidFill>
                <a:sysClr val="windowText" lastClr="000000"/>
              </a:solidFill>
              <a:latin typeface="+mn-lt"/>
              <a:ea typeface="+mn-ea"/>
              <a:cs typeface="+mn-cs"/>
            </a:defRPr>
          </a:pPr>
          <a:endParaRPr lang="en-US"/>
        </a:p>
      </c:txPr>
    </c:title>
    <c:autoTitleDeleted val="0"/>
    <c:plotArea>
      <c:layout/>
      <c:barChart>
        <c:barDir val="col"/>
        <c:grouping val="clustered"/>
        <c:varyColors val="0"/>
        <c:ser>
          <c:idx val="0"/>
          <c:order val="0"/>
          <c:tx>
            <c:strRef>
              <c:f>'Comparable - unchanged weights'!$B$23</c:f>
              <c:strCache>
                <c:ptCount val="1"/>
                <c:pt idx="0">
                  <c:v>PEG (5 yr expected)</c:v>
                </c:pt>
              </c:strCache>
            </c:strRef>
          </c:tx>
          <c:spPr>
            <a:solidFill>
              <a:schemeClr val="accent3"/>
            </a:solidFill>
            <a:ln>
              <a:noFill/>
            </a:ln>
            <a:effectLst/>
          </c:spPr>
          <c:invertIfNegative val="0"/>
          <c:dPt>
            <c:idx val="0"/>
            <c:invertIfNegative val="0"/>
            <c:bubble3D val="0"/>
            <c:spPr>
              <a:solidFill>
                <a:schemeClr val="accent2"/>
              </a:solidFill>
              <a:ln>
                <a:noFill/>
              </a:ln>
              <a:effectLst/>
            </c:spPr>
            <c:extLst xmlns:c16r2="http://schemas.microsoft.com/office/drawing/2015/06/chart">
              <c:ext xmlns:c16="http://schemas.microsoft.com/office/drawing/2014/chart" uri="{C3380CC4-5D6E-409C-BE32-E72D297353CC}">
                <c16:uniqueId val="{00000001-4877-4748-AFCE-51C79A5251D9}"/>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'Comparable - unchanged weights'!$C$6:$I$6</c:f>
              <c:strCache>
                <c:ptCount val="7"/>
                <c:pt idx="0">
                  <c:v>RHT</c:v>
                </c:pt>
                <c:pt idx="1">
                  <c:v>VMW</c:v>
                </c:pt>
                <c:pt idx="2">
                  <c:v>NOW</c:v>
                </c:pt>
                <c:pt idx="3">
                  <c:v>WDAY</c:v>
                </c:pt>
                <c:pt idx="4">
                  <c:v>DATA</c:v>
                </c:pt>
                <c:pt idx="5">
                  <c:v>ORCL</c:v>
                </c:pt>
                <c:pt idx="6">
                  <c:v>CTXS</c:v>
                </c:pt>
              </c:strCache>
            </c:strRef>
          </c:cat>
          <c:val>
            <c:numRef>
              <c:f>'Comparable - unchanged weights'!$C$23:$I$23</c:f>
              <c:numCache>
                <c:formatCode>_(* #,##0.00_);_(* \(#,##0.00\);_(* "-"??_);_(@_)</c:formatCode>
                <c:ptCount val="7"/>
                <c:pt idx="0">
                  <c:v>2.1800000000000002</c:v>
                </c:pt>
                <c:pt idx="1">
                  <c:v>1.91</c:v>
                </c:pt>
                <c:pt idx="2">
                  <c:v>1.91</c:v>
                </c:pt>
                <c:pt idx="3">
                  <c:v>15.09</c:v>
                </c:pt>
                <c:pt idx="4">
                  <c:v>259.97000000000003</c:v>
                </c:pt>
                <c:pt idx="5">
                  <c:v>1.85</c:v>
                </c:pt>
                <c:pt idx="6">
                  <c:v>1.37</c:v>
                </c:pt>
              </c:numCache>
            </c:numRef>
          </c:val>
          <c:extLst xmlns:c16r2="http://schemas.microsoft.com/office/drawing/2015/06/chart">
            <c:ext xmlns:c16="http://schemas.microsoft.com/office/drawing/2014/chart" uri="{C3380CC4-5D6E-409C-BE32-E72D297353CC}">
              <c16:uniqueId val="{00000002-4877-4748-AFCE-51C79A5251D9}"/>
            </c:ext>
          </c:extLst>
        </c:ser>
        <c:dLbls>
          <c:showLegendKey val="0"/>
          <c:showVal val="0"/>
          <c:showCatName val="0"/>
          <c:showSerName val="0"/>
          <c:showPercent val="0"/>
          <c:showBubbleSize val="0"/>
        </c:dLbls>
        <c:gapWidth val="219"/>
        <c:overlap val="-27"/>
        <c:axId val="208373632"/>
        <c:axId val="208375168"/>
      </c:barChart>
      <c:catAx>
        <c:axId val="208373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208375168"/>
        <c:crosses val="autoZero"/>
        <c:auto val="1"/>
        <c:lblAlgn val="ctr"/>
        <c:lblOffset val="100"/>
        <c:noMultiLvlLbl val="0"/>
      </c:catAx>
      <c:valAx>
        <c:axId val="208375168"/>
        <c:scaling>
          <c:orientation val="minMax"/>
        </c:scaling>
        <c:delete val="1"/>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crossAx val="208373632"/>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'Comparable - unchanged weights'!$B$27</c:f>
          <c:strCache>
            <c:ptCount val="1"/>
            <c:pt idx="0">
              <c:v>EV/EBITDA (ttm)</c:v>
            </c:pt>
          </c:strCache>
        </c:strRef>
      </c:tx>
      <c:overlay val="0"/>
      <c:spPr>
        <a:noFill/>
        <a:ln>
          <a:noFill/>
        </a:ln>
        <a:effectLst/>
      </c:spPr>
      <c:txPr>
        <a:bodyPr rot="0" spcFirstLastPara="1" vertOverflow="ellipsis" vert="horz" wrap="square" anchor="ctr" anchorCtr="1"/>
        <a:lstStyle/>
        <a:p>
          <a:pPr>
            <a:defRPr sz="1000" b="1" i="0" u="none" strike="noStrike" kern="1200" spc="0" baseline="0">
              <a:solidFill>
                <a:sysClr val="windowText" lastClr="000000"/>
              </a:solidFill>
              <a:latin typeface="+mn-lt"/>
              <a:ea typeface="+mn-ea"/>
              <a:cs typeface="+mn-cs"/>
            </a:defRPr>
          </a:pPr>
          <a:endParaRPr lang="en-US"/>
        </a:p>
      </c:txPr>
    </c:title>
    <c:autoTitleDeleted val="0"/>
    <c:plotArea>
      <c:layout/>
      <c:barChart>
        <c:barDir val="col"/>
        <c:grouping val="clustered"/>
        <c:varyColors val="0"/>
        <c:ser>
          <c:idx val="0"/>
          <c:order val="0"/>
          <c:tx>
            <c:strRef>
              <c:f>'Comparable - unchanged weights'!$B$27</c:f>
              <c:strCache>
                <c:ptCount val="1"/>
                <c:pt idx="0">
                  <c:v>EV/EBITDA (ttm)</c:v>
                </c:pt>
              </c:strCache>
            </c:strRef>
          </c:tx>
          <c:spPr>
            <a:solidFill>
              <a:schemeClr val="accent3"/>
            </a:solidFill>
            <a:ln>
              <a:noFill/>
            </a:ln>
            <a:effectLst/>
          </c:spPr>
          <c:invertIfNegative val="0"/>
          <c:dPt>
            <c:idx val="0"/>
            <c:invertIfNegative val="0"/>
            <c:bubble3D val="0"/>
            <c:spPr>
              <a:solidFill>
                <a:schemeClr val="accent2"/>
              </a:solidFill>
              <a:ln>
                <a:noFill/>
              </a:ln>
              <a:effectLst/>
            </c:spPr>
            <c:extLst xmlns:c16r2="http://schemas.microsoft.com/office/drawing/2015/06/chart">
              <c:ext xmlns:c16="http://schemas.microsoft.com/office/drawing/2014/chart" uri="{C3380CC4-5D6E-409C-BE32-E72D297353CC}">
                <c16:uniqueId val="{00000001-5583-47BE-8AD2-D81D3F48445D}"/>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'Comparable - unchanged weights'!$C$6:$I$6</c:f>
              <c:strCache>
                <c:ptCount val="7"/>
                <c:pt idx="0">
                  <c:v>RHT</c:v>
                </c:pt>
                <c:pt idx="1">
                  <c:v>VMW</c:v>
                </c:pt>
                <c:pt idx="2">
                  <c:v>NOW</c:v>
                </c:pt>
                <c:pt idx="3">
                  <c:v>WDAY</c:v>
                </c:pt>
                <c:pt idx="4">
                  <c:v>DATA</c:v>
                </c:pt>
                <c:pt idx="5">
                  <c:v>ORCL</c:v>
                </c:pt>
                <c:pt idx="6">
                  <c:v>CTXS</c:v>
                </c:pt>
              </c:strCache>
            </c:strRef>
          </c:cat>
          <c:val>
            <c:numRef>
              <c:f>'Comparable - unchanged weights'!$C$27:$I$27</c:f>
              <c:numCache>
                <c:formatCode>0.0_)\x;\(0.0\)\x</c:formatCode>
                <c:ptCount val="7"/>
                <c:pt idx="0">
                  <c:v>33.619999999999997</c:v>
                </c:pt>
                <c:pt idx="1">
                  <c:v>16.05</c:v>
                </c:pt>
                <c:pt idx="2">
                  <c:v>-213.94</c:v>
                </c:pt>
                <c:pt idx="3">
                  <c:v>-65.540000000000006</c:v>
                </c:pt>
                <c:pt idx="4">
                  <c:v>-33.42</c:v>
                </c:pt>
                <c:pt idx="5">
                  <c:v>11</c:v>
                </c:pt>
                <c:pt idx="6">
                  <c:v>11.04</c:v>
                </c:pt>
              </c:numCache>
            </c:numRef>
          </c:val>
          <c:extLst xmlns:c16r2="http://schemas.microsoft.com/office/drawing/2015/06/chart">
            <c:ext xmlns:c16="http://schemas.microsoft.com/office/drawing/2014/chart" uri="{C3380CC4-5D6E-409C-BE32-E72D297353CC}">
              <c16:uniqueId val="{00000002-5583-47BE-8AD2-D81D3F48445D}"/>
            </c:ext>
          </c:extLst>
        </c:ser>
        <c:dLbls>
          <c:showLegendKey val="0"/>
          <c:showVal val="0"/>
          <c:showCatName val="0"/>
          <c:showSerName val="0"/>
          <c:showPercent val="0"/>
          <c:showBubbleSize val="0"/>
        </c:dLbls>
        <c:gapWidth val="219"/>
        <c:overlap val="-27"/>
        <c:axId val="208691968"/>
        <c:axId val="208693504"/>
      </c:barChart>
      <c:catAx>
        <c:axId val="208691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208693504"/>
        <c:crosses val="autoZero"/>
        <c:auto val="1"/>
        <c:lblAlgn val="ctr"/>
        <c:lblOffset val="100"/>
        <c:noMultiLvlLbl val="0"/>
      </c:catAx>
      <c:valAx>
        <c:axId val="208693504"/>
        <c:scaling>
          <c:orientation val="minMax"/>
        </c:scaling>
        <c:delete val="1"/>
        <c:axPos val="l"/>
        <c:majorGridlines>
          <c:spPr>
            <a:ln w="9525" cap="flat" cmpd="sng" algn="ctr">
              <a:solidFill>
                <a:schemeClr val="tx1">
                  <a:lumMod val="15000"/>
                  <a:lumOff val="85000"/>
                </a:schemeClr>
              </a:solidFill>
              <a:round/>
            </a:ln>
            <a:effectLst/>
          </c:spPr>
        </c:majorGridlines>
        <c:numFmt formatCode="0.0_)\x;\(0.0\)\x" sourceLinked="1"/>
        <c:majorTickMark val="none"/>
        <c:minorTickMark val="none"/>
        <c:tickLblPos val="nextTo"/>
        <c:crossAx val="20869196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1" i="0" u="none" strike="noStrike" kern="1200" spc="0" baseline="0">
                <a:solidFill>
                  <a:sysClr val="windowText" lastClr="000000"/>
                </a:solidFill>
                <a:latin typeface="+mn-lt"/>
                <a:ea typeface="+mn-ea"/>
                <a:cs typeface="+mn-cs"/>
              </a:defRPr>
            </a:pPr>
            <a:r>
              <a:rPr lang="en-US" sz="1000" b="1">
                <a:solidFill>
                  <a:sysClr val="windowText" lastClr="000000"/>
                </a:solidFill>
              </a:rPr>
              <a:t>P/E (ttm)</a:t>
            </a:r>
          </a:p>
        </c:rich>
      </c:tx>
      <c:overlay val="0"/>
      <c:spPr>
        <a:noFill/>
        <a:ln>
          <a:noFill/>
        </a:ln>
        <a:effectLst/>
      </c:spPr>
    </c:title>
    <c:autoTitleDeleted val="0"/>
    <c:plotArea>
      <c:layout/>
      <c:barChart>
        <c:barDir val="col"/>
        <c:grouping val="clustered"/>
        <c:varyColors val="0"/>
        <c:ser>
          <c:idx val="0"/>
          <c:order val="0"/>
          <c:tx>
            <c:strRef>
              <c:f>'Comparable - unchanged weights'!$B$11</c:f>
              <c:strCache>
                <c:ptCount val="1"/>
                <c:pt idx="0">
                  <c:v>P/E (ttm)</c:v>
                </c:pt>
              </c:strCache>
            </c:strRef>
          </c:tx>
          <c:spPr>
            <a:solidFill>
              <a:schemeClr val="accent3"/>
            </a:solidFill>
            <a:ln>
              <a:noFill/>
            </a:ln>
            <a:effectLst/>
          </c:spPr>
          <c:invertIfNegative val="0"/>
          <c:dPt>
            <c:idx val="0"/>
            <c:invertIfNegative val="0"/>
            <c:bubble3D val="0"/>
            <c:spPr>
              <a:solidFill>
                <a:schemeClr val="accent2"/>
              </a:solidFill>
              <a:ln>
                <a:noFill/>
              </a:ln>
              <a:effectLst/>
            </c:spPr>
            <c:extLst xmlns:c16r2="http://schemas.microsoft.com/office/drawing/2015/06/chart">
              <c:ext xmlns:c16="http://schemas.microsoft.com/office/drawing/2014/chart" uri="{C3380CC4-5D6E-409C-BE32-E72D297353CC}">
                <c16:uniqueId val="{00000001-FB52-42EC-801C-052E573ABCC3}"/>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'Comparable - unchanged weights'!$C$6:$I$6</c:f>
              <c:strCache>
                <c:ptCount val="7"/>
                <c:pt idx="0">
                  <c:v>RHT</c:v>
                </c:pt>
                <c:pt idx="1">
                  <c:v>VMW</c:v>
                </c:pt>
                <c:pt idx="2">
                  <c:v>NOW</c:v>
                </c:pt>
                <c:pt idx="3">
                  <c:v>WDAY</c:v>
                </c:pt>
                <c:pt idx="4">
                  <c:v>DATA</c:v>
                </c:pt>
                <c:pt idx="5">
                  <c:v>ORCL</c:v>
                </c:pt>
                <c:pt idx="6">
                  <c:v>CTXS</c:v>
                </c:pt>
              </c:strCache>
            </c:strRef>
          </c:cat>
          <c:val>
            <c:numRef>
              <c:f>'Comparable - unchanged weights'!$C$11:$I$11</c:f>
              <c:numCache>
                <c:formatCode>0.0_)\x;\(0.0\)\x</c:formatCode>
                <c:ptCount val="7"/>
                <c:pt idx="0">
                  <c:v>65.790000000000006</c:v>
                </c:pt>
                <c:pt idx="1">
                  <c:v>33.97</c:v>
                </c:pt>
                <c:pt idx="2">
                  <c:v>-32.26</c:v>
                </c:pt>
                <c:pt idx="3">
                  <c:v>-43.58</c:v>
                </c:pt>
                <c:pt idx="4">
                  <c:v>-23.33</c:v>
                </c:pt>
                <c:pt idx="5">
                  <c:v>19.05</c:v>
                </c:pt>
                <c:pt idx="6">
                  <c:v>25.51</c:v>
                </c:pt>
              </c:numCache>
            </c:numRef>
          </c:val>
          <c:extLst xmlns:c16r2="http://schemas.microsoft.com/office/drawing/2015/06/chart">
            <c:ext xmlns:c16="http://schemas.microsoft.com/office/drawing/2014/chart" uri="{C3380CC4-5D6E-409C-BE32-E72D297353CC}">
              <c16:uniqueId val="{00000002-FB52-42EC-801C-052E573ABCC3}"/>
            </c:ext>
          </c:extLst>
        </c:ser>
        <c:dLbls>
          <c:showLegendKey val="0"/>
          <c:showVal val="0"/>
          <c:showCatName val="0"/>
          <c:showSerName val="0"/>
          <c:showPercent val="0"/>
          <c:showBubbleSize val="0"/>
        </c:dLbls>
        <c:gapWidth val="219"/>
        <c:overlap val="-27"/>
        <c:axId val="208727424"/>
        <c:axId val="208471168"/>
      </c:barChart>
      <c:catAx>
        <c:axId val="208727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208471168"/>
        <c:crosses val="autoZero"/>
        <c:auto val="1"/>
        <c:lblAlgn val="ctr"/>
        <c:lblOffset val="100"/>
        <c:noMultiLvlLbl val="0"/>
      </c:catAx>
      <c:valAx>
        <c:axId val="208471168"/>
        <c:scaling>
          <c:orientation val="minMax"/>
        </c:scaling>
        <c:delete val="1"/>
        <c:axPos val="l"/>
        <c:majorGridlines>
          <c:spPr>
            <a:ln w="9525" cap="flat" cmpd="sng" algn="ctr">
              <a:solidFill>
                <a:schemeClr val="tx1">
                  <a:lumMod val="15000"/>
                  <a:lumOff val="85000"/>
                </a:schemeClr>
              </a:solidFill>
              <a:round/>
            </a:ln>
            <a:effectLst/>
          </c:spPr>
        </c:majorGridlines>
        <c:numFmt formatCode="0.0_)\x;\(0.0\)\x" sourceLinked="1"/>
        <c:majorTickMark val="none"/>
        <c:minorTickMark val="none"/>
        <c:tickLblPos val="nextTo"/>
        <c:crossAx val="208727424"/>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overlay val="0"/>
      <c:spPr>
        <a:noFill/>
        <a:ln>
          <a:noFill/>
        </a:ln>
        <a:effectLst/>
      </c:spPr>
      <c:txPr>
        <a:bodyPr rot="0" spcFirstLastPara="1" vertOverflow="ellipsis" vert="horz" wrap="square" anchor="ctr" anchorCtr="1"/>
        <a:lstStyle/>
        <a:p>
          <a:pPr>
            <a:defRPr sz="1000" b="1" i="0" u="none" strike="noStrike" kern="1200" spc="0" baseline="0">
              <a:solidFill>
                <a:sysClr val="windowText" lastClr="000000"/>
              </a:solidFill>
              <a:latin typeface="+mn-lt"/>
              <a:ea typeface="+mn-ea"/>
              <a:cs typeface="+mn-cs"/>
            </a:defRPr>
          </a:pPr>
          <a:endParaRPr lang="en-US"/>
        </a:p>
      </c:txPr>
    </c:title>
    <c:autoTitleDeleted val="0"/>
    <c:plotArea>
      <c:layout/>
      <c:pieChart>
        <c:varyColors val="1"/>
        <c:ser>
          <c:idx val="0"/>
          <c:order val="0"/>
          <c:tx>
            <c:strRef>
              <c:f>'Comparable - unchanged weights'!$N$6</c:f>
              <c:strCache>
                <c:ptCount val="1"/>
                <c:pt idx="0">
                  <c:v>Weights</c:v>
                </c:pt>
              </c:strCache>
            </c:strRef>
          </c:tx>
          <c:dPt>
            <c:idx val="0"/>
            <c:bubble3D val="0"/>
            <c:spPr>
              <a:solidFill>
                <a:schemeClr val="accent2">
                  <a:shade val="53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6581-478F-8C55-33F66CD562F9}"/>
              </c:ext>
            </c:extLst>
          </c:dPt>
          <c:dPt>
            <c:idx val="1"/>
            <c:bubble3D val="0"/>
            <c:spPr>
              <a:solidFill>
                <a:schemeClr val="accent2">
                  <a:shade val="76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6581-478F-8C55-33F66CD562F9}"/>
              </c:ext>
            </c:extLst>
          </c:dPt>
          <c:dPt>
            <c:idx val="2"/>
            <c:bubble3D val="0"/>
            <c:spPr>
              <a:solidFill>
                <a:schemeClr val="accent2"/>
              </a:solidFill>
              <a:ln w="19050">
                <a:solidFill>
                  <a:schemeClr val="lt1"/>
                </a:solidFill>
              </a:ln>
              <a:effectLst/>
            </c:spPr>
            <c:extLst xmlns:c16r2="http://schemas.microsoft.com/office/drawing/2015/06/chart">
              <c:ext xmlns:c16="http://schemas.microsoft.com/office/drawing/2014/chart" uri="{C3380CC4-5D6E-409C-BE32-E72D297353CC}">
                <c16:uniqueId val="{00000005-6581-478F-8C55-33F66CD562F9}"/>
              </c:ext>
            </c:extLst>
          </c:dPt>
          <c:dPt>
            <c:idx val="3"/>
            <c:bubble3D val="0"/>
            <c:spPr>
              <a:solidFill>
                <a:schemeClr val="accent2">
                  <a:tint val="77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24FC-4DD0-A635-94D1FD53B74C}"/>
              </c:ext>
            </c:extLst>
          </c:dPt>
          <c:dPt>
            <c:idx val="4"/>
            <c:bubble3D val="0"/>
            <c:spPr>
              <a:solidFill>
                <a:schemeClr val="accent2">
                  <a:tint val="54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9-6581-478F-8C55-33F66CD562F9}"/>
              </c:ext>
            </c:extLst>
          </c:dPt>
          <c:dLbls>
            <c:dLbl>
              <c:idx val="3"/>
              <c:layout>
                <c:manualLayout>
                  <c:x val="-9.7168197725284344E-2"/>
                  <c:y val="-0.14674103237095354"/>
                </c:manualLayout>
              </c:layout>
              <c:dLblPos val="bestFit"/>
              <c:showLegendKey val="0"/>
              <c:showVal val="1"/>
              <c:showCatName val="1"/>
              <c:showSerName val="0"/>
              <c:showPercent val="0"/>
              <c:showBubbleSize val="0"/>
              <c:separator> </c:separator>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24FC-4DD0-A635-94D1FD53B74C}"/>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bestFit"/>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('Comparable - unchanged weights'!$K$10,'Comparable - unchanged weights'!$K$14,'Comparable - unchanged weights'!$K$18,'Comparable - unchanged weights'!$K$22,'Comparable - unchanged weights'!$K$26)</c:f>
              <c:strCache>
                <c:ptCount val="5"/>
                <c:pt idx="0">
                  <c:v>EPS</c:v>
                </c:pt>
                <c:pt idx="1">
                  <c:v>Rev/Share</c:v>
                </c:pt>
                <c:pt idx="2">
                  <c:v>BV/Share</c:v>
                </c:pt>
                <c:pt idx="3">
                  <c:v>Earnings Growth</c:v>
                </c:pt>
                <c:pt idx="4">
                  <c:v>EBITDA/Share</c:v>
                </c:pt>
              </c:strCache>
            </c:strRef>
          </c:cat>
          <c:val>
            <c:numRef>
              <c:f>('Comparable - unchanged weights'!$N$11,'Comparable - unchanged weights'!$N$15,'Comparable - unchanged weights'!$N$19,'Comparable - unchanged weights'!$N$23,'Comparable - unchanged weights'!$N$27)</c:f>
              <c:numCache>
                <c:formatCode>#0.0_)%;\(#0.0\)%</c:formatCode>
                <c:ptCount val="5"/>
                <c:pt idx="0">
                  <c:v>0.2</c:v>
                </c:pt>
                <c:pt idx="1">
                  <c:v>0.2</c:v>
                </c:pt>
                <c:pt idx="2">
                  <c:v>0.5</c:v>
                </c:pt>
                <c:pt idx="3">
                  <c:v>0</c:v>
                </c:pt>
                <c:pt idx="4">
                  <c:v>0.1</c:v>
                </c:pt>
              </c:numCache>
            </c:numRef>
          </c:val>
          <c:extLst xmlns:c16r2="http://schemas.microsoft.com/office/drawing/2015/06/chart">
            <c:ext xmlns:c16="http://schemas.microsoft.com/office/drawing/2014/chart" uri="{C3380CC4-5D6E-409C-BE32-E72D297353CC}">
              <c16:uniqueId val="{00000000-24FC-4DD0-A635-94D1FD53B74C}"/>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Market Correlation</a:t>
            </a:r>
          </a:p>
        </c:rich>
      </c:tx>
      <c:overlay val="0"/>
    </c:title>
    <c:autoTitleDeleted val="0"/>
    <c:plotArea>
      <c:layout/>
      <c:scatterChart>
        <c:scatterStyle val="lineMarker"/>
        <c:varyColors val="0"/>
        <c:ser>
          <c:idx val="0"/>
          <c:order val="0"/>
          <c:tx>
            <c:strRef>
              <c:f>Beta!$B$4</c:f>
              <c:strCache>
                <c:ptCount val="1"/>
                <c:pt idx="0">
                  <c:v>Beta Regression (Monthly)</c:v>
                </c:pt>
              </c:strCache>
            </c:strRef>
          </c:tx>
          <c:spPr>
            <a:ln w="19050">
              <a:noFill/>
            </a:ln>
          </c:spPr>
          <c:marker>
            <c:spPr>
              <a:solidFill>
                <a:schemeClr val="accent2"/>
              </a:solidFill>
              <a:ln>
                <a:solidFill>
                  <a:schemeClr val="accent2"/>
                </a:solidFill>
              </a:ln>
            </c:spPr>
          </c:marker>
          <c:trendline>
            <c:spPr>
              <a:ln w="25400"/>
            </c:spPr>
            <c:trendlineType val="linear"/>
            <c:dispRSqr val="0"/>
            <c:dispEq val="0"/>
          </c:trendline>
          <c:xVal>
            <c:numRef>
              <c:f>Beta!$F$8:$F$2000</c:f>
              <c:numCache>
                <c:formatCode>#0.0_)%;\(#0.0\)%</c:formatCode>
                <c:ptCount val="1993"/>
                <c:pt idx="0">
                  <c:v>1.7884358171464498E-2</c:v>
                </c:pt>
                <c:pt idx="1">
                  <c:v>1.8200762196895148E-2</c:v>
                </c:pt>
                <c:pt idx="2">
                  <c:v>3.4174522187570444E-2</c:v>
                </c:pt>
                <c:pt idx="3">
                  <c:v>-1.9425679279557517E-2</c:v>
                </c:pt>
                <c:pt idx="4">
                  <c:v>-1.2344508443253854E-3</c:v>
                </c:pt>
                <c:pt idx="5">
                  <c:v>-1.2192431360480427E-3</c:v>
                </c:pt>
                <c:pt idx="6">
                  <c:v>3.5609801125254359E-2</c:v>
                </c:pt>
                <c:pt idx="7">
                  <c:v>9.1092112097812539E-4</c:v>
                </c:pt>
                <c:pt idx="8">
                  <c:v>1.5324602357572603E-2</c:v>
                </c:pt>
                <c:pt idx="9">
                  <c:v>2.6993984808731941E-3</c:v>
                </c:pt>
                <c:pt idx="10">
                  <c:v>6.5991114577365062E-2</c:v>
                </c:pt>
                <c:pt idx="11">
                  <c:v>-4.1283604302990717E-3</c:v>
                </c:pt>
                <c:pt idx="12">
                  <c:v>-5.073532197294639E-2</c:v>
                </c:pt>
                <c:pt idx="13">
                  <c:v>-1.7530185176314439E-2</c:v>
                </c:pt>
                <c:pt idx="14">
                  <c:v>5.0486926072412786E-4</c:v>
                </c:pt>
                <c:pt idx="15">
                  <c:v>8.2983117760394132E-2</c:v>
                </c:pt>
                <c:pt idx="16">
                  <c:v>-2.6442831573227132E-2</c:v>
                </c:pt>
                <c:pt idx="17">
                  <c:v>-6.2580818167202845E-2</c:v>
                </c:pt>
                <c:pt idx="18">
                  <c:v>1.9742029696721453E-2</c:v>
                </c:pt>
                <c:pt idx="19">
                  <c:v>-2.1011672375900514E-2</c:v>
                </c:pt>
                <c:pt idx="20">
                  <c:v>1.0491382393316817E-2</c:v>
                </c:pt>
                <c:pt idx="21">
                  <c:v>8.5208197301247512E-3</c:v>
                </c:pt>
                <c:pt idx="22">
                  <c:v>-1.739610691375626E-2</c:v>
                </c:pt>
                <c:pt idx="23">
                  <c:v>5.4892511014553946E-2</c:v>
                </c:pt>
                <c:pt idx="24">
                  <c:v>-3.1040805790470194E-2</c:v>
                </c:pt>
                <c:pt idx="25">
                  <c:v>-4.1885878779204244E-3</c:v>
                </c:pt>
                <c:pt idx="26">
                  <c:v>2.4533588760364822E-2</c:v>
                </c:pt>
                <c:pt idx="27">
                  <c:v>2.3201460786772321E-2</c:v>
                </c:pt>
                <c:pt idx="28">
                  <c:v>-1.5513837223063764E-2</c:v>
                </c:pt>
                <c:pt idx="29">
                  <c:v>3.7655295489735119E-2</c:v>
                </c:pt>
                <c:pt idx="30">
                  <c:v>-1.5079830581919862E-2</c:v>
                </c:pt>
                <c:pt idx="31">
                  <c:v>1.9058331658920569E-2</c:v>
                </c:pt>
                <c:pt idx="32">
                  <c:v>2.1030280012996005E-2</c:v>
                </c:pt>
                <c:pt idx="33">
                  <c:v>6.2007889650528281E-3</c:v>
                </c:pt>
                <c:pt idx="34">
                  <c:v>6.9321656079357474E-3</c:v>
                </c:pt>
                <c:pt idx="35">
                  <c:v>4.3117029976595278E-2</c:v>
                </c:pt>
                <c:pt idx="36">
                  <c:v>-3.5582905675162646E-2</c:v>
                </c:pt>
                <c:pt idx="37">
                  <c:v>2.356279155049279E-2</c:v>
                </c:pt>
                <c:pt idx="38">
                  <c:v>2.8049471635186451E-2</c:v>
                </c:pt>
                <c:pt idx="39">
                  <c:v>4.4595752618006079E-2</c:v>
                </c:pt>
                <c:pt idx="40">
                  <c:v>2.9749523177239112E-2</c:v>
                </c:pt>
                <c:pt idx="41">
                  <c:v>-3.1298019033866864E-2</c:v>
                </c:pt>
                <c:pt idx="42">
                  <c:v>4.9462079815224991E-2</c:v>
                </c:pt>
                <c:pt idx="43">
                  <c:v>-1.4999301636062778E-2</c:v>
                </c:pt>
                <c:pt idx="44">
                  <c:v>2.0762811721046104E-2</c:v>
                </c:pt>
                <c:pt idx="45">
                  <c:v>1.8085767859252311E-2</c:v>
                </c:pt>
                <c:pt idx="46">
                  <c:v>3.5987723516956116E-2</c:v>
                </c:pt>
                <c:pt idx="47">
                  <c:v>1.1060649195259176E-2</c:v>
                </c:pt>
                <c:pt idx="48">
                  <c:v>5.0428096519578469E-2</c:v>
                </c:pt>
                <c:pt idx="49">
                  <c:v>7.068230463864511E-3</c:v>
                </c:pt>
                <c:pt idx="50">
                  <c:v>2.8467170173434031E-3</c:v>
                </c:pt>
                <c:pt idx="51">
                  <c:v>-1.9789409878227415E-2</c:v>
                </c:pt>
                <c:pt idx="52">
                  <c:v>2.4236153696477025E-2</c:v>
                </c:pt>
                <c:pt idx="53">
                  <c:v>1.9763369680148246E-2</c:v>
                </c:pt>
                <c:pt idx="54">
                  <c:v>1.2597574126154365E-2</c:v>
                </c:pt>
                <c:pt idx="55">
                  <c:v>3.9554982134591521E-2</c:v>
                </c:pt>
                <c:pt idx="56">
                  <c:v>-6.265072563317764E-2</c:v>
                </c:pt>
                <c:pt idx="57">
                  <c:v>-7.4974527092703802E-3</c:v>
                </c:pt>
                <c:pt idx="58">
                  <c:v>3.1332314530530647E-2</c:v>
                </c:pt>
              </c:numCache>
            </c:numRef>
          </c:xVal>
          <c:yVal>
            <c:numRef>
              <c:f>Beta!$D$8:$D$2000</c:f>
              <c:numCache>
                <c:formatCode>#0.0_)%;\(#0.0\)%</c:formatCode>
                <c:ptCount val="1993"/>
                <c:pt idx="0">
                  <c:v>8.8665714002828633E-2</c:v>
                </c:pt>
                <c:pt idx="1">
                  <c:v>-0.11894834889459804</c:v>
                </c:pt>
                <c:pt idx="2">
                  <c:v>2.1433235174947773E-2</c:v>
                </c:pt>
                <c:pt idx="3">
                  <c:v>-4.181621819086434E-2</c:v>
                </c:pt>
                <c:pt idx="4">
                  <c:v>0.10756369796257736</c:v>
                </c:pt>
                <c:pt idx="5">
                  <c:v>-3.0681338415708193E-2</c:v>
                </c:pt>
                <c:pt idx="6">
                  <c:v>3.7052383940836986E-2</c:v>
                </c:pt>
                <c:pt idx="7">
                  <c:v>-6.2742074138162574E-2</c:v>
                </c:pt>
                <c:pt idx="8">
                  <c:v>5.5744798047779875E-2</c:v>
                </c:pt>
                <c:pt idx="9">
                  <c:v>-1.5299945905249079E-2</c:v>
                </c:pt>
                <c:pt idx="10">
                  <c:v>0.14016838990568914</c:v>
                </c:pt>
                <c:pt idx="11">
                  <c:v>-6.7095000695431839E-2</c:v>
                </c:pt>
                <c:pt idx="12">
                  <c:v>-0.15408761391347925</c:v>
                </c:pt>
                <c:pt idx="13">
                  <c:v>1.7196830011210862E-2</c:v>
                </c:pt>
                <c:pt idx="14">
                  <c:v>2.9073479597099272E-2</c:v>
                </c:pt>
                <c:pt idx="15">
                  <c:v>0.10058436702494578</c:v>
                </c:pt>
                <c:pt idx="16">
                  <c:v>-4.5700319148320734E-3</c:v>
                </c:pt>
                <c:pt idx="17">
                  <c:v>-8.687408733247115E-2</c:v>
                </c:pt>
                <c:pt idx="18">
                  <c:v>4.1485605162649541E-2</c:v>
                </c:pt>
                <c:pt idx="19">
                  <c:v>-1.7341750382104948E-2</c:v>
                </c:pt>
                <c:pt idx="20">
                  <c:v>2.6707347151013971E-2</c:v>
                </c:pt>
                <c:pt idx="21">
                  <c:v>-6.4686204620462151E-3</c:v>
                </c:pt>
                <c:pt idx="22">
                  <c:v>9.5920091322912793E-2</c:v>
                </c:pt>
                <c:pt idx="23">
                  <c:v>8.355544625246214E-2</c:v>
                </c:pt>
                <c:pt idx="24">
                  <c:v>-7.7379202739068731E-2</c:v>
                </c:pt>
                <c:pt idx="25">
                  <c:v>0.11246977916428702</c:v>
                </c:pt>
                <c:pt idx="26">
                  <c:v>5.4820164793624171E-2</c:v>
                </c:pt>
                <c:pt idx="27">
                  <c:v>4.9332073042490654E-2</c:v>
                </c:pt>
                <c:pt idx="28">
                  <c:v>-7.8299345971744816E-2</c:v>
                </c:pt>
                <c:pt idx="29">
                  <c:v>4.8176170822026299E-2</c:v>
                </c:pt>
                <c:pt idx="30">
                  <c:v>5.1565026234847045E-2</c:v>
                </c:pt>
                <c:pt idx="31">
                  <c:v>0.10275341386180004</c:v>
                </c:pt>
                <c:pt idx="32">
                  <c:v>3.0215764431006598E-2</c:v>
                </c:pt>
                <c:pt idx="33">
                  <c:v>-8.172891657229131E-2</c:v>
                </c:pt>
                <c:pt idx="34">
                  <c:v>-0.10188170530999474</c:v>
                </c:pt>
                <c:pt idx="35">
                  <c:v>4.40708318584071E-2</c:v>
                </c:pt>
                <c:pt idx="36">
                  <c:v>8.2084045644468251E-3</c:v>
                </c:pt>
                <c:pt idx="37">
                  <c:v>0.19615802331517695</c:v>
                </c:pt>
                <c:pt idx="38">
                  <c:v>8.2736260688698771E-2</c:v>
                </c:pt>
                <c:pt idx="39">
                  <c:v>-6.2201973606458072E-2</c:v>
                </c:pt>
                <c:pt idx="40">
                  <c:v>-8.6698357086302469E-2</c:v>
                </c:pt>
                <c:pt idx="41">
                  <c:v>-2.414525787135402E-2</c:v>
                </c:pt>
                <c:pt idx="42">
                  <c:v>8.2601421999163538E-2</c:v>
                </c:pt>
                <c:pt idx="43">
                  <c:v>-8.5009330292348251E-3</c:v>
                </c:pt>
                <c:pt idx="44">
                  <c:v>6.2591278948465057E-3</c:v>
                </c:pt>
                <c:pt idx="45">
                  <c:v>-5.2017423812946495E-2</c:v>
                </c:pt>
                <c:pt idx="46">
                  <c:v>-4.9202911844067332E-3</c:v>
                </c:pt>
                <c:pt idx="47">
                  <c:v>-8.5493159008402486E-2</c:v>
                </c:pt>
                <c:pt idx="48">
                  <c:v>4.9093694280470057E-2</c:v>
                </c:pt>
                <c:pt idx="49">
                  <c:v>7.206471368159062E-2</c:v>
                </c:pt>
                <c:pt idx="50">
                  <c:v>4.6777305136356251E-3</c:v>
                </c:pt>
                <c:pt idx="51">
                  <c:v>-0.13645945093887335</c:v>
                </c:pt>
                <c:pt idx="52">
                  <c:v>1.6059921198074312E-2</c:v>
                </c:pt>
                <c:pt idx="53">
                  <c:v>4.4353354453969374E-2</c:v>
                </c:pt>
                <c:pt idx="54">
                  <c:v>-4.992917847025502E-2</c:v>
                </c:pt>
                <c:pt idx="55">
                  <c:v>9.926039121719743E-2</c:v>
                </c:pt>
                <c:pt idx="56">
                  <c:v>-0.13806408089139266</c:v>
                </c:pt>
                <c:pt idx="57">
                  <c:v>-4.675204619723039E-3</c:v>
                </c:pt>
                <c:pt idx="58">
                  <c:v>0.21087748101248449</c:v>
                </c:pt>
              </c:numCache>
            </c:numRef>
          </c:yVal>
          <c:smooth val="0"/>
          <c:extLst xmlns:c16r2="http://schemas.microsoft.com/office/drawing/2015/06/chart">
            <c:ext xmlns:c16="http://schemas.microsoft.com/office/drawing/2014/chart" uri="{C3380CC4-5D6E-409C-BE32-E72D297353CC}">
              <c16:uniqueId val="{00000000-6BBC-4F75-8081-7F4D91ABA1F9}"/>
            </c:ext>
          </c:extLst>
        </c:ser>
        <c:dLbls>
          <c:showLegendKey val="0"/>
          <c:showVal val="0"/>
          <c:showCatName val="0"/>
          <c:showSerName val="0"/>
          <c:showPercent val="0"/>
          <c:showBubbleSize val="0"/>
        </c:dLbls>
        <c:axId val="208541568"/>
        <c:axId val="208547840"/>
      </c:scatterChart>
      <c:valAx>
        <c:axId val="208541568"/>
        <c:scaling>
          <c:orientation val="minMax"/>
        </c:scaling>
        <c:delete val="0"/>
        <c:axPos val="b"/>
        <c:title>
          <c:tx>
            <c:rich>
              <a:bodyPr/>
              <a:lstStyle/>
              <a:p>
                <a:pPr>
                  <a:defRPr sz="1400"/>
                </a:pPr>
                <a:r>
                  <a:rPr lang="en-US" sz="1400"/>
                  <a:t>S&amp;P 500 Change</a:t>
                </a:r>
              </a:p>
            </c:rich>
          </c:tx>
          <c:layout>
            <c:manualLayout>
              <c:xMode val="edge"/>
              <c:yMode val="edge"/>
              <c:x val="0.30816521245655099"/>
              <c:y val="0.87921299913846596"/>
            </c:manualLayout>
          </c:layout>
          <c:overlay val="0"/>
        </c:title>
        <c:numFmt formatCode="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08547840"/>
        <c:crosses val="autoZero"/>
        <c:crossBetween val="midCat"/>
      </c:valAx>
      <c:valAx>
        <c:axId val="208547840"/>
        <c:scaling>
          <c:orientation val="minMax"/>
        </c:scaling>
        <c:delete val="0"/>
        <c:axPos val="l"/>
        <c:title>
          <c:tx>
            <c:rich>
              <a:bodyPr rot="-5400000" vert="horz"/>
              <a:lstStyle/>
              <a:p>
                <a:pPr>
                  <a:defRPr sz="1400"/>
                </a:pPr>
                <a:r>
                  <a:rPr lang="en-US" sz="1400"/>
                  <a:t>MYL Change</a:t>
                </a:r>
              </a:p>
            </c:rich>
          </c:tx>
          <c:layout>
            <c:manualLayout>
              <c:xMode val="edge"/>
              <c:yMode val="edge"/>
              <c:x val="1.38891253458183E-2"/>
              <c:y val="0.31532962005703502"/>
            </c:manualLayout>
          </c:layout>
          <c:overlay val="0"/>
        </c:title>
        <c:numFmt formatCode="0%" sourceLinked="0"/>
        <c:majorTickMark val="out"/>
        <c:minorTickMark val="none"/>
        <c:tickLblPos val="nextTo"/>
        <c:crossAx val="208541568"/>
        <c:crosses val="autoZero"/>
        <c:crossBetween val="midCat"/>
      </c:valAx>
      <c:spPr>
        <a:ln>
          <a:noFill/>
        </a:ln>
      </c:spPr>
    </c:plotArea>
    <c:plotVisOnly val="1"/>
    <c:dispBlanksAs val="gap"/>
    <c:showDLblsOverMax val="0"/>
  </c:chart>
  <c:spPr>
    <a:ln>
      <a:noFill/>
    </a:ln>
  </c:spPr>
  <c:printSettings>
    <c:headerFooter/>
    <c:pageMargins b="0.750000000000004" l="0.70000000000000095" r="0.70000000000000095" t="0.750000000000004"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Market Correlation</a:t>
            </a:r>
          </a:p>
        </c:rich>
      </c:tx>
      <c:overlay val="0"/>
    </c:title>
    <c:autoTitleDeleted val="0"/>
    <c:plotArea>
      <c:layout/>
      <c:scatterChart>
        <c:scatterStyle val="lineMarker"/>
        <c:varyColors val="0"/>
        <c:ser>
          <c:idx val="0"/>
          <c:order val="0"/>
          <c:tx>
            <c:strRef>
              <c:f>Beta!$L$4</c:f>
              <c:strCache>
                <c:ptCount val="1"/>
                <c:pt idx="0">
                  <c:v>Beta Regression (Weekly)</c:v>
                </c:pt>
              </c:strCache>
            </c:strRef>
          </c:tx>
          <c:spPr>
            <a:ln w="19050">
              <a:noFill/>
            </a:ln>
          </c:spPr>
          <c:marker>
            <c:spPr>
              <a:solidFill>
                <a:schemeClr val="accent2"/>
              </a:solidFill>
              <a:ln>
                <a:solidFill>
                  <a:schemeClr val="accent2"/>
                </a:solidFill>
              </a:ln>
            </c:spPr>
          </c:marker>
          <c:trendline>
            <c:spPr>
              <a:ln w="25400"/>
            </c:spPr>
            <c:trendlineType val="linear"/>
            <c:dispRSqr val="0"/>
            <c:dispEq val="0"/>
          </c:trendline>
          <c:xVal>
            <c:numRef>
              <c:f>Beta!$P$8:$P$2000</c:f>
              <c:numCache>
                <c:formatCode>#0.0_)%;\(#0.0\)%</c:formatCode>
                <c:ptCount val="1993"/>
                <c:pt idx="0">
                  <c:v>1.1896949349115005E-3</c:v>
                </c:pt>
                <c:pt idx="1">
                  <c:v>1.029356688108618E-2</c:v>
                </c:pt>
                <c:pt idx="2">
                  <c:v>-1.4638950148757601E-3</c:v>
                </c:pt>
                <c:pt idx="3">
                  <c:v>-1.0277152283086899E-3</c:v>
                </c:pt>
                <c:pt idx="4">
                  <c:v>1.7040106069184269E-2</c:v>
                </c:pt>
                <c:pt idx="5">
                  <c:v>-1.1025740271843332E-2</c:v>
                </c:pt>
                <c:pt idx="6">
                  <c:v>2.5331237861303535E-3</c:v>
                </c:pt>
                <c:pt idx="7">
                  <c:v>-6.4613480735464801E-4</c:v>
                </c:pt>
                <c:pt idx="8">
                  <c:v>3.0831031506521889E-2</c:v>
                </c:pt>
                <c:pt idx="9">
                  <c:v>-9.6686678801231052E-3</c:v>
                </c:pt>
                <c:pt idx="10">
                  <c:v>1.4414133284103237E-2</c:v>
                </c:pt>
                <c:pt idx="11">
                  <c:v>8.062071840440499E-3</c:v>
                </c:pt>
                <c:pt idx="12">
                  <c:v>3.8015913055507111E-2</c:v>
                </c:pt>
                <c:pt idx="13">
                  <c:v>-1.9389478842873342E-2</c:v>
                </c:pt>
                <c:pt idx="14">
                  <c:v>-6.8887895375466801E-3</c:v>
                </c:pt>
                <c:pt idx="15">
                  <c:v>3.8349783292386252E-3</c:v>
                </c:pt>
                <c:pt idx="16">
                  <c:v>-9.639051183703895E-3</c:v>
                </c:pt>
                <c:pt idx="17">
                  <c:v>-6.7012087359856753E-3</c:v>
                </c:pt>
                <c:pt idx="18">
                  <c:v>1.6538530217153902E-3</c:v>
                </c:pt>
                <c:pt idx="19">
                  <c:v>1.1934605195611958E-2</c:v>
                </c:pt>
                <c:pt idx="20">
                  <c:v>5.33405364449413E-3</c:v>
                </c:pt>
                <c:pt idx="21">
                  <c:v>-2.3931376195482357E-2</c:v>
                </c:pt>
                <c:pt idx="22">
                  <c:v>5.0436786796448363E-3</c:v>
                </c:pt>
                <c:pt idx="23">
                  <c:v>-6.7907326010633318E-3</c:v>
                </c:pt>
                <c:pt idx="24">
                  <c:v>-8.2384558944714747E-5</c:v>
                </c:pt>
                <c:pt idx="25">
                  <c:v>5.4054155160709882E-4</c:v>
                </c:pt>
                <c:pt idx="26">
                  <c:v>4.2648226822079582E-3</c:v>
                </c:pt>
                <c:pt idx="27">
                  <c:v>-6.5743046345778655E-4</c:v>
                </c:pt>
                <c:pt idx="28">
                  <c:v>6.1478434323638531E-3</c:v>
                </c:pt>
                <c:pt idx="29">
                  <c:v>1.4949100645575752E-2</c:v>
                </c:pt>
                <c:pt idx="30">
                  <c:v>1.2815307842768631E-2</c:v>
                </c:pt>
                <c:pt idx="31">
                  <c:v>3.2168250821523081E-2</c:v>
                </c:pt>
                <c:pt idx="32">
                  <c:v>-1.6323682406208295E-2</c:v>
                </c:pt>
                <c:pt idx="33">
                  <c:v>-1.1855565984829508E-2</c:v>
                </c:pt>
                <c:pt idx="34">
                  <c:v>-1.4576587303054556E-3</c:v>
                </c:pt>
                <c:pt idx="35">
                  <c:v>3.3264412659717024E-5</c:v>
                </c:pt>
                <c:pt idx="36">
                  <c:v>2.2774221101657055E-2</c:v>
                </c:pt>
                <c:pt idx="37">
                  <c:v>2.7900201024377846E-3</c:v>
                </c:pt>
                <c:pt idx="38">
                  <c:v>-5.11871265334507E-3</c:v>
                </c:pt>
                <c:pt idx="39">
                  <c:v>-3.9510752948226369E-3</c:v>
                </c:pt>
                <c:pt idx="40">
                  <c:v>-1.2564677430437876E-2</c:v>
                </c:pt>
                <c:pt idx="41">
                  <c:v>5.2145632082447602E-3</c:v>
                </c:pt>
                <c:pt idx="42">
                  <c:v>1.6179920095877209E-2</c:v>
                </c:pt>
                <c:pt idx="43">
                  <c:v>-1.2147961987142408E-2</c:v>
                </c:pt>
                <c:pt idx="44">
                  <c:v>1.8094879548315568E-2</c:v>
                </c:pt>
                <c:pt idx="45">
                  <c:v>-6.655088594201275E-3</c:v>
                </c:pt>
                <c:pt idx="46">
                  <c:v>1.3544789460506967E-2</c:v>
                </c:pt>
                <c:pt idx="47">
                  <c:v>1.110003105565549E-2</c:v>
                </c:pt>
                <c:pt idx="48">
                  <c:v>2.6662529038544269E-2</c:v>
                </c:pt>
                <c:pt idx="49">
                  <c:v>1.5783885295637345E-2</c:v>
                </c:pt>
                <c:pt idx="50">
                  <c:v>2.8421582801067213E-2</c:v>
                </c:pt>
                <c:pt idx="51">
                  <c:v>-8.1221348379113545E-3</c:v>
                </c:pt>
                <c:pt idx="52">
                  <c:v>-3.1021905181946141E-2</c:v>
                </c:pt>
                <c:pt idx="53">
                  <c:v>1.7483856301005574E-2</c:v>
                </c:pt>
                <c:pt idx="54">
                  <c:v>1.4130534864488453E-2</c:v>
                </c:pt>
                <c:pt idx="55">
                  <c:v>-2.1695848852942179E-2</c:v>
                </c:pt>
                <c:pt idx="56">
                  <c:v>-5.9644566630639551E-2</c:v>
                </c:pt>
                <c:pt idx="57">
                  <c:v>-8.2727471180003009E-3</c:v>
                </c:pt>
                <c:pt idx="58">
                  <c:v>2.7643259776859441E-2</c:v>
                </c:pt>
                <c:pt idx="59">
                  <c:v>-3.3890119694415244E-3</c:v>
                </c:pt>
                <c:pt idx="60">
                  <c:v>-3.7921464575231711E-2</c:v>
                </c:pt>
                <c:pt idx="61">
                  <c:v>7.5586161451934863E-4</c:v>
                </c:pt>
                <c:pt idx="62">
                  <c:v>4.5002801835281048E-4</c:v>
                </c:pt>
                <c:pt idx="63">
                  <c:v>3.2688370830608271E-2</c:v>
                </c:pt>
                <c:pt idx="64">
                  <c:v>-3.6280446731012717E-2</c:v>
                </c:pt>
                <c:pt idx="65">
                  <c:v>9.5413218389690524E-3</c:v>
                </c:pt>
                <c:pt idx="66">
                  <c:v>2.0288678885038713E-3</c:v>
                </c:pt>
                <c:pt idx="67">
                  <c:v>2.0677640319591406E-2</c:v>
                </c:pt>
                <c:pt idx="68">
                  <c:v>9.0426623112727089E-3</c:v>
                </c:pt>
                <c:pt idx="69">
                  <c:v>3.2556796535929688E-2</c:v>
                </c:pt>
                <c:pt idx="70">
                  <c:v>1.0365869993082422E-2</c:v>
                </c:pt>
                <c:pt idx="71">
                  <c:v>-1.3631079505778132E-2</c:v>
                </c:pt>
                <c:pt idx="72">
                  <c:v>-1.5400014913132809E-3</c:v>
                </c:pt>
                <c:pt idx="73">
                  <c:v>2.0731659362914323E-2</c:v>
                </c:pt>
                <c:pt idx="74">
                  <c:v>-3.4014301673850778E-2</c:v>
                </c:pt>
                <c:pt idx="75">
                  <c:v>9.1227718762378895E-3</c:v>
                </c:pt>
                <c:pt idx="76">
                  <c:v>-5.7684778560435745E-2</c:v>
                </c:pt>
                <c:pt idx="77">
                  <c:v>6.7241876532464495E-3</c:v>
                </c:pt>
                <c:pt idx="78">
                  <c:v>-1.2486699987247274E-2</c:v>
                </c:pt>
                <c:pt idx="79">
                  <c:v>1.1631854946708042E-2</c:v>
                </c:pt>
                <c:pt idx="80">
                  <c:v>-2.2095885229403978E-2</c:v>
                </c:pt>
                <c:pt idx="81">
                  <c:v>2.4087109428690967E-2</c:v>
                </c:pt>
                <c:pt idx="82">
                  <c:v>-7.6999970033964082E-5</c:v>
                </c:pt>
                <c:pt idx="83">
                  <c:v>-1.1758305353621989E-2</c:v>
                </c:pt>
                <c:pt idx="84">
                  <c:v>-4.0284551302539606E-3</c:v>
                </c:pt>
                <c:pt idx="85">
                  <c:v>7.5831175003253648E-3</c:v>
                </c:pt>
                <c:pt idx="86">
                  <c:v>6.116258617723247E-4</c:v>
                </c:pt>
                <c:pt idx="87">
                  <c:v>-6.9089327268592182E-3</c:v>
                </c:pt>
                <c:pt idx="88">
                  <c:v>-8.7815797681564112E-3</c:v>
                </c:pt>
                <c:pt idx="89">
                  <c:v>1.5687718322043853E-3</c:v>
                </c:pt>
                <c:pt idx="90">
                  <c:v>3.1330663451443197E-3</c:v>
                </c:pt>
                <c:pt idx="91">
                  <c:v>3.7044518806834681E-3</c:v>
                </c:pt>
                <c:pt idx="92">
                  <c:v>-4.4387527267383264E-3</c:v>
                </c:pt>
                <c:pt idx="93">
                  <c:v>1.7542937272566395E-2</c:v>
                </c:pt>
                <c:pt idx="94">
                  <c:v>-9.9331733699050684E-3</c:v>
                </c:pt>
                <c:pt idx="95">
                  <c:v>1.6981508428938419E-2</c:v>
                </c:pt>
                <c:pt idx="96">
                  <c:v>2.882039447632323E-3</c:v>
                </c:pt>
                <c:pt idx="97">
                  <c:v>-2.2332942370557163E-2</c:v>
                </c:pt>
                <c:pt idx="98">
                  <c:v>2.6638842218080327E-2</c:v>
                </c:pt>
                <c:pt idx="99">
                  <c:v>-8.6228227811919744E-3</c:v>
                </c:pt>
                <c:pt idx="100">
                  <c:v>-1.5794720836303178E-2</c:v>
                </c:pt>
                <c:pt idx="101">
                  <c:v>-2.7484475502658201E-3</c:v>
                </c:pt>
                <c:pt idx="102">
                  <c:v>6.3472210470589818E-3</c:v>
                </c:pt>
                <c:pt idx="103">
                  <c:v>2.0199769194293005E-2</c:v>
                </c:pt>
                <c:pt idx="104">
                  <c:v>3.0315932061393491E-2</c:v>
                </c:pt>
                <c:pt idx="105">
                  <c:v>-2.7697398464084033E-2</c:v>
                </c:pt>
                <c:pt idx="106">
                  <c:v>1.6044222248989382E-2</c:v>
                </c:pt>
                <c:pt idx="107">
                  <c:v>-1.2416808538401214E-2</c:v>
                </c:pt>
                <c:pt idx="108">
                  <c:v>-6.5056322606045214E-3</c:v>
                </c:pt>
                <c:pt idx="109">
                  <c:v>-1.4635440334403005E-2</c:v>
                </c:pt>
                <c:pt idx="110">
                  <c:v>8.7509327301047435E-3</c:v>
                </c:pt>
                <c:pt idx="111">
                  <c:v>3.412022369004597E-2</c:v>
                </c:pt>
                <c:pt idx="112">
                  <c:v>-3.5193800084960869E-2</c:v>
                </c:pt>
                <c:pt idx="113">
                  <c:v>3.7774273912882794E-3</c:v>
                </c:pt>
                <c:pt idx="114">
                  <c:v>1.9675594863095558E-3</c:v>
                </c:pt>
                <c:pt idx="115">
                  <c:v>1.1608894229333977E-2</c:v>
                </c:pt>
                <c:pt idx="116">
                  <c:v>3.8879000299876232E-3</c:v>
                </c:pt>
                <c:pt idx="117">
                  <c:v>6.8729687882977952E-3</c:v>
                </c:pt>
                <c:pt idx="118">
                  <c:v>2.7217061253576036E-2</c:v>
                </c:pt>
                <c:pt idx="119">
                  <c:v>4.124528058022614E-2</c:v>
                </c:pt>
                <c:pt idx="120">
                  <c:v>-1.016194852879404E-2</c:v>
                </c:pt>
                <c:pt idx="121">
                  <c:v>-3.1388799352949248E-2</c:v>
                </c:pt>
                <c:pt idx="122">
                  <c:v>-7.5396284040400996E-3</c:v>
                </c:pt>
                <c:pt idx="123">
                  <c:v>-1.3703764261395635E-2</c:v>
                </c:pt>
                <c:pt idx="124">
                  <c:v>1.2520515583518854E-2</c:v>
                </c:pt>
                <c:pt idx="125">
                  <c:v>-1.1042392791116962E-2</c:v>
                </c:pt>
                <c:pt idx="126">
                  <c:v>2.1663327347578587E-3</c:v>
                </c:pt>
                <c:pt idx="127">
                  <c:v>7.5286515888717265E-3</c:v>
                </c:pt>
                <c:pt idx="128">
                  <c:v>1.7053166651592955E-2</c:v>
                </c:pt>
                <c:pt idx="129">
                  <c:v>1.215066003298948E-2</c:v>
                </c:pt>
                <c:pt idx="130">
                  <c:v>3.3451637117709598E-3</c:v>
                </c:pt>
                <c:pt idx="131">
                  <c:v>-2.6886148444720814E-2</c:v>
                </c:pt>
                <c:pt idx="132">
                  <c:v>6.0658067231766921E-5</c:v>
                </c:pt>
                <c:pt idx="133">
                  <c:v>5.4127808882480366E-3</c:v>
                </c:pt>
                <c:pt idx="134">
                  <c:v>-9.0005215624903157E-3</c:v>
                </c:pt>
                <c:pt idx="135">
                  <c:v>1.2483671511332783E-2</c:v>
                </c:pt>
                <c:pt idx="136">
                  <c:v>-9.7308227486558874E-4</c:v>
                </c:pt>
                <c:pt idx="137">
                  <c:v>1.3795327106726152E-2</c:v>
                </c:pt>
                <c:pt idx="138">
                  <c:v>-6.8121652381800679E-3</c:v>
                </c:pt>
                <c:pt idx="139">
                  <c:v>1.3448949467003146E-2</c:v>
                </c:pt>
                <c:pt idx="140">
                  <c:v>1.2122890271890618E-2</c:v>
                </c:pt>
                <c:pt idx="141">
                  <c:v>1.2072275984942538E-2</c:v>
                </c:pt>
                <c:pt idx="142">
                  <c:v>-3.3005142807007726E-4</c:v>
                </c:pt>
                <c:pt idx="143">
                  <c:v>-1.4140547640202339E-3</c:v>
                </c:pt>
                <c:pt idx="144">
                  <c:v>9.5202268817831115E-3</c:v>
                </c:pt>
                <c:pt idx="145">
                  <c:v>-7.7751670035675069E-4</c:v>
                </c:pt>
                <c:pt idx="146">
                  <c:v>2.707512658957878E-2</c:v>
                </c:pt>
                <c:pt idx="147">
                  <c:v>-2.6486671367358494E-2</c:v>
                </c:pt>
                <c:pt idx="148">
                  <c:v>4.0212589335313353E-3</c:v>
                </c:pt>
                <c:pt idx="149">
                  <c:v>-4.7682451324577713E-3</c:v>
                </c:pt>
                <c:pt idx="150">
                  <c:v>1.3790452021882116E-2</c:v>
                </c:pt>
                <c:pt idx="151">
                  <c:v>-1.9653486205572834E-2</c:v>
                </c:pt>
                <c:pt idx="152">
                  <c:v>9.9976275188273789E-3</c:v>
                </c:pt>
                <c:pt idx="153">
                  <c:v>1.2634418515997226E-2</c:v>
                </c:pt>
                <c:pt idx="154">
                  <c:v>-1.2944447732974318E-3</c:v>
                </c:pt>
                <c:pt idx="155">
                  <c:v>2.315499245244923E-2</c:v>
                </c:pt>
                <c:pt idx="156">
                  <c:v>8.0949933945717589E-3</c:v>
                </c:pt>
                <c:pt idx="157">
                  <c:v>-4.3010198527949628E-3</c:v>
                </c:pt>
                <c:pt idx="158">
                  <c:v>-2.632833702620796E-2</c:v>
                </c:pt>
                <c:pt idx="159">
                  <c:v>-1.9920233231979223E-3</c:v>
                </c:pt>
                <c:pt idx="160">
                  <c:v>6.0064323593986835E-3</c:v>
                </c:pt>
                <c:pt idx="161">
                  <c:v>-5.4469582216102319E-3</c:v>
                </c:pt>
                <c:pt idx="162">
                  <c:v>1.269307860301061E-2</c:v>
                </c:pt>
                <c:pt idx="163">
                  <c:v>2.4220986249201992E-2</c:v>
                </c:pt>
                <c:pt idx="164">
                  <c:v>-1.6492263854288147E-2</c:v>
                </c:pt>
                <c:pt idx="165">
                  <c:v>-3.9876453030651682E-4</c:v>
                </c:pt>
                <c:pt idx="166">
                  <c:v>5.8182195648259771E-4</c:v>
                </c:pt>
                <c:pt idx="167">
                  <c:v>3.6592308903455883E-3</c:v>
                </c:pt>
                <c:pt idx="168">
                  <c:v>1.5570944043896695E-2</c:v>
                </c:pt>
                <c:pt idx="169">
                  <c:v>5.0918291612489508E-3</c:v>
                </c:pt>
                <c:pt idx="170">
                  <c:v>1.0626360142218516E-3</c:v>
                </c:pt>
                <c:pt idx="171">
                  <c:v>8.7532358842075109E-3</c:v>
                </c:pt>
                <c:pt idx="172">
                  <c:v>2.4248502928708726E-2</c:v>
                </c:pt>
                <c:pt idx="173">
                  <c:v>7.5125412599823527E-3</c:v>
                </c:pt>
                <c:pt idx="174">
                  <c:v>-7.388798581350331E-4</c:v>
                </c:pt>
                <c:pt idx="175">
                  <c:v>-1.0620461684477167E-2</c:v>
                </c:pt>
                <c:pt idx="176">
                  <c:v>1.2985885064401348E-2</c:v>
                </c:pt>
                <c:pt idx="177">
                  <c:v>1.9828745764806754E-2</c:v>
                </c:pt>
                <c:pt idx="178">
                  <c:v>1.359490584288281E-2</c:v>
                </c:pt>
                <c:pt idx="179">
                  <c:v>-1.8352887886985303E-2</c:v>
                </c:pt>
                <c:pt idx="180">
                  <c:v>4.6321447273054428E-3</c:v>
                </c:pt>
                <c:pt idx="181">
                  <c:v>-2.1041543244239791E-2</c:v>
                </c:pt>
                <c:pt idx="182">
                  <c:v>-1.067457435079211E-2</c:v>
                </c:pt>
                <c:pt idx="183">
                  <c:v>1.0652333369399081E-2</c:v>
                </c:pt>
                <c:pt idx="184">
                  <c:v>-2.5999917784513826E-4</c:v>
                </c:pt>
                <c:pt idx="185">
                  <c:v>7.0825474606266425E-3</c:v>
                </c:pt>
                <c:pt idx="186">
                  <c:v>2.9597537552186193E-2</c:v>
                </c:pt>
                <c:pt idx="187">
                  <c:v>1.5943662087328336E-2</c:v>
                </c:pt>
                <c:pt idx="188">
                  <c:v>8.6973835775143726E-3</c:v>
                </c:pt>
                <c:pt idx="189">
                  <c:v>-2.1085199401070898E-2</c:v>
                </c:pt>
                <c:pt idx="190">
                  <c:v>-1.0131573311919384E-2</c:v>
                </c:pt>
                <c:pt idx="191">
                  <c:v>7.7510915765302002E-3</c:v>
                </c:pt>
                <c:pt idx="192">
                  <c:v>-1.1433066364205602E-2</c:v>
                </c:pt>
                <c:pt idx="193">
                  <c:v>-1.0716831673606153E-2</c:v>
                </c:pt>
                <c:pt idx="194">
                  <c:v>2.0670882666874668E-2</c:v>
                </c:pt>
                <c:pt idx="195">
                  <c:v>1.1942311464512523E-2</c:v>
                </c:pt>
                <c:pt idx="196">
                  <c:v>2.0338288883723576E-2</c:v>
                </c:pt>
                <c:pt idx="197">
                  <c:v>1.7354116701495004E-2</c:v>
                </c:pt>
                <c:pt idx="198">
                  <c:v>-2.1147355954014846E-2</c:v>
                </c:pt>
                <c:pt idx="199">
                  <c:v>2.2899893345631916E-2</c:v>
                </c:pt>
                <c:pt idx="200">
                  <c:v>-1.0138933206429557E-2</c:v>
                </c:pt>
                <c:pt idx="201">
                  <c:v>7.9003178654211137E-3</c:v>
                </c:pt>
                <c:pt idx="202">
                  <c:v>-2.4411713459456807E-3</c:v>
                </c:pt>
                <c:pt idx="203">
                  <c:v>6.1371966300438618E-3</c:v>
                </c:pt>
                <c:pt idx="204">
                  <c:v>2.1723161681224346E-2</c:v>
                </c:pt>
                <c:pt idx="205">
                  <c:v>1.7154757463522241E-3</c:v>
                </c:pt>
                <c:pt idx="206">
                  <c:v>-2.7570012254830578E-3</c:v>
                </c:pt>
                <c:pt idx="207">
                  <c:v>1.2253430222946005E-3</c:v>
                </c:pt>
                <c:pt idx="208">
                  <c:v>3.1457204818945428E-3</c:v>
                </c:pt>
                <c:pt idx="209">
                  <c:v>6.7933166983413784E-3</c:v>
                </c:pt>
                <c:pt idx="210">
                  <c:v>1.1426789881785693E-2</c:v>
                </c:pt>
                <c:pt idx="211">
                  <c:v>9.4629465957785097E-3</c:v>
                </c:pt>
                <c:pt idx="212">
                  <c:v>3.8051089421182738E-3</c:v>
                </c:pt>
                <c:pt idx="213">
                  <c:v>4.5663537241908081E-2</c:v>
                </c:pt>
                <c:pt idx="214">
                  <c:v>-1.9382560944529392E-2</c:v>
                </c:pt>
                <c:pt idx="215">
                  <c:v>1.1722059250817596E-2</c:v>
                </c:pt>
                <c:pt idx="216">
                  <c:v>-3.166268358387514E-3</c:v>
                </c:pt>
                <c:pt idx="217">
                  <c:v>1.3344998008284481E-3</c:v>
                </c:pt>
                <c:pt idx="218">
                  <c:v>4.9888442538179589E-3</c:v>
                </c:pt>
                <c:pt idx="219">
                  <c:v>3.6231151880198542E-2</c:v>
                </c:pt>
                <c:pt idx="220">
                  <c:v>-1.4472566835048495E-2</c:v>
                </c:pt>
                <c:pt idx="221">
                  <c:v>-2.4289334033501198E-2</c:v>
                </c:pt>
                <c:pt idx="222">
                  <c:v>1.6006417372111947E-3</c:v>
                </c:pt>
                <c:pt idx="223">
                  <c:v>-1.4827064712143456E-2</c:v>
                </c:pt>
                <c:pt idx="224">
                  <c:v>3.2199407174053896E-3</c:v>
                </c:pt>
                <c:pt idx="225">
                  <c:v>-2.2136643647964749E-2</c:v>
                </c:pt>
                <c:pt idx="226">
                  <c:v>1.406290780069841E-2</c:v>
                </c:pt>
                <c:pt idx="227">
                  <c:v>-1.3341081176464153E-2</c:v>
                </c:pt>
                <c:pt idx="228">
                  <c:v>-3.8341594679360824E-3</c:v>
                </c:pt>
                <c:pt idx="229">
                  <c:v>1.936823686143696E-2</c:v>
                </c:pt>
                <c:pt idx="230">
                  <c:v>2.2281056875802507E-2</c:v>
                </c:pt>
                <c:pt idx="231">
                  <c:v>-3.2244010005300083E-3</c:v>
                </c:pt>
                <c:pt idx="232">
                  <c:v>-4.9571478757383103E-3</c:v>
                </c:pt>
                <c:pt idx="233">
                  <c:v>8.7419455879347296E-3</c:v>
                </c:pt>
                <c:pt idx="234">
                  <c:v>1.0697420619108833E-2</c:v>
                </c:pt>
                <c:pt idx="235">
                  <c:v>3.6220258050598808E-3</c:v>
                </c:pt>
                <c:pt idx="236">
                  <c:v>1.7106201413697564E-2</c:v>
                </c:pt>
                <c:pt idx="237">
                  <c:v>4.3337938901810702E-3</c:v>
                </c:pt>
                <c:pt idx="238">
                  <c:v>1.5501630763659069E-3</c:v>
                </c:pt>
                <c:pt idx="239">
                  <c:v>-5.491263737958163E-3</c:v>
                </c:pt>
                <c:pt idx="240">
                  <c:v>2.0329293638607915E-2</c:v>
                </c:pt>
                <c:pt idx="241">
                  <c:v>-5.8234385317662563E-3</c:v>
                </c:pt>
                <c:pt idx="242">
                  <c:v>1.2959530769108163E-2</c:v>
                </c:pt>
                <c:pt idx="243">
                  <c:v>3.7260174600836526E-2</c:v>
                </c:pt>
                <c:pt idx="244">
                  <c:v>-3.0186147296331844E-2</c:v>
                </c:pt>
                <c:pt idx="245">
                  <c:v>1.7448754270327882E-2</c:v>
                </c:pt>
                <c:pt idx="246">
                  <c:v>-4.2980990959948784E-2</c:v>
                </c:pt>
                <c:pt idx="247">
                  <c:v>-1.1474663118393069E-2</c:v>
                </c:pt>
                <c:pt idx="248">
                  <c:v>-2.4412844434922421E-2</c:v>
                </c:pt>
                <c:pt idx="249">
                  <c:v>1.8011907958227047E-2</c:v>
                </c:pt>
                <c:pt idx="250">
                  <c:v>6.035364777229324E-3</c:v>
                </c:pt>
                <c:pt idx="251">
                  <c:v>-1.9898680244007538E-2</c:v>
                </c:pt>
                <c:pt idx="252">
                  <c:v>-7.3768097395950916E-3</c:v>
                </c:pt>
                <c:pt idx="253">
                  <c:v>8.1310606337123836E-3</c:v>
                </c:pt>
                <c:pt idx="254">
                  <c:v>-5.0279230996042035E-3</c:v>
                </c:pt>
                <c:pt idx="255">
                  <c:v>2.4291179412676556E-2</c:v>
                </c:pt>
                <c:pt idx="256">
                  <c:v>9.0534669616859631E-4</c:v>
                </c:pt>
                <c:pt idx="257">
                  <c:v>2.8482837351786472E-3</c:v>
                </c:pt>
                <c:pt idx="258">
                  <c:v>3.3131873866016903E-3</c:v>
                </c:pt>
              </c:numCache>
            </c:numRef>
          </c:xVal>
          <c:yVal>
            <c:numRef>
              <c:f>Beta!$N$8:$N$2000</c:f>
              <c:numCache>
                <c:formatCode>#0.0_)%;\(#0.0\)%</c:formatCode>
                <c:ptCount val="1993"/>
                <c:pt idx="0">
                  <c:v>3.2100397573331607E-2</c:v>
                </c:pt>
                <c:pt idx="1">
                  <c:v>2.0215634240524194E-2</c:v>
                </c:pt>
                <c:pt idx="2">
                  <c:v>1.1450326997678228E-2</c:v>
                </c:pt>
                <c:pt idx="3">
                  <c:v>-5.9620864785060457E-3</c:v>
                </c:pt>
                <c:pt idx="4">
                  <c:v>5.8823618026841551E-2</c:v>
                </c:pt>
                <c:pt idx="5">
                  <c:v>-1.8448175793601584E-2</c:v>
                </c:pt>
                <c:pt idx="6">
                  <c:v>-0.11181982908642252</c:v>
                </c:pt>
                <c:pt idx="7">
                  <c:v>1.6528861626729396E-2</c:v>
                </c:pt>
                <c:pt idx="8">
                  <c:v>3.3780230447417736E-2</c:v>
                </c:pt>
                <c:pt idx="9">
                  <c:v>-3.464022420099544E-2</c:v>
                </c:pt>
                <c:pt idx="10">
                  <c:v>-2.7837656938349831E-3</c:v>
                </c:pt>
                <c:pt idx="11">
                  <c:v>2.5697546046818509E-2</c:v>
                </c:pt>
                <c:pt idx="12">
                  <c:v>3.4922848955924124E-2</c:v>
                </c:pt>
                <c:pt idx="13">
                  <c:v>-3.4496225723042118E-2</c:v>
                </c:pt>
                <c:pt idx="14">
                  <c:v>1.9490904619163807E-3</c:v>
                </c:pt>
                <c:pt idx="15">
                  <c:v>-3.1087825042273032E-3</c:v>
                </c:pt>
                <c:pt idx="16">
                  <c:v>-7.7121590856494837E-3</c:v>
                </c:pt>
                <c:pt idx="17">
                  <c:v>-3.7486068601111588E-2</c:v>
                </c:pt>
                <c:pt idx="18">
                  <c:v>2.1483698527120954E-2</c:v>
                </c:pt>
                <c:pt idx="19">
                  <c:v>7.2222137985549884E-2</c:v>
                </c:pt>
                <c:pt idx="20">
                  <c:v>2.159475419697543E-2</c:v>
                </c:pt>
                <c:pt idx="21">
                  <c:v>-2.0474603389830537E-2</c:v>
                </c:pt>
                <c:pt idx="22">
                  <c:v>-8.3367349064110696E-3</c:v>
                </c:pt>
                <c:pt idx="23">
                  <c:v>1.886029830821867E-3</c:v>
                </c:pt>
                <c:pt idx="24">
                  <c:v>3.1081486486486121E-3</c:v>
                </c:pt>
                <c:pt idx="25">
                  <c:v>-2.4132954658236616E-2</c:v>
                </c:pt>
                <c:pt idx="26">
                  <c:v>7.1722804200784473E-3</c:v>
                </c:pt>
                <c:pt idx="27">
                  <c:v>2.4772015451585583E-2</c:v>
                </c:pt>
                <c:pt idx="28">
                  <c:v>8.7875735606872674E-3</c:v>
                </c:pt>
                <c:pt idx="29">
                  <c:v>1.9259870153804926E-3</c:v>
                </c:pt>
                <c:pt idx="30">
                  <c:v>9.7236285518442767E-3</c:v>
                </c:pt>
                <c:pt idx="31">
                  <c:v>-2.2140789643814607E-2</c:v>
                </c:pt>
                <c:pt idx="32">
                  <c:v>-4.7606725189907273E-2</c:v>
                </c:pt>
                <c:pt idx="33">
                  <c:v>4.9402627389563136E-3</c:v>
                </c:pt>
                <c:pt idx="34">
                  <c:v>-1.6368274285227802E-2</c:v>
                </c:pt>
                <c:pt idx="35">
                  <c:v>2.1955045293585052E-2</c:v>
                </c:pt>
                <c:pt idx="36">
                  <c:v>4.5783778755877469E-2</c:v>
                </c:pt>
                <c:pt idx="37">
                  <c:v>1.5403830569076904E-2</c:v>
                </c:pt>
                <c:pt idx="38">
                  <c:v>4.6005156308162043E-3</c:v>
                </c:pt>
                <c:pt idx="39">
                  <c:v>-2.2352459219607823E-2</c:v>
                </c:pt>
                <c:pt idx="40">
                  <c:v>-1.9772812819580876E-2</c:v>
                </c:pt>
                <c:pt idx="41">
                  <c:v>2.5447895770269735E-3</c:v>
                </c:pt>
                <c:pt idx="42">
                  <c:v>1.1653129607596346E-2</c:v>
                </c:pt>
                <c:pt idx="43">
                  <c:v>-2.2775345184401941E-2</c:v>
                </c:pt>
                <c:pt idx="44">
                  <c:v>3.113051696151059E-2</c:v>
                </c:pt>
                <c:pt idx="45">
                  <c:v>-1.1472507030503842E-2</c:v>
                </c:pt>
                <c:pt idx="46">
                  <c:v>3.1894051592170403E-2</c:v>
                </c:pt>
                <c:pt idx="47">
                  <c:v>6.2444523159380871E-2</c:v>
                </c:pt>
                <c:pt idx="48">
                  <c:v>-5.8840980045264946E-3</c:v>
                </c:pt>
                <c:pt idx="49">
                  <c:v>3.1562988419939542E-2</c:v>
                </c:pt>
                <c:pt idx="50">
                  <c:v>2.7920776354378951E-2</c:v>
                </c:pt>
                <c:pt idx="51">
                  <c:v>1.5362718013346655E-2</c:v>
                </c:pt>
                <c:pt idx="52">
                  <c:v>-9.8643878716179412E-2</c:v>
                </c:pt>
                <c:pt idx="53">
                  <c:v>-3.3259674762071034E-2</c:v>
                </c:pt>
                <c:pt idx="54">
                  <c:v>-1.5087685197770817E-2</c:v>
                </c:pt>
                <c:pt idx="55">
                  <c:v>-7.0499075919164267E-2</c:v>
                </c:pt>
                <c:pt idx="56">
                  <c:v>-4.4197513445175973E-2</c:v>
                </c:pt>
                <c:pt idx="57">
                  <c:v>1.3090286593840927E-2</c:v>
                </c:pt>
                <c:pt idx="58">
                  <c:v>4.1768549342295902E-3</c:v>
                </c:pt>
                <c:pt idx="59">
                  <c:v>3.5886993232705722E-2</c:v>
                </c:pt>
                <c:pt idx="60">
                  <c:v>-4.0420039570399968E-2</c:v>
                </c:pt>
                <c:pt idx="61">
                  <c:v>-7.3939515151514312E-3</c:v>
                </c:pt>
                <c:pt idx="62">
                  <c:v>3.5275635996541155E-3</c:v>
                </c:pt>
                <c:pt idx="63">
                  <c:v>5.6276460072556711E-2</c:v>
                </c:pt>
                <c:pt idx="64">
                  <c:v>-3.9372934067129273E-2</c:v>
                </c:pt>
                <c:pt idx="65">
                  <c:v>2.4143546654739723E-2</c:v>
                </c:pt>
                <c:pt idx="66">
                  <c:v>2.2225119811669636E-2</c:v>
                </c:pt>
                <c:pt idx="67">
                  <c:v>-2.9632052449160007E-3</c:v>
                </c:pt>
                <c:pt idx="68">
                  <c:v>1.4905857155889546E-2</c:v>
                </c:pt>
                <c:pt idx="69">
                  <c:v>3.8848137509584157E-2</c:v>
                </c:pt>
                <c:pt idx="70">
                  <c:v>9.5996299945042551E-3</c:v>
                </c:pt>
                <c:pt idx="71">
                  <c:v>2.6175064063469478E-2</c:v>
                </c:pt>
                <c:pt idx="72">
                  <c:v>7.5145187510918809E-3</c:v>
                </c:pt>
                <c:pt idx="73">
                  <c:v>2.7235579537688404E-2</c:v>
                </c:pt>
                <c:pt idx="74">
                  <c:v>-7.0403424446203289E-2</c:v>
                </c:pt>
                <c:pt idx="75">
                  <c:v>2.1153034117156633E-2</c:v>
                </c:pt>
                <c:pt idx="76">
                  <c:v>-7.6481077630234928E-2</c:v>
                </c:pt>
                <c:pt idx="77">
                  <c:v>9.4084809593235619E-3</c:v>
                </c:pt>
                <c:pt idx="78">
                  <c:v>-1.8841754708099234E-2</c:v>
                </c:pt>
                <c:pt idx="79">
                  <c:v>1.5197948520744298E-3</c:v>
                </c:pt>
                <c:pt idx="80">
                  <c:v>-1.2648495134036652E-3</c:v>
                </c:pt>
                <c:pt idx="81">
                  <c:v>6.620791868846343E-3</c:v>
                </c:pt>
                <c:pt idx="82">
                  <c:v>2.1592144442981631E-2</c:v>
                </c:pt>
                <c:pt idx="83">
                  <c:v>-7.744011057924105E-3</c:v>
                </c:pt>
                <c:pt idx="84">
                  <c:v>-2.2950818803878281E-2</c:v>
                </c:pt>
                <c:pt idx="85">
                  <c:v>1.4196201197181235E-2</c:v>
                </c:pt>
                <c:pt idx="86">
                  <c:v>3.7227213421637817E-3</c:v>
                </c:pt>
                <c:pt idx="87">
                  <c:v>8.153293962208874E-3</c:v>
                </c:pt>
                <c:pt idx="88">
                  <c:v>-1.9540680612629702E-2</c:v>
                </c:pt>
                <c:pt idx="89">
                  <c:v>1.3372779222300624E-2</c:v>
                </c:pt>
                <c:pt idx="90">
                  <c:v>2.3558751373042197E-2</c:v>
                </c:pt>
                <c:pt idx="91">
                  <c:v>8.2272026509129237E-3</c:v>
                </c:pt>
                <c:pt idx="92">
                  <c:v>-1.9133163630530636E-2</c:v>
                </c:pt>
                <c:pt idx="93">
                  <c:v>3.9226322196672436E-2</c:v>
                </c:pt>
                <c:pt idx="94">
                  <c:v>-2.40264026402639E-2</c:v>
                </c:pt>
                <c:pt idx="95">
                  <c:v>8.6551533596579411E-3</c:v>
                </c:pt>
                <c:pt idx="96">
                  <c:v>-1.8557227596336712E-2</c:v>
                </c:pt>
                <c:pt idx="97">
                  <c:v>0.10100715107913683</c:v>
                </c:pt>
                <c:pt idx="98">
                  <c:v>5.0642447448452144E-2</c:v>
                </c:pt>
                <c:pt idx="99">
                  <c:v>-6.4583957206849618E-3</c:v>
                </c:pt>
                <c:pt idx="100">
                  <c:v>-3.6747698057825628E-2</c:v>
                </c:pt>
                <c:pt idx="101">
                  <c:v>-1.9017825986628267E-2</c:v>
                </c:pt>
                <c:pt idx="102">
                  <c:v>2.9063793938019611E-2</c:v>
                </c:pt>
                <c:pt idx="103">
                  <c:v>5.387101656347526E-2</c:v>
                </c:pt>
                <c:pt idx="104">
                  <c:v>1.8498196919608079E-2</c:v>
                </c:pt>
                <c:pt idx="105">
                  <c:v>-3.4362656202320707E-2</c:v>
                </c:pt>
                <c:pt idx="106">
                  <c:v>1.3345543385625103E-2</c:v>
                </c:pt>
                <c:pt idx="107">
                  <c:v>-5.1643818785097939E-2</c:v>
                </c:pt>
                <c:pt idx="108">
                  <c:v>-3.6237136867288688E-3</c:v>
                </c:pt>
                <c:pt idx="109">
                  <c:v>-2.9539993222112426E-2</c:v>
                </c:pt>
                <c:pt idx="110">
                  <c:v>4.4826498459340058E-2</c:v>
                </c:pt>
                <c:pt idx="111">
                  <c:v>0.17573876232484476</c:v>
                </c:pt>
                <c:pt idx="112">
                  <c:v>-6.1770444228274934E-2</c:v>
                </c:pt>
                <c:pt idx="113">
                  <c:v>-7.5623810921197077E-3</c:v>
                </c:pt>
                <c:pt idx="114">
                  <c:v>-1.6063935742971491E-3</c:v>
                </c:pt>
                <c:pt idx="115">
                  <c:v>-1.7639672584354171E-3</c:v>
                </c:pt>
                <c:pt idx="116">
                  <c:v>1.7292039433801643E-2</c:v>
                </c:pt>
                <c:pt idx="117">
                  <c:v>4.0393772586346577E-2</c:v>
                </c:pt>
                <c:pt idx="118">
                  <c:v>5.1767190289182308E-2</c:v>
                </c:pt>
                <c:pt idx="119">
                  <c:v>5.9256779659846437E-3</c:v>
                </c:pt>
                <c:pt idx="120">
                  <c:v>3.4234054054054219E-3</c:v>
                </c:pt>
                <c:pt idx="121">
                  <c:v>-4.5407620320048525E-2</c:v>
                </c:pt>
                <c:pt idx="122">
                  <c:v>4.8701299579749335E-2</c:v>
                </c:pt>
                <c:pt idx="123">
                  <c:v>-4.2982927671327498E-2</c:v>
                </c:pt>
                <c:pt idx="124">
                  <c:v>-4.2953891342373818E-2</c:v>
                </c:pt>
                <c:pt idx="125">
                  <c:v>-8.8423284755199116E-3</c:v>
                </c:pt>
                <c:pt idx="126">
                  <c:v>2.4622784787353691E-3</c:v>
                </c:pt>
                <c:pt idx="127">
                  <c:v>-1.9159603620035326E-2</c:v>
                </c:pt>
                <c:pt idx="128">
                  <c:v>3.7761120727188624E-2</c:v>
                </c:pt>
                <c:pt idx="129">
                  <c:v>1.7684016023056914E-2</c:v>
                </c:pt>
                <c:pt idx="130">
                  <c:v>7.1930468777710033E-3</c:v>
                </c:pt>
                <c:pt idx="131">
                  <c:v>3.0169354269583781E-2</c:v>
                </c:pt>
                <c:pt idx="132">
                  <c:v>3.3175336617292439E-2</c:v>
                </c:pt>
                <c:pt idx="133">
                  <c:v>2.3753151836287678E-3</c:v>
                </c:pt>
                <c:pt idx="134">
                  <c:v>-2.4420642581841179E-2</c:v>
                </c:pt>
                <c:pt idx="135">
                  <c:v>1.7041298042059561E-2</c:v>
                </c:pt>
                <c:pt idx="136">
                  <c:v>1.4523964614234774E-3</c:v>
                </c:pt>
                <c:pt idx="137">
                  <c:v>6.0862945333703511E-2</c:v>
                </c:pt>
                <c:pt idx="138">
                  <c:v>2.1042282046894067E-2</c:v>
                </c:pt>
                <c:pt idx="139">
                  <c:v>1.4565024233140988E-2</c:v>
                </c:pt>
                <c:pt idx="140">
                  <c:v>-1.1244821685634676E-2</c:v>
                </c:pt>
                <c:pt idx="141">
                  <c:v>1.3394622151139401E-2</c:v>
                </c:pt>
                <c:pt idx="142">
                  <c:v>2.6261755180067681E-2</c:v>
                </c:pt>
                <c:pt idx="143">
                  <c:v>3.5001441218858176E-3</c:v>
                </c:pt>
                <c:pt idx="144">
                  <c:v>4.1348150534383787E-3</c:v>
                </c:pt>
                <c:pt idx="145">
                  <c:v>-4.3125619052930109E-2</c:v>
                </c:pt>
                <c:pt idx="146">
                  <c:v>2.4108548944316244E-2</c:v>
                </c:pt>
                <c:pt idx="147">
                  <c:v>-2.1799405901692714E-2</c:v>
                </c:pt>
                <c:pt idx="148">
                  <c:v>-3.3888588933562946E-2</c:v>
                </c:pt>
                <c:pt idx="149">
                  <c:v>-9.0069718116037811E-2</c:v>
                </c:pt>
                <c:pt idx="150">
                  <c:v>-3.8180667097894583E-3</c:v>
                </c:pt>
                <c:pt idx="151">
                  <c:v>-4.791806014540656E-2</c:v>
                </c:pt>
                <c:pt idx="152">
                  <c:v>2.5936564640224979E-2</c:v>
                </c:pt>
                <c:pt idx="153">
                  <c:v>5.1116545427101201E-3</c:v>
                </c:pt>
                <c:pt idx="154">
                  <c:v>6.3442901234567195E-3</c:v>
                </c:pt>
                <c:pt idx="155">
                  <c:v>2.3337391706004906E-2</c:v>
                </c:pt>
                <c:pt idx="156">
                  <c:v>8.6726017699114699E-3</c:v>
                </c:pt>
                <c:pt idx="157">
                  <c:v>-4.0542922615899313E-3</c:v>
                </c:pt>
                <c:pt idx="158">
                  <c:v>-3.1746031746031855E-2</c:v>
                </c:pt>
                <c:pt idx="159">
                  <c:v>3.1332493727644906E-2</c:v>
                </c:pt>
                <c:pt idx="160">
                  <c:v>1.8465435971054767E-2</c:v>
                </c:pt>
                <c:pt idx="161">
                  <c:v>-8.1792849153882186E-3</c:v>
                </c:pt>
                <c:pt idx="162">
                  <c:v>2.4956150622321704E-3</c:v>
                </c:pt>
                <c:pt idx="163">
                  <c:v>0.19948680778276673</c:v>
                </c:pt>
                <c:pt idx="164">
                  <c:v>0</c:v>
                </c:pt>
                <c:pt idx="165">
                  <c:v>-1.7075347580590705E-3</c:v>
                </c:pt>
                <c:pt idx="166">
                  <c:v>-5.5190616531720638E-3</c:v>
                </c:pt>
                <c:pt idx="167">
                  <c:v>2.1237792833872504E-4</c:v>
                </c:pt>
                <c:pt idx="168">
                  <c:v>8.7257571560480196E-2</c:v>
                </c:pt>
                <c:pt idx="169">
                  <c:v>2.0818875780708179E-3</c:v>
                </c:pt>
                <c:pt idx="170">
                  <c:v>-3.9170965936822233E-3</c:v>
                </c:pt>
                <c:pt idx="171">
                  <c:v>2.5410255823279382E-3</c:v>
                </c:pt>
                <c:pt idx="172">
                  <c:v>1.0976202709014338E-2</c:v>
                </c:pt>
                <c:pt idx="173">
                  <c:v>-4.9500533840189376E-2</c:v>
                </c:pt>
                <c:pt idx="174">
                  <c:v>-1.9586550172218775E-2</c:v>
                </c:pt>
                <c:pt idx="175">
                  <c:v>-0.13660277834267609</c:v>
                </c:pt>
                <c:pt idx="176">
                  <c:v>1.5067728399771108E-2</c:v>
                </c:pt>
                <c:pt idx="177">
                  <c:v>2.6831158894806917E-2</c:v>
                </c:pt>
                <c:pt idx="178">
                  <c:v>1.0688855898653982E-2</c:v>
                </c:pt>
                <c:pt idx="179">
                  <c:v>-2.0360674810936508E-2</c:v>
                </c:pt>
                <c:pt idx="180">
                  <c:v>1.1648612372301415E-3</c:v>
                </c:pt>
                <c:pt idx="181">
                  <c:v>-1.8109054862925134E-2</c:v>
                </c:pt>
                <c:pt idx="182">
                  <c:v>3.8138826051481445E-4</c:v>
                </c:pt>
                <c:pt idx="183">
                  <c:v>3.1674147878254955E-2</c:v>
                </c:pt>
                <c:pt idx="184">
                  <c:v>2.936413468278376E-2</c:v>
                </c:pt>
                <c:pt idx="185">
                  <c:v>-1.7508894449219881E-2</c:v>
                </c:pt>
                <c:pt idx="186">
                  <c:v>3.971861812163846E-2</c:v>
                </c:pt>
                <c:pt idx="187">
                  <c:v>1.0874111250522844E-2</c:v>
                </c:pt>
                <c:pt idx="188">
                  <c:v>2.9494057492054804E-2</c:v>
                </c:pt>
                <c:pt idx="189">
                  <c:v>1.3970748439843916E-2</c:v>
                </c:pt>
                <c:pt idx="190">
                  <c:v>-9.2993291825549385E-3</c:v>
                </c:pt>
                <c:pt idx="191">
                  <c:v>-4.1260584698320502E-2</c:v>
                </c:pt>
                <c:pt idx="192">
                  <c:v>-5.361971319365999E-3</c:v>
                </c:pt>
                <c:pt idx="193">
                  <c:v>-0.1182033053935877</c:v>
                </c:pt>
                <c:pt idx="194">
                  <c:v>5.9537569960016468E-2</c:v>
                </c:pt>
                <c:pt idx="195">
                  <c:v>4.5317218718339713E-2</c:v>
                </c:pt>
                <c:pt idx="196">
                  <c:v>2.3078570432280454E-2</c:v>
                </c:pt>
                <c:pt idx="197">
                  <c:v>-1.4619309644670175E-2</c:v>
                </c:pt>
                <c:pt idx="198">
                  <c:v>-2.5717092496876259E-2</c:v>
                </c:pt>
                <c:pt idx="199">
                  <c:v>6.4883040554391203E-2</c:v>
                </c:pt>
                <c:pt idx="200">
                  <c:v>-6.1115505120342029E-2</c:v>
                </c:pt>
                <c:pt idx="201">
                  <c:v>-4.7243701717395448E-3</c:v>
                </c:pt>
                <c:pt idx="202">
                  <c:v>7.1371928457015787E-3</c:v>
                </c:pt>
                <c:pt idx="203">
                  <c:v>-4.8301905660377398E-2</c:v>
                </c:pt>
                <c:pt idx="204">
                  <c:v>2.7530010564947194E-2</c:v>
                </c:pt>
                <c:pt idx="205">
                  <c:v>6.6354408026760847E-3</c:v>
                </c:pt>
                <c:pt idx="206">
                  <c:v>-4.9879436306323077E-2</c:v>
                </c:pt>
                <c:pt idx="207">
                  <c:v>-1.8740884620467413E-2</c:v>
                </c:pt>
                <c:pt idx="208">
                  <c:v>-3.4094954864852145E-2</c:v>
                </c:pt>
                <c:pt idx="209">
                  <c:v>1.5165085016326296E-2</c:v>
                </c:pt>
                <c:pt idx="210">
                  <c:v>3.5087662600640224E-2</c:v>
                </c:pt>
                <c:pt idx="211">
                  <c:v>-5.5096234066185357E-3</c:v>
                </c:pt>
                <c:pt idx="212">
                  <c:v>3.686654377880183E-3</c:v>
                </c:pt>
                <c:pt idx="213">
                  <c:v>4.3670642554828776E-2</c:v>
                </c:pt>
                <c:pt idx="214">
                  <c:v>-5.4737259329432297E-2</c:v>
                </c:pt>
                <c:pt idx="215">
                  <c:v>9.4982096874111743E-2</c:v>
                </c:pt>
                <c:pt idx="216">
                  <c:v>2.1562266069975689E-2</c:v>
                </c:pt>
                <c:pt idx="217">
                  <c:v>-4.8583398842778625E-3</c:v>
                </c:pt>
                <c:pt idx="218">
                  <c:v>-6.8355445582811702E-3</c:v>
                </c:pt>
                <c:pt idx="219">
                  <c:v>2.6625407087194741E-2</c:v>
                </c:pt>
                <c:pt idx="220">
                  <c:v>2.2755688870499391E-3</c:v>
                </c:pt>
                <c:pt idx="221">
                  <c:v>-4.5418622539862175E-2</c:v>
                </c:pt>
                <c:pt idx="222">
                  <c:v>7.360234732444848E-3</c:v>
                </c:pt>
                <c:pt idx="223">
                  <c:v>-9.0676128523554667E-3</c:v>
                </c:pt>
                <c:pt idx="224">
                  <c:v>-5.5131291769999868E-2</c:v>
                </c:pt>
                <c:pt idx="225">
                  <c:v>-2.7531244838457702E-2</c:v>
                </c:pt>
                <c:pt idx="226">
                  <c:v>-3.038285968357668E-2</c:v>
                </c:pt>
                <c:pt idx="227">
                  <c:v>-1.2144344416105901E-2</c:v>
                </c:pt>
                <c:pt idx="228">
                  <c:v>-3.9333349999999934E-2</c:v>
                </c:pt>
                <c:pt idx="229">
                  <c:v>1.4370210841244013E-2</c:v>
                </c:pt>
                <c:pt idx="230">
                  <c:v>5.5496091086793653E-2</c:v>
                </c:pt>
                <c:pt idx="231">
                  <c:v>-2.9946321620218264E-2</c:v>
                </c:pt>
                <c:pt idx="232">
                  <c:v>-2.7768395414621172E-2</c:v>
                </c:pt>
                <c:pt idx="233">
                  <c:v>4.172505186316533E-2</c:v>
                </c:pt>
                <c:pt idx="234">
                  <c:v>2.7747765765765653E-2</c:v>
                </c:pt>
                <c:pt idx="235">
                  <c:v>-5.554577933084115E-3</c:v>
                </c:pt>
                <c:pt idx="236">
                  <c:v>3.8905434867732014E-2</c:v>
                </c:pt>
                <c:pt idx="237">
                  <c:v>2.3628067835365973E-2</c:v>
                </c:pt>
                <c:pt idx="238">
                  <c:v>-8.6890632544213142E-3</c:v>
                </c:pt>
                <c:pt idx="239">
                  <c:v>-6.2677071529744999E-2</c:v>
                </c:pt>
                <c:pt idx="240">
                  <c:v>2.6722451435100769E-2</c:v>
                </c:pt>
                <c:pt idx="241">
                  <c:v>-2.6199397195985075E-2</c:v>
                </c:pt>
                <c:pt idx="242">
                  <c:v>1.3091894300283125E-2</c:v>
                </c:pt>
                <c:pt idx="243">
                  <c:v>0.11743478487235337</c:v>
                </c:pt>
                <c:pt idx="244">
                  <c:v>-4.2042580149740938E-2</c:v>
                </c:pt>
                <c:pt idx="245">
                  <c:v>-2.6900785109299052E-2</c:v>
                </c:pt>
                <c:pt idx="246">
                  <c:v>-5.5408489691494256E-2</c:v>
                </c:pt>
                <c:pt idx="247">
                  <c:v>-3.458267402755244E-2</c:v>
                </c:pt>
                <c:pt idx="248">
                  <c:v>-3.6283024133968111E-2</c:v>
                </c:pt>
                <c:pt idx="249">
                  <c:v>5.9455162005865869E-3</c:v>
                </c:pt>
                <c:pt idx="250">
                  <c:v>5.8139201692040121E-3</c:v>
                </c:pt>
                <c:pt idx="251">
                  <c:v>-1.2305167968742148E-2</c:v>
                </c:pt>
                <c:pt idx="252">
                  <c:v>1.7699148734332093E-2</c:v>
                </c:pt>
                <c:pt idx="253">
                  <c:v>0.15461731549291158</c:v>
                </c:pt>
                <c:pt idx="254">
                  <c:v>2.428910000570883E-2</c:v>
                </c:pt>
                <c:pt idx="255">
                  <c:v>1.3842001186474828E-3</c:v>
                </c:pt>
                <c:pt idx="256">
                  <c:v>6.7688632291460493E-3</c:v>
                </c:pt>
                <c:pt idx="257">
                  <c:v>4.3991603438975346E-3</c:v>
                </c:pt>
                <c:pt idx="258">
                  <c:v>2.880059599258189E-2</c:v>
                </c:pt>
              </c:numCache>
            </c:numRef>
          </c:yVal>
          <c:smooth val="0"/>
          <c:extLst xmlns:c16r2="http://schemas.microsoft.com/office/drawing/2015/06/chart">
            <c:ext xmlns:c16="http://schemas.microsoft.com/office/drawing/2014/chart" uri="{C3380CC4-5D6E-409C-BE32-E72D297353CC}">
              <c16:uniqueId val="{00000000-9813-472F-B3D4-7F67BF4370E7}"/>
            </c:ext>
          </c:extLst>
        </c:ser>
        <c:dLbls>
          <c:showLegendKey val="0"/>
          <c:showVal val="0"/>
          <c:showCatName val="0"/>
          <c:showSerName val="0"/>
          <c:showPercent val="0"/>
          <c:showBubbleSize val="0"/>
        </c:dLbls>
        <c:axId val="208589952"/>
        <c:axId val="208591872"/>
      </c:scatterChart>
      <c:valAx>
        <c:axId val="208589952"/>
        <c:scaling>
          <c:orientation val="minMax"/>
        </c:scaling>
        <c:delete val="0"/>
        <c:axPos val="b"/>
        <c:title>
          <c:tx>
            <c:rich>
              <a:bodyPr/>
              <a:lstStyle/>
              <a:p>
                <a:pPr>
                  <a:defRPr sz="1400"/>
                </a:pPr>
                <a:r>
                  <a:rPr lang="en-US" sz="1400"/>
                  <a:t>S&amp;P 500 Change</a:t>
                </a:r>
              </a:p>
            </c:rich>
          </c:tx>
          <c:layout>
            <c:manualLayout>
              <c:xMode val="edge"/>
              <c:yMode val="edge"/>
              <c:x val="0.30816521245655099"/>
              <c:y val="0.87921299913846596"/>
            </c:manualLayout>
          </c:layout>
          <c:overlay val="0"/>
        </c:title>
        <c:numFmt formatCode="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08591872"/>
        <c:crosses val="autoZero"/>
        <c:crossBetween val="midCat"/>
      </c:valAx>
      <c:valAx>
        <c:axId val="208591872"/>
        <c:scaling>
          <c:orientation val="minMax"/>
        </c:scaling>
        <c:delete val="0"/>
        <c:axPos val="l"/>
        <c:title>
          <c:tx>
            <c:rich>
              <a:bodyPr rot="-5400000" vert="horz"/>
              <a:lstStyle/>
              <a:p>
                <a:pPr>
                  <a:defRPr sz="1400"/>
                </a:pPr>
                <a:r>
                  <a:rPr lang="en-US" sz="1400"/>
                  <a:t>MYL Change</a:t>
                </a:r>
              </a:p>
            </c:rich>
          </c:tx>
          <c:layout>
            <c:manualLayout>
              <c:xMode val="edge"/>
              <c:yMode val="edge"/>
              <c:x val="1.38891253458183E-2"/>
              <c:y val="0.31532962005703502"/>
            </c:manualLayout>
          </c:layout>
          <c:overlay val="0"/>
        </c:title>
        <c:numFmt formatCode="0%" sourceLinked="0"/>
        <c:majorTickMark val="out"/>
        <c:minorTickMark val="none"/>
        <c:tickLblPos val="nextTo"/>
        <c:crossAx val="208589952"/>
        <c:crosses val="autoZero"/>
        <c:crossBetween val="midCat"/>
      </c:valAx>
    </c:plotArea>
    <c:plotVisOnly val="1"/>
    <c:dispBlanksAs val="gap"/>
    <c:showDLblsOverMax val="0"/>
  </c:chart>
  <c:spPr>
    <a:ln>
      <a:noFill/>
    </a:ln>
  </c:spPr>
  <c:printSettings>
    <c:headerFooter/>
    <c:pageMargins b="0.750000000000004" l="0.70000000000000095" r="0.70000000000000095" t="0.750000000000004"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Market Correlation</a:t>
            </a:r>
          </a:p>
        </c:rich>
      </c:tx>
      <c:overlay val="0"/>
    </c:title>
    <c:autoTitleDeleted val="0"/>
    <c:plotArea>
      <c:layout/>
      <c:scatterChart>
        <c:scatterStyle val="lineMarker"/>
        <c:varyColors val="0"/>
        <c:ser>
          <c:idx val="0"/>
          <c:order val="0"/>
          <c:tx>
            <c:strRef>
              <c:f>Beta!$V$4</c:f>
              <c:strCache>
                <c:ptCount val="1"/>
                <c:pt idx="0">
                  <c:v>Beta Regression (Daily)</c:v>
                </c:pt>
              </c:strCache>
            </c:strRef>
          </c:tx>
          <c:spPr>
            <a:ln w="19050">
              <a:noFill/>
            </a:ln>
          </c:spPr>
          <c:marker>
            <c:spPr>
              <a:solidFill>
                <a:schemeClr val="accent2"/>
              </a:solidFill>
              <a:ln>
                <a:solidFill>
                  <a:schemeClr val="accent2"/>
                </a:solidFill>
              </a:ln>
            </c:spPr>
          </c:marker>
          <c:trendline>
            <c:spPr>
              <a:ln w="25400"/>
            </c:spPr>
            <c:trendlineType val="linear"/>
            <c:dispRSqr val="0"/>
            <c:dispEq val="0"/>
          </c:trendline>
          <c:xVal>
            <c:numRef>
              <c:f>Beta!$Z$8:$Z$2000</c:f>
              <c:numCache>
                <c:formatCode>#0.0_)%;\(#0.0\)%</c:formatCode>
                <c:ptCount val="1993"/>
                <c:pt idx="0">
                  <c:v>7.2647580016458324E-3</c:v>
                </c:pt>
                <c:pt idx="1">
                  <c:v>5.7030947864911141E-4</c:v>
                </c:pt>
                <c:pt idx="2">
                  <c:v>2.9836364737412246E-4</c:v>
                </c:pt>
                <c:pt idx="3">
                  <c:v>-8.8990533877453259E-4</c:v>
                </c:pt>
                <c:pt idx="4">
                  <c:v>-6.0095434915230506E-3</c:v>
                </c:pt>
                <c:pt idx="5">
                  <c:v>-8.6646422615233032E-4</c:v>
                </c:pt>
                <c:pt idx="6">
                  <c:v>-7.3538416963325748E-4</c:v>
                </c:pt>
                <c:pt idx="7">
                  <c:v>8.0260906262639153E-3</c:v>
                </c:pt>
                <c:pt idx="8">
                  <c:v>6.5645935553879653E-3</c:v>
                </c:pt>
                <c:pt idx="9">
                  <c:v>-2.6901250121218467E-3</c:v>
                </c:pt>
                <c:pt idx="10">
                  <c:v>3.3662375142391454E-3</c:v>
                </c:pt>
                <c:pt idx="11">
                  <c:v>-3.6093087192583528E-3</c:v>
                </c:pt>
                <c:pt idx="12">
                  <c:v>1.7637540571728838E-3</c:v>
                </c:pt>
                <c:pt idx="13">
                  <c:v>-2.9675026894465661E-3</c:v>
                </c:pt>
                <c:pt idx="14">
                  <c:v>1.8498406076092877E-3</c:v>
                </c:pt>
                <c:pt idx="15">
                  <c:v>-2.1448090176998669E-3</c:v>
                </c:pt>
                <c:pt idx="16">
                  <c:v>2.8296382728654201E-3</c:v>
                </c:pt>
                <c:pt idx="17">
                  <c:v>0</c:v>
                </c:pt>
                <c:pt idx="18">
                  <c:v>-3.5485942217199362E-3</c:v>
                </c:pt>
                <c:pt idx="19">
                  <c:v>3.5169590127810402E-3</c:v>
                </c:pt>
                <c:pt idx="20">
                  <c:v>-7.7067048332046806E-4</c:v>
                </c:pt>
                <c:pt idx="21">
                  <c:v>5.7222738442055388E-3</c:v>
                </c:pt>
                <c:pt idx="22">
                  <c:v>8.486575281753117E-3</c:v>
                </c:pt>
                <c:pt idx="23">
                  <c:v>-4.6370503870737378E-3</c:v>
                </c:pt>
                <c:pt idx="24">
                  <c:v>-2.9330466100030428E-4</c:v>
                </c:pt>
                <c:pt idx="25">
                  <c:v>-8.3565292028286997E-3</c:v>
                </c:pt>
                <c:pt idx="26">
                  <c:v>2.2483728227060684E-3</c:v>
                </c:pt>
                <c:pt idx="27">
                  <c:v>1.2517152222140115E-3</c:v>
                </c:pt>
                <c:pt idx="28">
                  <c:v>-1.8629738593322065E-3</c:v>
                </c:pt>
                <c:pt idx="29">
                  <c:v>-2.4573614012164402E-3</c:v>
                </c:pt>
                <c:pt idx="30">
                  <c:v>3.6375123841505541E-3</c:v>
                </c:pt>
                <c:pt idx="31">
                  <c:v>1.9751207295131135E-3</c:v>
                </c:pt>
                <c:pt idx="32">
                  <c:v>-1.7506226483432474E-3</c:v>
                </c:pt>
                <c:pt idx="33">
                  <c:v>3.8832279554188442E-3</c:v>
                </c:pt>
                <c:pt idx="34">
                  <c:v>-8.1171721142561104E-3</c:v>
                </c:pt>
                <c:pt idx="35">
                  <c:v>6.539774854251279E-3</c:v>
                </c:pt>
                <c:pt idx="36">
                  <c:v>-1.1374347616602831E-3</c:v>
                </c:pt>
                <c:pt idx="37">
                  <c:v>5.9389848367235043E-3</c:v>
                </c:pt>
                <c:pt idx="38">
                  <c:v>2.1593427123762776E-3</c:v>
                </c:pt>
                <c:pt idx="39">
                  <c:v>1.3163241734930109E-2</c:v>
                </c:pt>
                <c:pt idx="40">
                  <c:v>3.4108881136405422E-3</c:v>
                </c:pt>
                <c:pt idx="41">
                  <c:v>5.8213053606350762E-3</c:v>
                </c:pt>
                <c:pt idx="42">
                  <c:v>3.9700648494522817E-4</c:v>
                </c:pt>
                <c:pt idx="43">
                  <c:v>-3.5155292147042161E-3</c:v>
                </c:pt>
                <c:pt idx="44">
                  <c:v>-2.6534038053485087E-3</c:v>
                </c:pt>
                <c:pt idx="45">
                  <c:v>1.3352928795322683E-3</c:v>
                </c:pt>
                <c:pt idx="46">
                  <c:v>-5.2545356518649555E-3</c:v>
                </c:pt>
                <c:pt idx="47">
                  <c:v>3.9143869124047548E-3</c:v>
                </c:pt>
                <c:pt idx="48">
                  <c:v>8.0802475222818693E-4</c:v>
                </c:pt>
                <c:pt idx="49">
                  <c:v>2.1654319242507825E-3</c:v>
                </c:pt>
                <c:pt idx="50">
                  <c:v>7.4614009492723898E-3</c:v>
                </c:pt>
                <c:pt idx="51">
                  <c:v>-2.3867984933356734E-3</c:v>
                </c:pt>
                <c:pt idx="52">
                  <c:v>4.6763697097327306E-3</c:v>
                </c:pt>
                <c:pt idx="53">
                  <c:v>-1.5822638011099288E-3</c:v>
                </c:pt>
                <c:pt idx="54">
                  <c:v>7.4807976927082631E-3</c:v>
                </c:pt>
                <c:pt idx="55">
                  <c:v>-1.1550278623184695E-4</c:v>
                </c:pt>
                <c:pt idx="56">
                  <c:v>-1.3979501669952876E-3</c:v>
                </c:pt>
                <c:pt idx="57">
                  <c:v>1.9507456248868404E-3</c:v>
                </c:pt>
                <c:pt idx="58">
                  <c:v>1.1077020670818172E-2</c:v>
                </c:pt>
                <c:pt idx="59">
                  <c:v>3.7719744241482278E-3</c:v>
                </c:pt>
                <c:pt idx="60">
                  <c:v>2.2223544015960606E-2</c:v>
                </c:pt>
                <c:pt idx="61">
                  <c:v>-1.6661305078947697E-3</c:v>
                </c:pt>
                <c:pt idx="62">
                  <c:v>-4.4234006982948326E-3</c:v>
                </c:pt>
                <c:pt idx="63">
                  <c:v>-6.5255006294582252E-3</c:v>
                </c:pt>
                <c:pt idx="64">
                  <c:v>-6.7868831762174509E-3</c:v>
                </c:pt>
                <c:pt idx="65">
                  <c:v>-1.2227651805640782E-4</c:v>
                </c:pt>
                <c:pt idx="66">
                  <c:v>-3.1082993655890956E-3</c:v>
                </c:pt>
                <c:pt idx="67">
                  <c:v>-2.9867269333876401E-3</c:v>
                </c:pt>
                <c:pt idx="68">
                  <c:v>-1.7404114266579285E-3</c:v>
                </c:pt>
                <c:pt idx="69">
                  <c:v>-3.7977277794559727E-3</c:v>
                </c:pt>
                <c:pt idx="70">
                  <c:v>4.749839534638145E-3</c:v>
                </c:pt>
                <c:pt idx="71">
                  <c:v>-8.4141702203055502E-5</c:v>
                </c:pt>
                <c:pt idx="72">
                  <c:v>-1.375723874264545E-3</c:v>
                </c:pt>
                <c:pt idx="73">
                  <c:v>2.191970828747003E-3</c:v>
                </c:pt>
                <c:pt idx="74">
                  <c:v>6.1604034798965479E-3</c:v>
                </c:pt>
                <c:pt idx="75">
                  <c:v>-3.0379938212078406E-3</c:v>
                </c:pt>
                <c:pt idx="76">
                  <c:v>2.0160417815362486E-4</c:v>
                </c:pt>
                <c:pt idx="77">
                  <c:v>-3.0992638350910706E-3</c:v>
                </c:pt>
                <c:pt idx="78">
                  <c:v>1.1465894253985809E-3</c:v>
                </c:pt>
                <c:pt idx="79">
                  <c:v>-1.2446471763257416E-2</c:v>
                </c:pt>
                <c:pt idx="80">
                  <c:v>4.605905098135743E-3</c:v>
                </c:pt>
                <c:pt idx="81">
                  <c:v>-3.2534836817107449E-3</c:v>
                </c:pt>
                <c:pt idx="82">
                  <c:v>4.8156019948386586E-4</c:v>
                </c:pt>
                <c:pt idx="83">
                  <c:v>4.2966905416750301E-3</c:v>
                </c:pt>
                <c:pt idx="84">
                  <c:v>-4.9555623000289151E-3</c:v>
                </c:pt>
                <c:pt idx="85">
                  <c:v>-3.2606958242220596E-3</c:v>
                </c:pt>
                <c:pt idx="86">
                  <c:v>7.967969361336813E-3</c:v>
                </c:pt>
                <c:pt idx="87">
                  <c:v>-9.3214113252899633E-3</c:v>
                </c:pt>
                <c:pt idx="88">
                  <c:v>5.2965537587632561E-3</c:v>
                </c:pt>
                <c:pt idx="89">
                  <c:v>6.4441700612607455E-3</c:v>
                </c:pt>
                <c:pt idx="90">
                  <c:v>-8.5877624540595665E-3</c:v>
                </c:pt>
                <c:pt idx="91">
                  <c:v>-5.7367748142553854E-3</c:v>
                </c:pt>
                <c:pt idx="92">
                  <c:v>6.4997846811667426E-3</c:v>
                </c:pt>
                <c:pt idx="93">
                  <c:v>1.0917162154086668E-2</c:v>
                </c:pt>
                <c:pt idx="94">
                  <c:v>2.9913841439510591E-4</c:v>
                </c:pt>
                <c:pt idx="95">
                  <c:v>-1.8603097307945404E-5</c:v>
                </c:pt>
                <c:pt idx="96">
                  <c:v>-3.7722949071267164E-3</c:v>
                </c:pt>
                <c:pt idx="97">
                  <c:v>1.0109273250546558E-2</c:v>
                </c:pt>
                <c:pt idx="98">
                  <c:v>-5.8767665007686265E-4</c:v>
                </c:pt>
                <c:pt idx="99">
                  <c:v>-1.4830674013266876E-2</c:v>
                </c:pt>
                <c:pt idx="100">
                  <c:v>1.4677052525391865E-2</c:v>
                </c:pt>
                <c:pt idx="101">
                  <c:v>-2.4522068857295465E-2</c:v>
                </c:pt>
                <c:pt idx="102">
                  <c:v>-2.2230135011277463E-3</c:v>
                </c:pt>
                <c:pt idx="103">
                  <c:v>-1.4638505859998485E-4</c:v>
                </c:pt>
                <c:pt idx="104">
                  <c:v>2.981678758352535E-3</c:v>
                </c:pt>
                <c:pt idx="105">
                  <c:v>4.2010413156485793E-3</c:v>
                </c:pt>
                <c:pt idx="106">
                  <c:v>-4.1384648208353525E-5</c:v>
                </c:pt>
                <c:pt idx="107">
                  <c:v>-2.3758642547395681E-3</c:v>
                </c:pt>
                <c:pt idx="108">
                  <c:v>-1.9536806559319331E-3</c:v>
                </c:pt>
                <c:pt idx="109">
                  <c:v>5.22804733711979E-3</c:v>
                </c:pt>
                <c:pt idx="110">
                  <c:v>-1.5788167596264557E-3</c:v>
                </c:pt>
                <c:pt idx="111">
                  <c:v>-1.3652273013957661E-3</c:v>
                </c:pt>
                <c:pt idx="112">
                  <c:v>-5.2402768821377954E-3</c:v>
                </c:pt>
                <c:pt idx="113">
                  <c:v>1.9517690543742194E-3</c:v>
                </c:pt>
                <c:pt idx="114">
                  <c:v>-5.6332287823501748E-4</c:v>
                </c:pt>
                <c:pt idx="115">
                  <c:v>-1.4402716807320193E-3</c:v>
                </c:pt>
                <c:pt idx="116">
                  <c:v>2.1996173913669814E-3</c:v>
                </c:pt>
                <c:pt idx="117">
                  <c:v>1.8685899424382146E-3</c:v>
                </c:pt>
                <c:pt idx="118">
                  <c:v>-5.4790770207289174E-3</c:v>
                </c:pt>
                <c:pt idx="119">
                  <c:v>2.7929089824627606E-3</c:v>
                </c:pt>
                <c:pt idx="120">
                  <c:v>-7.9604626654627975E-4</c:v>
                </c:pt>
                <c:pt idx="121">
                  <c:v>4.7345880915774519E-3</c:v>
                </c:pt>
                <c:pt idx="122">
                  <c:v>-2.8646859977113914E-3</c:v>
                </c:pt>
                <c:pt idx="123">
                  <c:v>3.89793635491964E-4</c:v>
                </c:pt>
                <c:pt idx="124">
                  <c:v>-9.0716528875356417E-4</c:v>
                </c:pt>
                <c:pt idx="125">
                  <c:v>8.6034963613259574E-3</c:v>
                </c:pt>
                <c:pt idx="126">
                  <c:v>2.1257191858259361E-4</c:v>
                </c:pt>
                <c:pt idx="127">
                  <c:v>3.1339433893435853E-3</c:v>
                </c:pt>
                <c:pt idx="128">
                  <c:v>-6.3616196680443826E-3</c:v>
                </c:pt>
                <c:pt idx="129">
                  <c:v>-1.2697873921424518E-3</c:v>
                </c:pt>
                <c:pt idx="130">
                  <c:v>1.6313092282023156E-3</c:v>
                </c:pt>
                <c:pt idx="131">
                  <c:v>1.6062092674702377E-3</c:v>
                </c:pt>
                <c:pt idx="132">
                  <c:v>-1.1985423438815035E-3</c:v>
                </c:pt>
                <c:pt idx="133">
                  <c:v>3.2278462630763727E-4</c:v>
                </c:pt>
                <c:pt idx="134">
                  <c:v>-3.0114752038671311E-3</c:v>
                </c:pt>
                <c:pt idx="135">
                  <c:v>4.5539645178942489E-3</c:v>
                </c:pt>
                <c:pt idx="136">
                  <c:v>-3.6125290737081261E-3</c:v>
                </c:pt>
                <c:pt idx="137">
                  <c:v>4.270300527854598E-3</c:v>
                </c:pt>
                <c:pt idx="138">
                  <c:v>-1.4351739837110689E-3</c:v>
                </c:pt>
                <c:pt idx="139">
                  <c:v>2.382295291673886E-3</c:v>
                </c:pt>
                <c:pt idx="140">
                  <c:v>-9.2894742923166351E-4</c:v>
                </c:pt>
                <c:pt idx="141">
                  <c:v>5.2592039497805221E-3</c:v>
                </c:pt>
                <c:pt idx="142">
                  <c:v>1.3476772627241118E-4</c:v>
                </c:pt>
                <c:pt idx="143">
                  <c:v>7.0092934627346004E-3</c:v>
                </c:pt>
                <c:pt idx="144">
                  <c:v>3.408615584790109E-3</c:v>
                </c:pt>
                <c:pt idx="145">
                  <c:v>1.5253349299217511E-2</c:v>
                </c:pt>
                <c:pt idx="146">
                  <c:v>-8.7157778258706298E-4</c:v>
                </c:pt>
                <c:pt idx="147">
                  <c:v>5.3529629349093888E-3</c:v>
                </c:pt>
                <c:pt idx="148">
                  <c:v>-6.8474772750309887E-3</c:v>
                </c:pt>
                <c:pt idx="149">
                  <c:v>1.9486024753911924E-3</c:v>
                </c:pt>
                <c:pt idx="150">
                  <c:v>1.3565044272757953E-2</c:v>
                </c:pt>
                <c:pt idx="151">
                  <c:v>1.7032672710494579E-2</c:v>
                </c:pt>
                <c:pt idx="152">
                  <c:v>1.777016520887531E-2</c:v>
                </c:pt>
                <c:pt idx="153">
                  <c:v>-1.8096502120201086E-2</c:v>
                </c:pt>
                <c:pt idx="154">
                  <c:v>-3.591979991551375E-2</c:v>
                </c:pt>
                <c:pt idx="155">
                  <c:v>1.3364078570495375E-2</c:v>
                </c:pt>
                <c:pt idx="156">
                  <c:v>-1.6515635798043382E-3</c:v>
                </c:pt>
                <c:pt idx="157">
                  <c:v>2.712061442457836E-3</c:v>
                </c:pt>
                <c:pt idx="158">
                  <c:v>5.8081851123672479E-3</c:v>
                </c:pt>
                <c:pt idx="159">
                  <c:v>-3.2579651646926777E-3</c:v>
                </c:pt>
                <c:pt idx="160">
                  <c:v>3.1329905865316032E-3</c:v>
                </c:pt>
                <c:pt idx="161">
                  <c:v>-1.8407126972377341E-3</c:v>
                </c:pt>
                <c:pt idx="162">
                  <c:v>-1.7988855029992257E-3</c:v>
                </c:pt>
                <c:pt idx="163">
                  <c:v>-8.1151910232802882E-3</c:v>
                </c:pt>
                <c:pt idx="164">
                  <c:v>-9.1751811331252098E-3</c:v>
                </c:pt>
                <c:pt idx="165">
                  <c:v>-1.717758691825888E-3</c:v>
                </c:pt>
                <c:pt idx="166">
                  <c:v>3.3095663558677657E-3</c:v>
                </c:pt>
                <c:pt idx="167">
                  <c:v>1.289446391868454E-3</c:v>
                </c:pt>
                <c:pt idx="168">
                  <c:v>4.8972810511886955E-3</c:v>
                </c:pt>
                <c:pt idx="169">
                  <c:v>-2.9118146788909005E-3</c:v>
                </c:pt>
                <c:pt idx="170">
                  <c:v>2.8246782448091423E-3</c:v>
                </c:pt>
                <c:pt idx="171">
                  <c:v>1.1350423498972528E-3</c:v>
                </c:pt>
                <c:pt idx="172">
                  <c:v>-1.0052632800822137E-3</c:v>
                </c:pt>
                <c:pt idx="173">
                  <c:v>4.2868573656227316E-3</c:v>
                </c:pt>
                <c:pt idx="174">
                  <c:v>-2.1044370918177346E-4</c:v>
                </c:pt>
                <c:pt idx="175">
                  <c:v>6.974740416216374E-3</c:v>
                </c:pt>
                <c:pt idx="176">
                  <c:v>1.3681382915580853E-2</c:v>
                </c:pt>
                <c:pt idx="177">
                  <c:v>-2.0854588262010365E-3</c:v>
                </c:pt>
                <c:pt idx="178">
                  <c:v>6.0195039142563189E-3</c:v>
                </c:pt>
                <c:pt idx="179">
                  <c:v>-3.7067077457677566E-3</c:v>
                </c:pt>
                <c:pt idx="180">
                  <c:v>2.0517875938574903E-4</c:v>
                </c:pt>
                <c:pt idx="181">
                  <c:v>-9.4112973726661053E-3</c:v>
                </c:pt>
                <c:pt idx="182">
                  <c:v>9.7966525849819686E-3</c:v>
                </c:pt>
                <c:pt idx="183">
                  <c:v>-8.4782889927489391E-3</c:v>
                </c:pt>
                <c:pt idx="184">
                  <c:v>-1.694651417848414E-4</c:v>
                </c:pt>
                <c:pt idx="185">
                  <c:v>-9.5615182490236261E-3</c:v>
                </c:pt>
                <c:pt idx="186">
                  <c:v>1.2483643839788838E-2</c:v>
                </c:pt>
                <c:pt idx="187">
                  <c:v>7.5349664127100091E-4</c:v>
                </c:pt>
                <c:pt idx="188">
                  <c:v>3.1746391945073338E-3</c:v>
                </c:pt>
                <c:pt idx="189">
                  <c:v>-2.390079429950287E-4</c:v>
                </c:pt>
                <c:pt idx="190">
                  <c:v>-5.9368893147540014E-3</c:v>
                </c:pt>
                <c:pt idx="191">
                  <c:v>-8.6766384601026925E-3</c:v>
                </c:pt>
                <c:pt idx="192">
                  <c:v>7.809946553678726E-3</c:v>
                </c:pt>
                <c:pt idx="193">
                  <c:v>-5.0630884817385313E-3</c:v>
                </c:pt>
                <c:pt idx="194">
                  <c:v>-9.2307681572276756E-3</c:v>
                </c:pt>
                <c:pt idx="195">
                  <c:v>1.6493527182761536E-3</c:v>
                </c:pt>
                <c:pt idx="196">
                  <c:v>1.8727515348586632E-3</c:v>
                </c:pt>
                <c:pt idx="197">
                  <c:v>-1.8120458498649405E-3</c:v>
                </c:pt>
                <c:pt idx="198">
                  <c:v>4.78598891489046E-5</c:v>
                </c:pt>
                <c:pt idx="199">
                  <c:v>-5.1940270685952861E-3</c:v>
                </c:pt>
                <c:pt idx="200">
                  <c:v>7.6154463189470611E-4</c:v>
                </c:pt>
                <c:pt idx="201">
                  <c:v>3.0844851975158072E-3</c:v>
                </c:pt>
                <c:pt idx="202">
                  <c:v>6.5410255683440166E-3</c:v>
                </c:pt>
                <c:pt idx="203">
                  <c:v>-9.8428493237678882E-4</c:v>
                </c:pt>
                <c:pt idx="204">
                  <c:v>1.7292717774908262E-4</c:v>
                </c:pt>
                <c:pt idx="205">
                  <c:v>1.0040137017230277E-2</c:v>
                </c:pt>
                <c:pt idx="206">
                  <c:v>9.6621340440556924E-3</c:v>
                </c:pt>
                <c:pt idx="207">
                  <c:v>-2.7397861231465148E-3</c:v>
                </c:pt>
                <c:pt idx="208">
                  <c:v>2.7865782063147826E-3</c:v>
                </c:pt>
                <c:pt idx="209">
                  <c:v>-1.1975786560861179E-2</c:v>
                </c:pt>
                <c:pt idx="210">
                  <c:v>1.0507619189438877E-2</c:v>
                </c:pt>
                <c:pt idx="211">
                  <c:v>-1.0144492450574583E-2</c:v>
                </c:pt>
                <c:pt idx="212">
                  <c:v>-3.2083221118298644E-3</c:v>
                </c:pt>
                <c:pt idx="213">
                  <c:v>6.3309150976866846E-3</c:v>
                </c:pt>
                <c:pt idx="214">
                  <c:v>-2.039759248018691E-3</c:v>
                </c:pt>
                <c:pt idx="215">
                  <c:v>4.3503150624555342E-3</c:v>
                </c:pt>
                <c:pt idx="216">
                  <c:v>8.8166518092260837E-3</c:v>
                </c:pt>
                <c:pt idx="217">
                  <c:v>5.4525576989994384E-4</c:v>
                </c:pt>
                <c:pt idx="218">
                  <c:v>-3.7807052292404553E-4</c:v>
                </c:pt>
                <c:pt idx="219">
                  <c:v>-6.3860316553245866E-3</c:v>
                </c:pt>
                <c:pt idx="220">
                  <c:v>-8.7738785046598267E-4</c:v>
                </c:pt>
                <c:pt idx="221">
                  <c:v>9.8557749545014062E-4</c:v>
                </c:pt>
                <c:pt idx="222">
                  <c:v>4.405643539266535E-3</c:v>
                </c:pt>
                <c:pt idx="223">
                  <c:v>6.5952364278478726E-3</c:v>
                </c:pt>
                <c:pt idx="224">
                  <c:v>5.6003515487050848E-3</c:v>
                </c:pt>
                <c:pt idx="225">
                  <c:v>-1.8369417185468695E-3</c:v>
                </c:pt>
                <c:pt idx="226">
                  <c:v>-1.2609725467921384E-3</c:v>
                </c:pt>
                <c:pt idx="227">
                  <c:v>1.6395500477669467E-2</c:v>
                </c:pt>
                <c:pt idx="228">
                  <c:v>1.5580467030051892E-4</c:v>
                </c:pt>
                <c:pt idx="229">
                  <c:v>5.0523932931882953E-3</c:v>
                </c:pt>
                <c:pt idx="230">
                  <c:v>-1.1240108648189029E-2</c:v>
                </c:pt>
                <c:pt idx="231">
                  <c:v>8.8501442949717735E-4</c:v>
                </c:pt>
                <c:pt idx="232">
                  <c:v>3.305892405266686E-3</c:v>
                </c:pt>
                <c:pt idx="233">
                  <c:v>3.4987405529653959E-3</c:v>
                </c:pt>
                <c:pt idx="234">
                  <c:v>4.0943084379727601E-3</c:v>
                </c:pt>
                <c:pt idx="235">
                  <c:v>2.3868792264572836E-2</c:v>
                </c:pt>
                <c:pt idx="236">
                  <c:v>-8.120976670040303E-3</c:v>
                </c:pt>
                <c:pt idx="237">
                  <c:v>-1.8701143063153403E-3</c:v>
                </c:pt>
                <c:pt idx="238">
                  <c:v>1.1348275180813827E-2</c:v>
                </c:pt>
                <c:pt idx="239">
                  <c:v>4.4397866573695488E-3</c:v>
                </c:pt>
                <c:pt idx="240">
                  <c:v>-1.2454371626831162E-2</c:v>
                </c:pt>
                <c:pt idx="241">
                  <c:v>1.4454197343192865E-2</c:v>
                </c:pt>
                <c:pt idx="242">
                  <c:v>-2.6033069221664817E-5</c:v>
                </c:pt>
                <c:pt idx="243">
                  <c:v>-4.6657135860892485E-3</c:v>
                </c:pt>
                <c:pt idx="244">
                  <c:v>1.6480439087318555E-2</c:v>
                </c:pt>
                <c:pt idx="245">
                  <c:v>1.6516654254666641E-2</c:v>
                </c:pt>
                <c:pt idx="246">
                  <c:v>1.9518049434029239E-2</c:v>
                </c:pt>
                <c:pt idx="247">
                  <c:v>-1.2301161634528213E-2</c:v>
                </c:pt>
                <c:pt idx="248">
                  <c:v>-1.8895050095235622E-4</c:v>
                </c:pt>
                <c:pt idx="249">
                  <c:v>-6.6362010054477061E-4</c:v>
                </c:pt>
                <c:pt idx="250">
                  <c:v>-1.4153935962584518E-2</c:v>
                </c:pt>
                <c:pt idx="251">
                  <c:v>-1.8481246133065898E-2</c:v>
                </c:pt>
                <c:pt idx="252">
                  <c:v>1.5267326294097217E-3</c:v>
                </c:pt>
                <c:pt idx="253">
                  <c:v>4.9920389353981243E-3</c:v>
                </c:pt>
                <c:pt idx="254">
                  <c:v>-1.8743091042644822E-2</c:v>
                </c:pt>
                <c:pt idx="255">
                  <c:v>-4.4323640602828007E-4</c:v>
                </c:pt>
                <c:pt idx="256">
                  <c:v>2.476021748183288E-2</c:v>
                </c:pt>
                <c:pt idx="257">
                  <c:v>5.5285771108635196E-3</c:v>
                </c:pt>
                <c:pt idx="258">
                  <c:v>-1.0863483946818686E-2</c:v>
                </c:pt>
                <c:pt idx="259">
                  <c:v>1.4144335682203524E-2</c:v>
                </c:pt>
                <c:pt idx="260">
                  <c:v>-1.5637981868314221E-2</c:v>
                </c:pt>
                <c:pt idx="261">
                  <c:v>2.0283700930896931E-2</c:v>
                </c:pt>
                <c:pt idx="262">
                  <c:v>5.1954382646433039E-3</c:v>
                </c:pt>
                <c:pt idx="263">
                  <c:v>-1.1693855152753452E-2</c:v>
                </c:pt>
                <c:pt idx="264">
                  <c:v>5.318215544081184E-4</c:v>
                </c:pt>
                <c:pt idx="265">
                  <c:v>-2.1599098121783955E-2</c:v>
                </c:pt>
                <c:pt idx="266">
                  <c:v>1.6695905641396447E-2</c:v>
                </c:pt>
                <c:pt idx="267">
                  <c:v>-2.496545260273253E-2</c:v>
                </c:pt>
                <c:pt idx="268">
                  <c:v>7.8027986383719661E-3</c:v>
                </c:pt>
                <c:pt idx="269">
                  <c:v>8.5327230857745739E-4</c:v>
                </c:pt>
                <c:pt idx="270">
                  <c:v>-1.0838374634476344E-2</c:v>
                </c:pt>
                <c:pt idx="271">
                  <c:v>-2.3700443039098129E-2</c:v>
                </c:pt>
                <c:pt idx="272">
                  <c:v>-1.3115396617015107E-2</c:v>
                </c:pt>
                <c:pt idx="273">
                  <c:v>2.0122260747390541E-3</c:v>
                </c:pt>
                <c:pt idx="274">
                  <c:v>-1.5303730981790165E-2</c:v>
                </c:pt>
                <c:pt idx="275">
                  <c:v>-9.4119130897784009E-3</c:v>
                </c:pt>
                <c:pt idx="276">
                  <c:v>-7.2172285974309025E-3</c:v>
                </c:pt>
                <c:pt idx="277">
                  <c:v>1.0629762703622703E-2</c:v>
                </c:pt>
                <c:pt idx="278">
                  <c:v>-2.1785598289102426E-3</c:v>
                </c:pt>
                <c:pt idx="279">
                  <c:v>-1.5986363048084984E-3</c:v>
                </c:pt>
                <c:pt idx="280">
                  <c:v>1.2418068122691306E-2</c:v>
                </c:pt>
                <c:pt idx="281">
                  <c:v>8.8167364066982223E-3</c:v>
                </c:pt>
                <c:pt idx="282">
                  <c:v>7.7784022432043631E-3</c:v>
                </c:pt>
                <c:pt idx="283">
                  <c:v>-1.779722009170015E-2</c:v>
                </c:pt>
                <c:pt idx="284">
                  <c:v>-1.5040520569611582E-2</c:v>
                </c:pt>
                <c:pt idx="285">
                  <c:v>1.4514969343641715E-2</c:v>
                </c:pt>
                <c:pt idx="286">
                  <c:v>1.0618561196917398E-2</c:v>
                </c:pt>
                <c:pt idx="287">
                  <c:v>4.7555598740678384E-3</c:v>
                </c:pt>
                <c:pt idx="288">
                  <c:v>-1.9422767130611751E-2</c:v>
                </c:pt>
                <c:pt idx="289">
                  <c:v>2.2513869815967702E-3</c:v>
                </c:pt>
                <c:pt idx="290">
                  <c:v>-7.738985127360154E-3</c:v>
                </c:pt>
                <c:pt idx="291">
                  <c:v>-6.4899014278222422E-3</c:v>
                </c:pt>
                <c:pt idx="292">
                  <c:v>-6.9895029437349043E-3</c:v>
                </c:pt>
                <c:pt idx="293">
                  <c:v>2.0525668952535936E-2</c:v>
                </c:pt>
                <c:pt idx="294">
                  <c:v>-1.4373526867514363E-2</c:v>
                </c:pt>
                <c:pt idx="295">
                  <c:v>-1.0995693149292163E-2</c:v>
                </c:pt>
                <c:pt idx="296">
                  <c:v>1.0680573511899327E-2</c:v>
                </c:pt>
                <c:pt idx="297">
                  <c:v>-4.6409971261862637E-3</c:v>
                </c:pt>
                <c:pt idx="298">
                  <c:v>5.9361756861209258E-4</c:v>
                </c:pt>
                <c:pt idx="299">
                  <c:v>-1.2913256833779752E-4</c:v>
                </c:pt>
                <c:pt idx="300">
                  <c:v>1.2219961240418353E-3</c:v>
                </c:pt>
                <c:pt idx="301">
                  <c:v>-1.2348607802712408E-3</c:v>
                </c:pt>
                <c:pt idx="302">
                  <c:v>3.8101958630922805E-3</c:v>
                </c:pt>
                <c:pt idx="303">
                  <c:v>-1.1231092218189076E-3</c:v>
                </c:pt>
                <c:pt idx="304">
                  <c:v>1.616245193889343E-2</c:v>
                </c:pt>
                <c:pt idx="305">
                  <c:v>-1.3393792484004408E-3</c:v>
                </c:pt>
                <c:pt idx="306">
                  <c:v>1.490326509548634E-2</c:v>
                </c:pt>
                <c:pt idx="307">
                  <c:v>-1.1207364880723381E-2</c:v>
                </c:pt>
                <c:pt idx="308">
                  <c:v>-1.3990375421686796E-2</c:v>
                </c:pt>
                <c:pt idx="309">
                  <c:v>-3.2280859546982565E-3</c:v>
                </c:pt>
                <c:pt idx="310">
                  <c:v>1.5105951573544107E-3</c:v>
                </c:pt>
                <c:pt idx="311">
                  <c:v>-9.8227293641929281E-3</c:v>
                </c:pt>
                <c:pt idx="312">
                  <c:v>-3.4762159864287767E-4</c:v>
                </c:pt>
                <c:pt idx="313">
                  <c:v>-1.1321484144598548E-3</c:v>
                </c:pt>
                <c:pt idx="314">
                  <c:v>-3.5453670089111711E-3</c:v>
                </c:pt>
                <c:pt idx="315">
                  <c:v>2.7280672352485436E-3</c:v>
                </c:pt>
                <c:pt idx="316">
                  <c:v>1.1873817294504763E-2</c:v>
                </c:pt>
                <c:pt idx="317">
                  <c:v>-4.809877153488018E-3</c:v>
                </c:pt>
                <c:pt idx="318">
                  <c:v>-4.4977441860072354E-4</c:v>
                </c:pt>
                <c:pt idx="319">
                  <c:v>1.1840033238402548E-2</c:v>
                </c:pt>
                <c:pt idx="320">
                  <c:v>-2.5541185091011442E-3</c:v>
                </c:pt>
                <c:pt idx="321">
                  <c:v>-1.9131003481598352E-3</c:v>
                </c:pt>
                <c:pt idx="322">
                  <c:v>1.1030344256396596E-2</c:v>
                </c:pt>
                <c:pt idx="323">
                  <c:v>1.6627571884764603E-2</c:v>
                </c:pt>
                <c:pt idx="324">
                  <c:v>-5.8254154254255841E-3</c:v>
                </c:pt>
                <c:pt idx="325">
                  <c:v>-1.421090030626071E-3</c:v>
                </c:pt>
                <c:pt idx="326">
                  <c:v>2.7054561930150989E-4</c:v>
                </c:pt>
                <c:pt idx="327">
                  <c:v>4.5704742761638606E-3</c:v>
                </c:pt>
                <c:pt idx="328">
                  <c:v>1.485277356212289E-2</c:v>
                </c:pt>
                <c:pt idx="329">
                  <c:v>-4.7162741133909281E-3</c:v>
                </c:pt>
                <c:pt idx="330">
                  <c:v>-6.8254241800043136E-3</c:v>
                </c:pt>
                <c:pt idx="331">
                  <c:v>1.2754770636946855E-3</c:v>
                </c:pt>
                <c:pt idx="332">
                  <c:v>7.251113576554058E-4</c:v>
                </c:pt>
                <c:pt idx="333">
                  <c:v>8.8184356322988933E-3</c:v>
                </c:pt>
                <c:pt idx="334">
                  <c:v>8.035633584403401E-3</c:v>
                </c:pt>
                <c:pt idx="335">
                  <c:v>-3.5882362417535285E-3</c:v>
                </c:pt>
                <c:pt idx="336">
                  <c:v>1.8289841072046009E-2</c:v>
                </c:pt>
                <c:pt idx="337">
                  <c:v>1.4315289254205554E-2</c:v>
                </c:pt>
                <c:pt idx="338">
                  <c:v>1.9738842324117378E-3</c:v>
                </c:pt>
                <c:pt idx="339">
                  <c:v>1.9075555652102061E-2</c:v>
                </c:pt>
                <c:pt idx="340">
                  <c:v>1.2328530985949993E-3</c:v>
                </c:pt>
                <c:pt idx="341">
                  <c:v>-2.5666090316902812E-2</c:v>
                </c:pt>
                <c:pt idx="342">
                  <c:v>-4.6579307159455574E-4</c:v>
                </c:pt>
                <c:pt idx="343">
                  <c:v>-3.3629845707411343E-3</c:v>
                </c:pt>
                <c:pt idx="344">
                  <c:v>-2.0486426492924981E-3</c:v>
                </c:pt>
                <c:pt idx="345">
                  <c:v>-1.2318429542511833E-2</c:v>
                </c:pt>
                <c:pt idx="346">
                  <c:v>4.5657839091290953E-3</c:v>
                </c:pt>
                <c:pt idx="347">
                  <c:v>-1.6164165808483677E-2</c:v>
                </c:pt>
                <c:pt idx="348">
                  <c:v>-2.5610596092323634E-3</c:v>
                </c:pt>
                <c:pt idx="349">
                  <c:v>8.7054144634388653E-3</c:v>
                </c:pt>
                <c:pt idx="350">
                  <c:v>1.2831311668480172E-2</c:v>
                </c:pt>
                <c:pt idx="351">
                  <c:v>-4.0896559494183471E-3</c:v>
                </c:pt>
                <c:pt idx="352">
                  <c:v>4.4870433311676727E-3</c:v>
                </c:pt>
                <c:pt idx="353">
                  <c:v>5.2779550339641101E-3</c:v>
                </c:pt>
                <c:pt idx="354">
                  <c:v>-1.389756045083701E-2</c:v>
                </c:pt>
                <c:pt idx="355">
                  <c:v>2.5083053334552297E-2</c:v>
                </c:pt>
                <c:pt idx="356">
                  <c:v>-1.5329595630917514E-2</c:v>
                </c:pt>
                <c:pt idx="357">
                  <c:v>1.1647937858398905E-3</c:v>
                </c:pt>
                <c:pt idx="358">
                  <c:v>1.8292974600429224E-2</c:v>
                </c:pt>
                <c:pt idx="359">
                  <c:v>-2.9576446573270077E-2</c:v>
                </c:pt>
                <c:pt idx="360">
                  <c:v>-8.3916701654499493E-3</c:v>
                </c:pt>
                <c:pt idx="361">
                  <c:v>6.0873639319747319E-4</c:v>
                </c:pt>
                <c:pt idx="362">
                  <c:v>2.4297748404812358E-2</c:v>
                </c:pt>
                <c:pt idx="363">
                  <c:v>3.9033859095586321E-2</c:v>
                </c:pt>
                <c:pt idx="364">
                  <c:v>-1.3521995197235293E-2</c:v>
                </c:pt>
                <c:pt idx="365">
                  <c:v>-3.9413693006101091E-2</c:v>
                </c:pt>
                <c:pt idx="366">
                  <c:v>-3.1850965323014013E-2</c:v>
                </c:pt>
                <c:pt idx="367">
                  <c:v>-2.1100170100298521E-2</c:v>
                </c:pt>
                <c:pt idx="368">
                  <c:v>-8.2548765064381913E-3</c:v>
                </c:pt>
                <c:pt idx="369">
                  <c:v>-2.6255299342222704E-3</c:v>
                </c:pt>
                <c:pt idx="370">
                  <c:v>5.2114240209388818E-3</c:v>
                </c:pt>
                <c:pt idx="371">
                  <c:v>3.9119638755009678E-3</c:v>
                </c:pt>
                <c:pt idx="372">
                  <c:v>-1.2752119735933709E-3</c:v>
                </c:pt>
                <c:pt idx="373">
                  <c:v>9.5005490957422722E-4</c:v>
                </c:pt>
                <c:pt idx="374">
                  <c:v>-9.5571028381046252E-3</c:v>
                </c:pt>
                <c:pt idx="375">
                  <c:v>1.2808166814617383E-2</c:v>
                </c:pt>
                <c:pt idx="376">
                  <c:v>-2.8748828113334124E-3</c:v>
                </c:pt>
                <c:pt idx="377">
                  <c:v>-7.7529851406474837E-3</c:v>
                </c:pt>
                <c:pt idx="378">
                  <c:v>3.1146789732108271E-3</c:v>
                </c:pt>
                <c:pt idx="379">
                  <c:v>-2.2497049209078135E-3</c:v>
                </c:pt>
                <c:pt idx="380">
                  <c:v>-2.7568868152492154E-3</c:v>
                </c:pt>
                <c:pt idx="381">
                  <c:v>-2.2715200228432542E-3</c:v>
                </c:pt>
                <c:pt idx="382">
                  <c:v>2.8367565729991995E-5</c:v>
                </c:pt>
                <c:pt idx="383">
                  <c:v>7.3187951749671409E-3</c:v>
                </c:pt>
                <c:pt idx="384">
                  <c:v>1.2386154420169104E-2</c:v>
                </c:pt>
                <c:pt idx="385">
                  <c:v>-5.7750148178546956E-3</c:v>
                </c:pt>
                <c:pt idx="386">
                  <c:v>-1.0703328044585847E-2</c:v>
                </c:pt>
                <c:pt idx="387">
                  <c:v>-5.676040279191108E-3</c:v>
                </c:pt>
                <c:pt idx="388">
                  <c:v>-2.3877100868345824E-3</c:v>
                </c:pt>
                <c:pt idx="389">
                  <c:v>-4.2616891933443535E-3</c:v>
                </c:pt>
                <c:pt idx="390">
                  <c:v>7.7123353389474403E-4</c:v>
                </c:pt>
                <c:pt idx="391">
                  <c:v>1.1061832220924384E-3</c:v>
                </c:pt>
                <c:pt idx="392">
                  <c:v>8.0146805473277904E-3</c:v>
                </c:pt>
                <c:pt idx="393">
                  <c:v>-7.349861476158015E-4</c:v>
                </c:pt>
                <c:pt idx="394">
                  <c:v>4.4531589653222792E-3</c:v>
                </c:pt>
                <c:pt idx="395">
                  <c:v>1.1066049496427866E-2</c:v>
                </c:pt>
                <c:pt idx="396">
                  <c:v>1.2338484808258832E-2</c:v>
                </c:pt>
                <c:pt idx="397">
                  <c:v>2.2622026295469055E-3</c:v>
                </c:pt>
                <c:pt idx="398">
                  <c:v>-1.6652748966799358E-2</c:v>
                </c:pt>
                <c:pt idx="399">
                  <c:v>6.0809750474632995E-3</c:v>
                </c:pt>
                <c:pt idx="400">
                  <c:v>-3.861756607829947E-3</c:v>
                </c:pt>
                <c:pt idx="401">
                  <c:v>-3.080229438562343E-4</c:v>
                </c:pt>
                <c:pt idx="402">
                  <c:v>6.9360403748921495E-3</c:v>
                </c:pt>
                <c:pt idx="403">
                  <c:v>2.6584894755439237E-3</c:v>
                </c:pt>
                <c:pt idx="404">
                  <c:v>-2.0866193609611283E-2</c:v>
                </c:pt>
                <c:pt idx="405">
                  <c:v>-3.9007994871598228E-4</c:v>
                </c:pt>
                <c:pt idx="406">
                  <c:v>-2.973574048915073E-3</c:v>
                </c:pt>
                <c:pt idx="407">
                  <c:v>-7.3532969401711723E-3</c:v>
                </c:pt>
                <c:pt idx="408">
                  <c:v>6.3586826091577286E-4</c:v>
                </c:pt>
                <c:pt idx="409">
                  <c:v>6.094866829202239E-3</c:v>
                </c:pt>
                <c:pt idx="410">
                  <c:v>-5.3035017504078352E-3</c:v>
                </c:pt>
                <c:pt idx="411">
                  <c:v>9.9027106626514705E-3</c:v>
                </c:pt>
                <c:pt idx="412">
                  <c:v>1.9796411387709156E-3</c:v>
                </c:pt>
                <c:pt idx="413">
                  <c:v>5.6898564053051714E-3</c:v>
                </c:pt>
                <c:pt idx="414">
                  <c:v>-4.6225721215145121E-3</c:v>
                </c:pt>
                <c:pt idx="415">
                  <c:v>-6.9942998831643566E-3</c:v>
                </c:pt>
                <c:pt idx="416">
                  <c:v>1.7386262992553636E-3</c:v>
                </c:pt>
                <c:pt idx="417">
                  <c:v>1.204242491174079E-2</c:v>
                </c:pt>
                <c:pt idx="418">
                  <c:v>4.1835298173786839E-4</c:v>
                </c:pt>
                <c:pt idx="419">
                  <c:v>-6.4745098717947647E-3</c:v>
                </c:pt>
                <c:pt idx="420">
                  <c:v>-1.4361830452781499E-3</c:v>
                </c:pt>
                <c:pt idx="421">
                  <c:v>-8.6231673566271594E-3</c:v>
                </c:pt>
                <c:pt idx="422">
                  <c:v>2.1188707775647853E-3</c:v>
                </c:pt>
                <c:pt idx="423">
                  <c:v>-1.0085958054164568E-3</c:v>
                </c:pt>
                <c:pt idx="424">
                  <c:v>2.0594608593389463E-3</c:v>
                </c:pt>
                <c:pt idx="425">
                  <c:v>-6.3184689448647635E-3</c:v>
                </c:pt>
                <c:pt idx="426">
                  <c:v>-1.2667607066396691E-3</c:v>
                </c:pt>
                <c:pt idx="427">
                  <c:v>9.1626411220271375E-3</c:v>
                </c:pt>
                <c:pt idx="428">
                  <c:v>-1.028198046779627E-2</c:v>
                </c:pt>
                <c:pt idx="429">
                  <c:v>-2.2338859444231973E-3</c:v>
                </c:pt>
                <c:pt idx="430">
                  <c:v>2.3378741542858794E-3</c:v>
                </c:pt>
                <c:pt idx="431">
                  <c:v>-9.3051603155314133E-4</c:v>
                </c:pt>
                <c:pt idx="432">
                  <c:v>-6.43374521663298E-4</c:v>
                </c:pt>
                <c:pt idx="433">
                  <c:v>3.0479481898115779E-3</c:v>
                </c:pt>
                <c:pt idx="434">
                  <c:v>7.6841352349998893E-4</c:v>
                </c:pt>
                <c:pt idx="435">
                  <c:v>1.077928701516595E-2</c:v>
                </c:pt>
                <c:pt idx="436">
                  <c:v>-3.0495491649840112E-4</c:v>
                </c:pt>
                <c:pt idx="437">
                  <c:v>-2.949637714718456E-3</c:v>
                </c:pt>
                <c:pt idx="438">
                  <c:v>-5.0895607491248107E-3</c:v>
                </c:pt>
                <c:pt idx="439">
                  <c:v>1.3457901340996115E-2</c:v>
                </c:pt>
                <c:pt idx="440">
                  <c:v>3.7738136047080761E-3</c:v>
                </c:pt>
                <c:pt idx="441">
                  <c:v>-4.4557250073096188E-3</c:v>
                </c:pt>
                <c:pt idx="442">
                  <c:v>-1.1837383538524149E-2</c:v>
                </c:pt>
                <c:pt idx="443">
                  <c:v>2.9407486092096757E-3</c:v>
                </c:pt>
                <c:pt idx="444">
                  <c:v>1.0923001515586117E-2</c:v>
                </c:pt>
                <c:pt idx="445">
                  <c:v>-1.0128906665100579E-2</c:v>
                </c:pt>
                <c:pt idx="446">
                  <c:v>-3.7403355286635964E-3</c:v>
                </c:pt>
                <c:pt idx="447">
                  <c:v>2.7692317470553451E-3</c:v>
                </c:pt>
                <c:pt idx="448">
                  <c:v>-4.14131399984774E-3</c:v>
                </c:pt>
                <c:pt idx="449">
                  <c:v>2.2528002125912217E-3</c:v>
                </c:pt>
                <c:pt idx="450">
                  <c:v>2.3577160344365744E-3</c:v>
                </c:pt>
                <c:pt idx="451">
                  <c:v>5.0874804159597442E-3</c:v>
                </c:pt>
                <c:pt idx="452">
                  <c:v>-1.4806051919155072E-3</c:v>
                </c:pt>
                <c:pt idx="453">
                  <c:v>9.2351313331806573E-3</c:v>
                </c:pt>
                <c:pt idx="454">
                  <c:v>-1.1311245237798029E-2</c:v>
                </c:pt>
                <c:pt idx="455">
                  <c:v>-7.7844381361602544E-4</c:v>
                </c:pt>
                <c:pt idx="456">
                  <c:v>5.1481957339105655E-3</c:v>
                </c:pt>
                <c:pt idx="457">
                  <c:v>1.6297587545692771E-3</c:v>
                </c:pt>
                <c:pt idx="458">
                  <c:v>-4.5812806150653529E-3</c:v>
                </c:pt>
                <c:pt idx="459">
                  <c:v>5.2028650588638037E-3</c:v>
                </c:pt>
                <c:pt idx="460">
                  <c:v>4.4574813568534211E-3</c:v>
                </c:pt>
                <c:pt idx="461">
                  <c:v>2.6825330225748178E-3</c:v>
                </c:pt>
                <c:pt idx="462">
                  <c:v>-2.0619040280095424E-3</c:v>
                </c:pt>
                <c:pt idx="463">
                  <c:v>6.6088150025853665E-3</c:v>
                </c:pt>
                <c:pt idx="464">
                  <c:v>3.5296671869311513E-3</c:v>
                </c:pt>
                <c:pt idx="465">
                  <c:v>-3.9653716707825915E-3</c:v>
                </c:pt>
                <c:pt idx="466">
                  <c:v>-8.7957747373061945E-3</c:v>
                </c:pt>
                <c:pt idx="467">
                  <c:v>1.2236644843459654E-2</c:v>
                </c:pt>
                <c:pt idx="468">
                  <c:v>2.3685617450666108E-3</c:v>
                </c:pt>
                <c:pt idx="469">
                  <c:v>-2.3775002467200101E-3</c:v>
                </c:pt>
                <c:pt idx="470">
                  <c:v>-1.4558905570164926E-2</c:v>
                </c:pt>
                <c:pt idx="471">
                  <c:v>-6.1394220159830537E-3</c:v>
                </c:pt>
                <c:pt idx="472">
                  <c:v>-1.7457311460168379E-3</c:v>
                </c:pt>
                <c:pt idx="473">
                  <c:v>9.0127546079468157E-3</c:v>
                </c:pt>
                <c:pt idx="474">
                  <c:v>-4.8725791855204204E-3</c:v>
                </c:pt>
                <c:pt idx="475">
                  <c:v>1.2158421547431297E-2</c:v>
                </c:pt>
                <c:pt idx="476">
                  <c:v>-3.3201736486770939E-3</c:v>
                </c:pt>
                <c:pt idx="477">
                  <c:v>1.3533671143615367E-2</c:v>
                </c:pt>
                <c:pt idx="478">
                  <c:v>-6.074711051894166E-3</c:v>
                </c:pt>
                <c:pt idx="479">
                  <c:v>1.2601439598289632E-2</c:v>
                </c:pt>
                <c:pt idx="480">
                  <c:v>-1.9176796017918996E-3</c:v>
                </c:pt>
                <c:pt idx="481">
                  <c:v>-1.6961330342146863E-2</c:v>
                </c:pt>
                <c:pt idx="482">
                  <c:v>3.9444212511012822E-3</c:v>
                </c:pt>
                <c:pt idx="483">
                  <c:v>-1.4173946449004382E-2</c:v>
                </c:pt>
                <c:pt idx="484">
                  <c:v>1.1960800966932528E-3</c:v>
                </c:pt>
                <c:pt idx="485">
                  <c:v>-4.3885034836337322E-3</c:v>
                </c:pt>
                <c:pt idx="486">
                  <c:v>-4.5385424912860461E-3</c:v>
                </c:pt>
                <c:pt idx="487">
                  <c:v>6.1249194583037347E-3</c:v>
                </c:pt>
                <c:pt idx="488">
                  <c:v>-2.9563044380468417E-3</c:v>
                </c:pt>
                <c:pt idx="489">
                  <c:v>-1.4760281390748808E-3</c:v>
                </c:pt>
                <c:pt idx="490">
                  <c:v>-7.6572362551974305E-4</c:v>
                </c:pt>
                <c:pt idx="491">
                  <c:v>2.7587707226623959E-3</c:v>
                </c:pt>
                <c:pt idx="492">
                  <c:v>-3.0333932859605284E-4</c:v>
                </c:pt>
                <c:pt idx="493">
                  <c:v>6.1265337911273754E-3</c:v>
                </c:pt>
                <c:pt idx="494">
                  <c:v>-1.0620575860226245E-3</c:v>
                </c:pt>
                <c:pt idx="495">
                  <c:v>-3.1430909868912504E-4</c:v>
                </c:pt>
                <c:pt idx="496">
                  <c:v>1.5975746264769164E-3</c:v>
                </c:pt>
                <c:pt idx="497">
                  <c:v>4.0747386048680667E-3</c:v>
                </c:pt>
                <c:pt idx="498">
                  <c:v>9.6445063500696371E-3</c:v>
                </c:pt>
                <c:pt idx="499">
                  <c:v>-2.9033785063692363E-5</c:v>
                </c:pt>
                <c:pt idx="500">
                  <c:v>1.0675561188404625E-2</c:v>
                </c:pt>
                <c:pt idx="501">
                  <c:v>-4.2471946188310516E-3</c:v>
                </c:pt>
                <c:pt idx="502">
                  <c:v>-3.4181723966975053E-3</c:v>
                </c:pt>
                <c:pt idx="503">
                  <c:v>1.0291406800400527E-2</c:v>
                </c:pt>
                <c:pt idx="504">
                  <c:v>-4.1560459502908431E-3</c:v>
                </c:pt>
                <c:pt idx="505">
                  <c:v>1.4439494938539577E-2</c:v>
                </c:pt>
                <c:pt idx="506">
                  <c:v>1.2962464037225452E-2</c:v>
                </c:pt>
                <c:pt idx="507">
                  <c:v>-1.2991965367965319E-2</c:v>
                </c:pt>
                <c:pt idx="508">
                  <c:v>9.5346853777025231E-3</c:v>
                </c:pt>
                <c:pt idx="509">
                  <c:v>-1.3495609538427322E-2</c:v>
                </c:pt>
                <c:pt idx="510">
                  <c:v>-1.338786237931644E-2</c:v>
                </c:pt>
                <c:pt idx="511">
                  <c:v>2.5684610859357804E-3</c:v>
                </c:pt>
                <c:pt idx="512">
                  <c:v>-5.4915224477954938E-3</c:v>
                </c:pt>
                <c:pt idx="513">
                  <c:v>1.5269721805970526E-2</c:v>
                </c:pt>
                <c:pt idx="514">
                  <c:v>4.7316238254433429E-3</c:v>
                </c:pt>
                <c:pt idx="515">
                  <c:v>1.5499524278268506E-3</c:v>
                </c:pt>
                <c:pt idx="516">
                  <c:v>1.342419939545203E-2</c:v>
                </c:pt>
                <c:pt idx="517">
                  <c:v>-9.2478761255537778E-3</c:v>
                </c:pt>
                <c:pt idx="518">
                  <c:v>-5.813066949783785E-3</c:v>
                </c:pt>
                <c:pt idx="519">
                  <c:v>-2.5785554979215197E-3</c:v>
                </c:pt>
                <c:pt idx="520">
                  <c:v>-8.0936852433588502E-3</c:v>
                </c:pt>
                <c:pt idx="521">
                  <c:v>-8.4038110405733057E-3</c:v>
                </c:pt>
                <c:pt idx="522">
                  <c:v>1.7888281045797649E-2</c:v>
                </c:pt>
                <c:pt idx="523">
                  <c:v>1.1629842642575161E-2</c:v>
                </c:pt>
                <c:pt idx="524">
                  <c:v>-8.8934718701129123E-3</c:v>
                </c:pt>
                <c:pt idx="525">
                  <c:v>-1.8278105089703178E-2</c:v>
                </c:pt>
                <c:pt idx="526">
                  <c:v>-3.3996358896326573E-4</c:v>
                </c:pt>
                <c:pt idx="527">
                  <c:v>-1.0310858744699503E-2</c:v>
                </c:pt>
                <c:pt idx="528">
                  <c:v>-4.8886043842468752E-3</c:v>
                </c:pt>
                <c:pt idx="529">
                  <c:v>8.617741459158168E-4</c:v>
                </c:pt>
                <c:pt idx="530">
                  <c:v>3.3095747051798963E-3</c:v>
                </c:pt>
                <c:pt idx="531">
                  <c:v>-1.3929650838551133E-4</c:v>
                </c:pt>
                <c:pt idx="532">
                  <c:v>1.7463618366218014E-3</c:v>
                </c:pt>
                <c:pt idx="533">
                  <c:v>3.8104640443461513E-3</c:v>
                </c:pt>
                <c:pt idx="534">
                  <c:v>4.5700489956972401E-3</c:v>
                </c:pt>
                <c:pt idx="535">
                  <c:v>2.4015204327992201E-2</c:v>
                </c:pt>
                <c:pt idx="536">
                  <c:v>2.0352416032282106E-2</c:v>
                </c:pt>
                <c:pt idx="537">
                  <c:v>-8.4890230633609676E-3</c:v>
                </c:pt>
                <c:pt idx="538">
                  <c:v>-6.3425865262338732E-3</c:v>
                </c:pt>
                <c:pt idx="539">
                  <c:v>-1.6213587336401436E-2</c:v>
                </c:pt>
                <c:pt idx="540">
                  <c:v>4.5356890106136305E-3</c:v>
                </c:pt>
                <c:pt idx="541">
                  <c:v>-1.6350968476922301E-2</c:v>
                </c:pt>
                <c:pt idx="542">
                  <c:v>-2.3782391289095539E-4</c:v>
                </c:pt>
                <c:pt idx="543">
                  <c:v>-7.2565649262453791E-3</c:v>
                </c:pt>
                <c:pt idx="544">
                  <c:v>1.6652163837824752E-3</c:v>
                </c:pt>
                <c:pt idx="545">
                  <c:v>-1.1618960866265349E-3</c:v>
                </c:pt>
                <c:pt idx="546">
                  <c:v>3.7647425978213356E-3</c:v>
                </c:pt>
                <c:pt idx="547">
                  <c:v>6.3844613802610528E-3</c:v>
                </c:pt>
                <c:pt idx="548">
                  <c:v>-6.8293629191256144E-3</c:v>
                </c:pt>
                <c:pt idx="549">
                  <c:v>-2.5424269243935482E-3</c:v>
                </c:pt>
                <c:pt idx="550">
                  <c:v>2.8059819734722602E-3</c:v>
                </c:pt>
                <c:pt idx="551">
                  <c:v>-1.1500297675195448E-3</c:v>
                </c:pt>
                <c:pt idx="552">
                  <c:v>2.8640232614489669E-3</c:v>
                </c:pt>
                <c:pt idx="553">
                  <c:v>5.2368773596394025E-3</c:v>
                </c:pt>
                <c:pt idx="554">
                  <c:v>1.9670960682991456E-3</c:v>
                </c:pt>
                <c:pt idx="555">
                  <c:v>-1.5011589465070418E-3</c:v>
                </c:pt>
                <c:pt idx="556">
                  <c:v>5.1339835387078647E-3</c:v>
                </c:pt>
                <c:pt idx="557">
                  <c:v>7.3535902173205159E-4</c:v>
                </c:pt>
                <c:pt idx="558">
                  <c:v>2.4027009388971621E-4</c:v>
                </c:pt>
                <c:pt idx="559">
                  <c:v>5.2984471973505087E-4</c:v>
                </c:pt>
                <c:pt idx="560">
                  <c:v>-7.011168232956555E-4</c:v>
                </c:pt>
                <c:pt idx="561">
                  <c:v>6.9669423578599954E-4</c:v>
                </c:pt>
                <c:pt idx="562">
                  <c:v>3.1201847822315276E-3</c:v>
                </c:pt>
                <c:pt idx="563">
                  <c:v>3.4958621394820533E-4</c:v>
                </c:pt>
                <c:pt idx="564">
                  <c:v>3.7755131791228358E-3</c:v>
                </c:pt>
                <c:pt idx="565">
                  <c:v>5.7004970611858052E-3</c:v>
                </c:pt>
                <c:pt idx="566">
                  <c:v>-2.8298416763913314E-3</c:v>
                </c:pt>
                <c:pt idx="567">
                  <c:v>-1.1892172848682048E-4</c:v>
                </c:pt>
                <c:pt idx="568">
                  <c:v>1.1731393837739246E-2</c:v>
                </c:pt>
                <c:pt idx="569">
                  <c:v>6.2301239442688061E-3</c:v>
                </c:pt>
                <c:pt idx="570">
                  <c:v>-1.3853554984093464E-3</c:v>
                </c:pt>
                <c:pt idx="571">
                  <c:v>1.1939073087332774E-2</c:v>
                </c:pt>
                <c:pt idx="572">
                  <c:v>-1.5015683077650444E-3</c:v>
                </c:pt>
                <c:pt idx="573">
                  <c:v>7.0534495139922271E-3</c:v>
                </c:pt>
                <c:pt idx="574">
                  <c:v>1.2303377173358276E-2</c:v>
                </c:pt>
                <c:pt idx="575">
                  <c:v>-7.2993302297037488E-3</c:v>
                </c:pt>
                <c:pt idx="576">
                  <c:v>1.9574486900938215E-2</c:v>
                </c:pt>
                <c:pt idx="577">
                  <c:v>9.1426572052477617E-3</c:v>
                </c:pt>
                <c:pt idx="578">
                  <c:v>1.2884107384289356E-2</c:v>
                </c:pt>
                <c:pt idx="579">
                  <c:v>1.4497796039147914E-4</c:v>
                </c:pt>
                <c:pt idx="580">
                  <c:v>-8.1003149581485578E-3</c:v>
                </c:pt>
                <c:pt idx="581">
                  <c:v>1.5788648110077741E-3</c:v>
                </c:pt>
                <c:pt idx="582">
                  <c:v>-1.646792974123501E-2</c:v>
                </c:pt>
                <c:pt idx="583">
                  <c:v>-1.1451012310168207E-2</c:v>
                </c:pt>
                <c:pt idx="584">
                  <c:v>-2.0661415157819274E-2</c:v>
                </c:pt>
                <c:pt idx="585">
                  <c:v>1.7461650260492734E-2</c:v>
                </c:pt>
                <c:pt idx="586">
                  <c:v>-1.5126052674955925E-2</c:v>
                </c:pt>
                <c:pt idx="587">
                  <c:v>-1.5651597959429608E-3</c:v>
                </c:pt>
                <c:pt idx="588">
                  <c:v>1.1165509440962396E-2</c:v>
                </c:pt>
                <c:pt idx="589">
                  <c:v>5.1434619070533927E-6</c:v>
                </c:pt>
                <c:pt idx="590">
                  <c:v>-1.3248561055071106E-2</c:v>
                </c:pt>
                <c:pt idx="591">
                  <c:v>-2.7859287407672184E-3</c:v>
                </c:pt>
                <c:pt idx="592">
                  <c:v>-2.5468023608055113E-3</c:v>
                </c:pt>
                <c:pt idx="593">
                  <c:v>8.5758249460872182E-3</c:v>
                </c:pt>
                <c:pt idx="594">
                  <c:v>-1.61687725605415E-2</c:v>
                </c:pt>
                <c:pt idx="595">
                  <c:v>7.8324913345220182E-3</c:v>
                </c:pt>
                <c:pt idx="596">
                  <c:v>-5.7765012985656616E-3</c:v>
                </c:pt>
                <c:pt idx="597">
                  <c:v>-8.0133231235974822E-3</c:v>
                </c:pt>
                <c:pt idx="598">
                  <c:v>-4.7726961218230723E-4</c:v>
                </c:pt>
                <c:pt idx="599">
                  <c:v>4.8911800557180918E-3</c:v>
                </c:pt>
                <c:pt idx="600">
                  <c:v>1.295643791290102E-3</c:v>
                </c:pt>
                <c:pt idx="601">
                  <c:v>7.4843760048879382E-3</c:v>
                </c:pt>
                <c:pt idx="602">
                  <c:v>-7.101513806340165E-4</c:v>
                </c:pt>
                <c:pt idx="603">
                  <c:v>-5.9625584080529315E-3</c:v>
                </c:pt>
                <c:pt idx="604">
                  <c:v>8.8190553243849834E-4</c:v>
                </c:pt>
                <c:pt idx="605">
                  <c:v>3.646074417693379E-3</c:v>
                </c:pt>
                <c:pt idx="606">
                  <c:v>-6.5450092152764539E-3</c:v>
                </c:pt>
                <c:pt idx="607">
                  <c:v>-3.0731142046667159E-3</c:v>
                </c:pt>
                <c:pt idx="608">
                  <c:v>5.0358856051553325E-3</c:v>
                </c:pt>
                <c:pt idx="609">
                  <c:v>-1.5344211306420608E-3</c:v>
                </c:pt>
                <c:pt idx="610">
                  <c:v>-7.7914076822671596E-4</c:v>
                </c:pt>
                <c:pt idx="611">
                  <c:v>-5.4406624972935802E-4</c:v>
                </c:pt>
                <c:pt idx="612">
                  <c:v>3.3204147927141658E-3</c:v>
                </c:pt>
                <c:pt idx="613">
                  <c:v>-1.6899011101580985E-3</c:v>
                </c:pt>
                <c:pt idx="614">
                  <c:v>4.9986999630213802E-5</c:v>
                </c:pt>
                <c:pt idx="615">
                  <c:v>1.0510811012214294E-3</c:v>
                </c:pt>
                <c:pt idx="616">
                  <c:v>4.7877790611010607E-3</c:v>
                </c:pt>
                <c:pt idx="617">
                  <c:v>-1.9925872252457566E-3</c:v>
                </c:pt>
                <c:pt idx="618">
                  <c:v>2.9498894898596362E-3</c:v>
                </c:pt>
                <c:pt idx="619">
                  <c:v>2.4778129084919165E-3</c:v>
                </c:pt>
                <c:pt idx="620">
                  <c:v>5.0006522411709664E-3</c:v>
                </c:pt>
                <c:pt idx="621">
                  <c:v>8.5316719162744636E-3</c:v>
                </c:pt>
                <c:pt idx="622">
                  <c:v>-6.1372864230357926E-5</c:v>
                </c:pt>
                <c:pt idx="623">
                  <c:v>4.3458140492873554E-3</c:v>
                </c:pt>
                <c:pt idx="624">
                  <c:v>6.7071601809953751E-3</c:v>
                </c:pt>
                <c:pt idx="625">
                  <c:v>-1.6366416413624574E-3</c:v>
                </c:pt>
                <c:pt idx="626">
                  <c:v>2.7594251853759744E-3</c:v>
                </c:pt>
                <c:pt idx="627">
                  <c:v>1.1531402683691017E-2</c:v>
                </c:pt>
                <c:pt idx="628">
                  <c:v>-5.5566200347696437E-3</c:v>
                </c:pt>
                <c:pt idx="629">
                  <c:v>1.5638394035066838E-5</c:v>
                </c:pt>
                <c:pt idx="630">
                  <c:v>-9.6854698048235432E-3</c:v>
                </c:pt>
                <c:pt idx="631">
                  <c:v>7.1890324532961625E-3</c:v>
                </c:pt>
                <c:pt idx="632">
                  <c:v>-2.8591213797275472E-3</c:v>
                </c:pt>
                <c:pt idx="633">
                  <c:v>-1.9999240169110255E-2</c:v>
                </c:pt>
                <c:pt idx="634">
                  <c:v>6.0912715035721376E-5</c:v>
                </c:pt>
                <c:pt idx="635">
                  <c:v>-4.5277869362705392E-3</c:v>
                </c:pt>
                <c:pt idx="636">
                  <c:v>2.8815472052179381E-4</c:v>
                </c:pt>
                <c:pt idx="637">
                  <c:v>-4.8491504426518839E-3</c:v>
                </c:pt>
                <c:pt idx="638">
                  <c:v>4.8815556797321413E-4</c:v>
                </c:pt>
                <c:pt idx="639">
                  <c:v>1.7544382737448849E-3</c:v>
                </c:pt>
                <c:pt idx="640">
                  <c:v>5.0161499242102892E-3</c:v>
                </c:pt>
                <c:pt idx="641">
                  <c:v>-2.3202505622667013E-3</c:v>
                </c:pt>
                <c:pt idx="642">
                  <c:v>1.0264935780914586E-2</c:v>
                </c:pt>
                <c:pt idx="643">
                  <c:v>-1.1834026372541717E-2</c:v>
                </c:pt>
                <c:pt idx="644">
                  <c:v>4.2010849337998923E-3</c:v>
                </c:pt>
                <c:pt idx="645">
                  <c:v>-1.9320960226444361E-3</c:v>
                </c:pt>
                <c:pt idx="646">
                  <c:v>4.8435533483188742E-3</c:v>
                </c:pt>
                <c:pt idx="647">
                  <c:v>1.4709224507656327E-3</c:v>
                </c:pt>
                <c:pt idx="648">
                  <c:v>-4.1310716999271024E-3</c:v>
                </c:pt>
                <c:pt idx="649">
                  <c:v>4.6442678303448837E-3</c:v>
                </c:pt>
                <c:pt idx="650">
                  <c:v>-7.0488017752527998E-3</c:v>
                </c:pt>
                <c:pt idx="651">
                  <c:v>-3.9235218548472339E-3</c:v>
                </c:pt>
                <c:pt idx="652">
                  <c:v>5.4795079698359839E-3</c:v>
                </c:pt>
                <c:pt idx="653">
                  <c:v>6.5881308433302088E-4</c:v>
                </c:pt>
                <c:pt idx="654">
                  <c:v>6.6777705338432192E-3</c:v>
                </c:pt>
                <c:pt idx="655">
                  <c:v>-3.722569631802175E-4</c:v>
                </c:pt>
                <c:pt idx="656">
                  <c:v>1.9108685050301943E-3</c:v>
                </c:pt>
                <c:pt idx="657">
                  <c:v>-1.1788836944636172E-3</c:v>
                </c:pt>
                <c:pt idx="658">
                  <c:v>4.8975113067570852E-3</c:v>
                </c:pt>
                <c:pt idx="659">
                  <c:v>-6.4353106814546424E-3</c:v>
                </c:pt>
                <c:pt idx="660">
                  <c:v>-1.3246419817014576E-4</c:v>
                </c:pt>
                <c:pt idx="661">
                  <c:v>1.7300585025625814E-3</c:v>
                </c:pt>
                <c:pt idx="662">
                  <c:v>1.2774785769653629E-3</c:v>
                </c:pt>
                <c:pt idx="663">
                  <c:v>7.7188811874360219E-3</c:v>
                </c:pt>
                <c:pt idx="664">
                  <c:v>2.1725690929803587E-3</c:v>
                </c:pt>
                <c:pt idx="665">
                  <c:v>8.3670511298250538E-4</c:v>
                </c:pt>
                <c:pt idx="666">
                  <c:v>3.134561785089085E-3</c:v>
                </c:pt>
                <c:pt idx="667">
                  <c:v>-7.088893864193202E-3</c:v>
                </c:pt>
                <c:pt idx="668">
                  <c:v>-3.5370408204140613E-3</c:v>
                </c:pt>
                <c:pt idx="669">
                  <c:v>-2.4598389514540742E-4</c:v>
                </c:pt>
                <c:pt idx="670">
                  <c:v>9.3877167565414865E-4</c:v>
                </c:pt>
                <c:pt idx="671">
                  <c:v>4.6277584595830756E-3</c:v>
                </c:pt>
                <c:pt idx="672">
                  <c:v>6.5252795647932071E-3</c:v>
                </c:pt>
                <c:pt idx="673">
                  <c:v>1.891663731611759E-3</c:v>
                </c:pt>
                <c:pt idx="674">
                  <c:v>-3.7921682467634277E-4</c:v>
                </c:pt>
                <c:pt idx="675">
                  <c:v>7.2782640574686752E-4</c:v>
                </c:pt>
                <c:pt idx="676">
                  <c:v>1.8436779355184285E-3</c:v>
                </c:pt>
                <c:pt idx="677">
                  <c:v>5.3671102662891101E-3</c:v>
                </c:pt>
                <c:pt idx="678">
                  <c:v>-1.1140717722704085E-3</c:v>
                </c:pt>
                <c:pt idx="679">
                  <c:v>5.9878059416866858E-3</c:v>
                </c:pt>
                <c:pt idx="680">
                  <c:v>4.2483918237263829E-3</c:v>
                </c:pt>
                <c:pt idx="681">
                  <c:v>2.362229907096447E-3</c:v>
                </c:pt>
                <c:pt idx="682">
                  <c:v>8.116098822161355E-3</c:v>
                </c:pt>
                <c:pt idx="683">
                  <c:v>-6.4983980976560662E-3</c:v>
                </c:pt>
                <c:pt idx="684">
                  <c:v>3.8447866495221472E-3</c:v>
                </c:pt>
                <c:pt idx="685">
                  <c:v>3.7469647967112163E-3</c:v>
                </c:pt>
                <c:pt idx="686">
                  <c:v>-9.3618066583573967E-3</c:v>
                </c:pt>
                <c:pt idx="687">
                  <c:v>-4.7010051544701392E-3</c:v>
                </c:pt>
                <c:pt idx="688">
                  <c:v>4.2175783084807961E-4</c:v>
                </c:pt>
                <c:pt idx="689">
                  <c:v>9.6727376354577288E-3</c:v>
                </c:pt>
                <c:pt idx="690">
                  <c:v>1.5194761186390071E-3</c:v>
                </c:pt>
                <c:pt idx="691">
                  <c:v>-1.3736249160485325E-3</c:v>
                </c:pt>
                <c:pt idx="692">
                  <c:v>5.6164682944326305E-3</c:v>
                </c:pt>
                <c:pt idx="693">
                  <c:v>-8.9883919085642638E-3</c:v>
                </c:pt>
                <c:pt idx="694">
                  <c:v>1.8712158435478798E-3</c:v>
                </c:pt>
                <c:pt idx="695">
                  <c:v>-1.3484450263229197E-3</c:v>
                </c:pt>
                <c:pt idx="696">
                  <c:v>-1.4326123677377289E-4</c:v>
                </c:pt>
                <c:pt idx="697">
                  <c:v>2.9920169148385245E-3</c:v>
                </c:pt>
                <c:pt idx="698">
                  <c:v>4.7607568846756987E-3</c:v>
                </c:pt>
                <c:pt idx="699">
                  <c:v>3.2360362360925876E-3</c:v>
                </c:pt>
                <c:pt idx="700">
                  <c:v>-8.0963910132735295E-3</c:v>
                </c:pt>
                <c:pt idx="701">
                  <c:v>1.7169601918778366E-3</c:v>
                </c:pt>
                <c:pt idx="702">
                  <c:v>-2.2133137674165138E-3</c:v>
                </c:pt>
                <c:pt idx="703">
                  <c:v>4.092138928365463E-3</c:v>
                </c:pt>
                <c:pt idx="704">
                  <c:v>3.7751235169600772E-3</c:v>
                </c:pt>
                <c:pt idx="705">
                  <c:v>1.3638529136033029E-3</c:v>
                </c:pt>
                <c:pt idx="706">
                  <c:v>1.0488491036131586E-2</c:v>
                </c:pt>
                <c:pt idx="707">
                  <c:v>6.757307728767703E-3</c:v>
                </c:pt>
                <c:pt idx="708">
                  <c:v>8.2172862574667604E-3</c:v>
                </c:pt>
                <c:pt idx="709">
                  <c:v>-9.4867738546151603E-3</c:v>
                </c:pt>
                <c:pt idx="710">
                  <c:v>-2.0884795731297645E-2</c:v>
                </c:pt>
                <c:pt idx="711">
                  <c:v>1.091821282630856E-2</c:v>
                </c:pt>
                <c:pt idx="712">
                  <c:v>3.7505538382520687E-3</c:v>
                </c:pt>
                <c:pt idx="713">
                  <c:v>-1.0750112522990185E-2</c:v>
                </c:pt>
                <c:pt idx="714">
                  <c:v>-1.2537288155389015E-2</c:v>
                </c:pt>
                <c:pt idx="715">
                  <c:v>-1.1264498244039078E-3</c:v>
                </c:pt>
                <c:pt idx="716">
                  <c:v>2.8533263730607938E-3</c:v>
                </c:pt>
                <c:pt idx="717">
                  <c:v>7.0393487504074592E-3</c:v>
                </c:pt>
                <c:pt idx="718">
                  <c:v>7.9241023673413125E-3</c:v>
                </c:pt>
                <c:pt idx="719">
                  <c:v>4.6402218551417906E-3</c:v>
                </c:pt>
                <c:pt idx="720">
                  <c:v>-1.9000841472853747E-3</c:v>
                </c:pt>
                <c:pt idx="721">
                  <c:v>-7.0003194836042448E-3</c:v>
                </c:pt>
                <c:pt idx="722">
                  <c:v>4.4039399710529281E-3</c:v>
                </c:pt>
                <c:pt idx="723">
                  <c:v>-4.864710210823131E-3</c:v>
                </c:pt>
                <c:pt idx="724">
                  <c:v>-2.9326712841669655E-3</c:v>
                </c:pt>
                <c:pt idx="725">
                  <c:v>6.0405046723615019E-3</c:v>
                </c:pt>
                <c:pt idx="726">
                  <c:v>-6.1316490853251526E-3</c:v>
                </c:pt>
                <c:pt idx="727">
                  <c:v>7.2196189633604302E-3</c:v>
                </c:pt>
                <c:pt idx="728">
                  <c:v>9.6136345352755281E-3</c:v>
                </c:pt>
                <c:pt idx="729">
                  <c:v>-2.8217777310465264E-3</c:v>
                </c:pt>
                <c:pt idx="730">
                  <c:v>-1.1701094943450174E-2</c:v>
                </c:pt>
                <c:pt idx="731">
                  <c:v>3.0517072357705288E-4</c:v>
                </c:pt>
                <c:pt idx="732">
                  <c:v>-5.0821389519254412E-3</c:v>
                </c:pt>
                <c:pt idx="733">
                  <c:v>-4.6324624711580054E-4</c:v>
                </c:pt>
                <c:pt idx="734">
                  <c:v>5.3808942019850647E-4</c:v>
                </c:pt>
                <c:pt idx="735">
                  <c:v>1.7184078954717297E-3</c:v>
                </c:pt>
                <c:pt idx="736">
                  <c:v>-5.3351013755253973E-5</c:v>
                </c:pt>
                <c:pt idx="737">
                  <c:v>1.5267701291821645E-2</c:v>
                </c:pt>
                <c:pt idx="738">
                  <c:v>-7.3785105066267453E-3</c:v>
                </c:pt>
                <c:pt idx="739">
                  <c:v>2.7826887334101436E-3</c:v>
                </c:pt>
                <c:pt idx="740">
                  <c:v>4.94808300188887E-3</c:v>
                </c:pt>
                <c:pt idx="741">
                  <c:v>2.1699943693942458E-5</c:v>
                </c:pt>
                <c:pt idx="742">
                  <c:v>-1.3476816104130984E-3</c:v>
                </c:pt>
                <c:pt idx="743">
                  <c:v>6.1865132743363915E-3</c:v>
                </c:pt>
                <c:pt idx="744">
                  <c:v>-1.9187234040792811E-3</c:v>
                </c:pt>
                <c:pt idx="745">
                  <c:v>6.0314580997948841E-3</c:v>
                </c:pt>
                <c:pt idx="746">
                  <c:v>-6.5244844166295612E-3</c:v>
                </c:pt>
                <c:pt idx="747">
                  <c:v>1.15847396931823E-3</c:v>
                </c:pt>
                <c:pt idx="748">
                  <c:v>4.809216818833173E-3</c:v>
                </c:pt>
                <c:pt idx="749">
                  <c:v>5.8100249232653223E-3</c:v>
                </c:pt>
                <c:pt idx="750">
                  <c:v>-2.6926226129964093E-4</c:v>
                </c:pt>
                <c:pt idx="751">
                  <c:v>1.1062113507929405E-2</c:v>
                </c:pt>
                <c:pt idx="752">
                  <c:v>1.5692346042979199E-3</c:v>
                </c:pt>
                <c:pt idx="753">
                  <c:v>1.3301886898100301E-2</c:v>
                </c:pt>
                <c:pt idx="754">
                  <c:v>1.2439792887467327E-2</c:v>
                </c:pt>
                <c:pt idx="755">
                  <c:v>-2.0282224814169858E-3</c:v>
                </c:pt>
                <c:pt idx="756">
                  <c:v>7.6410886367013209E-3</c:v>
                </c:pt>
                <c:pt idx="757">
                  <c:v>-2.2831919721464478E-2</c:v>
                </c:pt>
                <c:pt idx="758">
                  <c:v>-6.4652993169356243E-3</c:v>
                </c:pt>
                <c:pt idx="759">
                  <c:v>1.1267044612831345E-2</c:v>
                </c:pt>
                <c:pt idx="760">
                  <c:v>-1.0209232357043185E-2</c:v>
                </c:pt>
                <c:pt idx="761">
                  <c:v>6.1406523707883132E-3</c:v>
                </c:pt>
                <c:pt idx="762">
                  <c:v>-4.8762936785797795E-3</c:v>
                </c:pt>
                <c:pt idx="763">
                  <c:v>-2.0875448636635485E-2</c:v>
                </c:pt>
                <c:pt idx="764">
                  <c:v>-8.8895765171035368E-3</c:v>
                </c:pt>
                <c:pt idx="765">
                  <c:v>5.7486493753744483E-4</c:v>
                </c:pt>
                <c:pt idx="766">
                  <c:v>2.7737521813855359E-3</c:v>
                </c:pt>
                <c:pt idx="767">
                  <c:v>-3.8951746537292387E-3</c:v>
                </c:pt>
                <c:pt idx="768">
                  <c:v>-1.3471201772711217E-3</c:v>
                </c:pt>
                <c:pt idx="769">
                  <c:v>5.1661881004574361E-3</c:v>
                </c:pt>
                <c:pt idx="770">
                  <c:v>1.0817971927264969E-2</c:v>
                </c:pt>
                <c:pt idx="771">
                  <c:v>-1.2576216537872997E-2</c:v>
                </c:pt>
                <c:pt idx="772">
                  <c:v>2.3066866807388564E-3</c:v>
                </c:pt>
                <c:pt idx="773">
                  <c:v>3.4830938044994042E-4</c:v>
                </c:pt>
                <c:pt idx="774">
                  <c:v>-2.1220917521214133E-4</c:v>
                </c:pt>
                <c:pt idx="775">
                  <c:v>6.0817644686330663E-3</c:v>
                </c:pt>
                <c:pt idx="776">
                  <c:v>-2.5117671538569253E-3</c:v>
                </c:pt>
                <c:pt idx="777">
                  <c:v>-3.329648831642551E-4</c:v>
                </c:pt>
                <c:pt idx="778">
                  <c:v>-8.8619127945468446E-3</c:v>
                </c:pt>
                <c:pt idx="779">
                  <c:v>3.9596751963926202E-3</c:v>
                </c:pt>
                <c:pt idx="780">
                  <c:v>-1.7925382627237418E-4</c:v>
                </c:pt>
                <c:pt idx="781">
                  <c:v>-3.3658483255782912E-4</c:v>
                </c:pt>
                <c:pt idx="782">
                  <c:v>4.7455295618106241E-3</c:v>
                </c:pt>
                <c:pt idx="783">
                  <c:v>2.9157468198170999E-3</c:v>
                </c:pt>
                <c:pt idx="784">
                  <c:v>5.3181201808143452E-3</c:v>
                </c:pt>
                <c:pt idx="785">
                  <c:v>4.8187279595763854E-3</c:v>
                </c:pt>
                <c:pt idx="786">
                  <c:v>-5.7992874718015841E-4</c:v>
                </c:pt>
                <c:pt idx="787">
                  <c:v>1.6647964065132026E-2</c:v>
                </c:pt>
                <c:pt idx="788">
                  <c:v>-3.100987875480743E-3</c:v>
                </c:pt>
                <c:pt idx="789">
                  <c:v>6.3200399597154178E-3</c:v>
                </c:pt>
                <c:pt idx="790">
                  <c:v>-1.0141030695576259E-4</c:v>
                </c:pt>
                <c:pt idx="791">
                  <c:v>-3.7705620570671616E-3</c:v>
                </c:pt>
                <c:pt idx="792">
                  <c:v>-1.1316874358758056E-2</c:v>
                </c:pt>
                <c:pt idx="793">
                  <c:v>-3.1796590387466184E-3</c:v>
                </c:pt>
                <c:pt idx="794">
                  <c:v>1.8171000126205872E-3</c:v>
                </c:pt>
                <c:pt idx="795">
                  <c:v>1.1237870889621915E-2</c:v>
                </c:pt>
                <c:pt idx="796">
                  <c:v>-4.3395729296272778E-3</c:v>
                </c:pt>
                <c:pt idx="797">
                  <c:v>-1.3034927269121033E-3</c:v>
                </c:pt>
                <c:pt idx="798">
                  <c:v>-3.1928479778842167E-3</c:v>
                </c:pt>
                <c:pt idx="799">
                  <c:v>-2.7190207383820386E-3</c:v>
                </c:pt>
                <c:pt idx="800">
                  <c:v>-7.8568915728149946E-4</c:v>
                </c:pt>
                <c:pt idx="801">
                  <c:v>2.4850811260574979E-3</c:v>
                </c:pt>
                <c:pt idx="802">
                  <c:v>1.4980471516801153E-4</c:v>
                </c:pt>
                <c:pt idx="803">
                  <c:v>-1.2633424872927623E-3</c:v>
                </c:pt>
                <c:pt idx="804">
                  <c:v>4.9614578718015778E-3</c:v>
                </c:pt>
                <c:pt idx="805">
                  <c:v>8.1285645546083085E-3</c:v>
                </c:pt>
                <c:pt idx="806">
                  <c:v>-3.6356111004592906E-3</c:v>
                </c:pt>
                <c:pt idx="807">
                  <c:v>-2.0429654768572281E-3</c:v>
                </c:pt>
                <c:pt idx="808">
                  <c:v>-3.6981975109817711E-3</c:v>
                </c:pt>
                <c:pt idx="809">
                  <c:v>4.2220342792496091E-3</c:v>
                </c:pt>
                <c:pt idx="810">
                  <c:v>4.8372586980920396E-3</c:v>
                </c:pt>
                <c:pt idx="811">
                  <c:v>8.0953444764779725E-3</c:v>
                </c:pt>
                <c:pt idx="812">
                  <c:v>-2.3703920471609408E-3</c:v>
                </c:pt>
                <c:pt idx="813">
                  <c:v>7.2293165115056013E-4</c:v>
                </c:pt>
                <c:pt idx="814">
                  <c:v>1.3427559555698521E-2</c:v>
                </c:pt>
                <c:pt idx="815">
                  <c:v>-1.3182772075429838E-2</c:v>
                </c:pt>
                <c:pt idx="816">
                  <c:v>4.265540039649407E-3</c:v>
                </c:pt>
                <c:pt idx="817">
                  <c:v>-2.8055878052288818E-3</c:v>
                </c:pt>
                <c:pt idx="818">
                  <c:v>3.5705586535510481E-3</c:v>
                </c:pt>
                <c:pt idx="819">
                  <c:v>2.9034214346195242E-3</c:v>
                </c:pt>
                <c:pt idx="820">
                  <c:v>-3.8393814890611555E-3</c:v>
                </c:pt>
                <c:pt idx="821">
                  <c:v>-4.8759232703633471E-3</c:v>
                </c:pt>
                <c:pt idx="822">
                  <c:v>5.5841951318378324E-3</c:v>
                </c:pt>
                <c:pt idx="823">
                  <c:v>1.3296993205964558E-3</c:v>
                </c:pt>
                <c:pt idx="824">
                  <c:v>4.3948439487699886E-3</c:v>
                </c:pt>
                <c:pt idx="825">
                  <c:v>3.258134531836987E-3</c:v>
                </c:pt>
                <c:pt idx="826">
                  <c:v>-4.7245572056965335E-3</c:v>
                </c:pt>
                <c:pt idx="827">
                  <c:v>5.737513214565837E-3</c:v>
                </c:pt>
                <c:pt idx="828">
                  <c:v>9.1736314130175245E-5</c:v>
                </c:pt>
                <c:pt idx="829">
                  <c:v>6.5487556430947613E-3</c:v>
                </c:pt>
                <c:pt idx="830">
                  <c:v>6.7439529357353756E-3</c:v>
                </c:pt>
                <c:pt idx="831">
                  <c:v>1.3827532115576302E-2</c:v>
                </c:pt>
                <c:pt idx="832">
                  <c:v>-7.0637233758897855E-3</c:v>
                </c:pt>
                <c:pt idx="833">
                  <c:v>4.0747206432956151E-3</c:v>
                </c:pt>
                <c:pt idx="834">
                  <c:v>6.2862714640012918E-3</c:v>
                </c:pt>
                <c:pt idx="835">
                  <c:v>2.1830496544354094E-2</c:v>
                </c:pt>
                <c:pt idx="836">
                  <c:v>5.7390620563668726E-4</c:v>
                </c:pt>
                <c:pt idx="837">
                  <c:v>-1.2332078885557318E-2</c:v>
                </c:pt>
                <c:pt idx="838">
                  <c:v>-8.5063620230700909E-3</c:v>
                </c:pt>
                <c:pt idx="839">
                  <c:v>7.0532244529508681E-3</c:v>
                </c:pt>
                <c:pt idx="840">
                  <c:v>-8.9794146214863257E-3</c:v>
                </c:pt>
                <c:pt idx="841">
                  <c:v>-6.6666961651917767E-4</c:v>
                </c:pt>
                <c:pt idx="842">
                  <c:v>7.9985433725262567E-3</c:v>
                </c:pt>
                <c:pt idx="843">
                  <c:v>-6.0292306782917526E-3</c:v>
                </c:pt>
                <c:pt idx="844">
                  <c:v>-4.0738011625287562E-3</c:v>
                </c:pt>
                <c:pt idx="845">
                  <c:v>3.4854256220817614E-3</c:v>
                </c:pt>
                <c:pt idx="846">
                  <c:v>-2.7394657064624406E-3</c:v>
                </c:pt>
                <c:pt idx="847">
                  <c:v>-2.597143144069336E-3</c:v>
                </c:pt>
                <c:pt idx="848">
                  <c:v>-4.719586317135982E-3</c:v>
                </c:pt>
                <c:pt idx="849">
                  <c:v>-7.2168864715295156E-3</c:v>
                </c:pt>
                <c:pt idx="850">
                  <c:v>-1.8429539867059752E-3</c:v>
                </c:pt>
                <c:pt idx="851">
                  <c:v>1.2177673032111924E-2</c:v>
                </c:pt>
                <c:pt idx="852">
                  <c:v>4.2177392207973785E-3</c:v>
                </c:pt>
                <c:pt idx="853">
                  <c:v>5.6931534291859709E-3</c:v>
                </c:pt>
                <c:pt idx="854">
                  <c:v>2.7146795693018255E-3</c:v>
                </c:pt>
                <c:pt idx="855">
                  <c:v>-3.3804153517479341E-3</c:v>
                </c:pt>
                <c:pt idx="856">
                  <c:v>3.0522835827544448E-3</c:v>
                </c:pt>
                <c:pt idx="857">
                  <c:v>7.3457892137307468E-3</c:v>
                </c:pt>
                <c:pt idx="858">
                  <c:v>9.9928808281404269E-3</c:v>
                </c:pt>
                <c:pt idx="859">
                  <c:v>5.4431207189287178E-5</c:v>
                </c:pt>
                <c:pt idx="860">
                  <c:v>1.2098628337611217E-3</c:v>
                </c:pt>
                <c:pt idx="861">
                  <c:v>8.1169528883080488E-3</c:v>
                </c:pt>
                <c:pt idx="862">
                  <c:v>4.1642217069282061E-3</c:v>
                </c:pt>
                <c:pt idx="863">
                  <c:v>-3.1743182089343236E-3</c:v>
                </c:pt>
                <c:pt idx="864">
                  <c:v>1.9634015979428376E-3</c:v>
                </c:pt>
                <c:pt idx="865">
                  <c:v>2.7476455123356391E-3</c:v>
                </c:pt>
                <c:pt idx="866">
                  <c:v>-1.5874194847625089E-2</c:v>
                </c:pt>
                <c:pt idx="867">
                  <c:v>-4.039657950105191E-3</c:v>
                </c:pt>
                <c:pt idx="868">
                  <c:v>3.9470108837469375E-3</c:v>
                </c:pt>
                <c:pt idx="869">
                  <c:v>8.6193764168800424E-3</c:v>
                </c:pt>
                <c:pt idx="870">
                  <c:v>-5.7796030736287918E-3</c:v>
                </c:pt>
                <c:pt idx="871">
                  <c:v>3.8211953237121676E-3</c:v>
                </c:pt>
                <c:pt idx="872">
                  <c:v>-5.9003021201532446E-3</c:v>
                </c:pt>
                <c:pt idx="873">
                  <c:v>-3.304595248626474E-3</c:v>
                </c:pt>
                <c:pt idx="874">
                  <c:v>-1.4281601757323736E-2</c:v>
                </c:pt>
                <c:pt idx="875">
                  <c:v>-5.1766178070519198E-3</c:v>
                </c:pt>
                <c:pt idx="876">
                  <c:v>2.7760558521343626E-3</c:v>
                </c:pt>
                <c:pt idx="877">
                  <c:v>-1.1529205929168285E-3</c:v>
                </c:pt>
                <c:pt idx="878">
                  <c:v>-3.5699602183232315E-3</c:v>
                </c:pt>
                <c:pt idx="879">
                  <c:v>3.8854497684055467E-3</c:v>
                </c:pt>
                <c:pt idx="880">
                  <c:v>-3.8058649669956424E-3</c:v>
                </c:pt>
                <c:pt idx="881">
                  <c:v>-5.7230337957955291E-3</c:v>
                </c:pt>
                <c:pt idx="882">
                  <c:v>-1.479834666858082E-3</c:v>
                </c:pt>
                <c:pt idx="883">
                  <c:v>1.6404582705198401E-3</c:v>
                </c:pt>
                <c:pt idx="884">
                  <c:v>1.2540570109573546E-2</c:v>
                </c:pt>
                <c:pt idx="885">
                  <c:v>-1.3640952651305938E-4</c:v>
                </c:pt>
                <c:pt idx="886">
                  <c:v>3.7381700702421305E-4</c:v>
                </c:pt>
                <c:pt idx="887">
                  <c:v>-3.7360375434251081E-3</c:v>
                </c:pt>
                <c:pt idx="888">
                  <c:v>8.2829403934336909E-4</c:v>
                </c:pt>
                <c:pt idx="889">
                  <c:v>2.5564724431663688E-3</c:v>
                </c:pt>
                <c:pt idx="890">
                  <c:v>-3.8112219658775759E-3</c:v>
                </c:pt>
                <c:pt idx="891">
                  <c:v>-1.8519365309336289E-3</c:v>
                </c:pt>
                <c:pt idx="892">
                  <c:v>2.033026061925236E-3</c:v>
                </c:pt>
                <c:pt idx="893">
                  <c:v>1.6100504969605023E-3</c:v>
                </c:pt>
                <c:pt idx="894">
                  <c:v>5.0329647803148969E-3</c:v>
                </c:pt>
                <c:pt idx="895">
                  <c:v>2.7740469690020753E-3</c:v>
                </c:pt>
                <c:pt idx="896">
                  <c:v>-3.7087607726598026E-3</c:v>
                </c:pt>
                <c:pt idx="897">
                  <c:v>1.3748796749877279E-3</c:v>
                </c:pt>
                <c:pt idx="898">
                  <c:v>3.0864831096168999E-3</c:v>
                </c:pt>
                <c:pt idx="899">
                  <c:v>1.3554250261869738E-2</c:v>
                </c:pt>
                <c:pt idx="900">
                  <c:v>1.8159255459360146E-4</c:v>
                </c:pt>
                <c:pt idx="901">
                  <c:v>7.2296705082459667E-3</c:v>
                </c:pt>
                <c:pt idx="902">
                  <c:v>5.2515463182118971E-3</c:v>
                </c:pt>
                <c:pt idx="903">
                  <c:v>1.0201732472338909E-2</c:v>
                </c:pt>
                <c:pt idx="904">
                  <c:v>8.2404715767370185E-4</c:v>
                </c:pt>
                <c:pt idx="905">
                  <c:v>-5.4490824618036449E-4</c:v>
                </c:pt>
                <c:pt idx="906">
                  <c:v>5.4037476923645134E-3</c:v>
                </c:pt>
                <c:pt idx="907">
                  <c:v>-4.289562490818577E-3</c:v>
                </c:pt>
                <c:pt idx="908">
                  <c:v>6.1998309307298438E-3</c:v>
                </c:pt>
                <c:pt idx="909">
                  <c:v>9.5904867803981997E-3</c:v>
                </c:pt>
                <c:pt idx="910">
                  <c:v>9.4972718171923987E-3</c:v>
                </c:pt>
                <c:pt idx="911">
                  <c:v>-1.2145015695615546E-2</c:v>
                </c:pt>
                <c:pt idx="912">
                  <c:v>2.6697770150401201E-3</c:v>
                </c:pt>
                <c:pt idx="913">
                  <c:v>-2.5010351365277073E-2</c:v>
                </c:pt>
                <c:pt idx="914">
                  <c:v>-1.3851474553830623E-2</c:v>
                </c:pt>
                <c:pt idx="915">
                  <c:v>7.7911580535829916E-3</c:v>
                </c:pt>
                <c:pt idx="916">
                  <c:v>7.5673646833507302E-3</c:v>
                </c:pt>
                <c:pt idx="917">
                  <c:v>-5.8850161873152951E-3</c:v>
                </c:pt>
                <c:pt idx="918">
                  <c:v>1.4784290864184202E-2</c:v>
                </c:pt>
                <c:pt idx="919">
                  <c:v>-8.3695552988705124E-3</c:v>
                </c:pt>
                <c:pt idx="920">
                  <c:v>-1.0153367340685282E-2</c:v>
                </c:pt>
                <c:pt idx="921">
                  <c:v>-3.4681327402430462E-4</c:v>
                </c:pt>
                <c:pt idx="922">
                  <c:v>1.2831541048059281E-2</c:v>
                </c:pt>
                <c:pt idx="923">
                  <c:v>8.4902944845750561E-3</c:v>
                </c:pt>
                <c:pt idx="924">
                  <c:v>-1.3779733067158628E-2</c:v>
                </c:pt>
                <c:pt idx="925">
                  <c:v>-5.5108074502410176E-3</c:v>
                </c:pt>
                <c:pt idx="926">
                  <c:v>5.935988606007081E-3</c:v>
                </c:pt>
                <c:pt idx="927">
                  <c:v>-1.430724156258345E-2</c:v>
                </c:pt>
                <c:pt idx="928">
                  <c:v>3.6703444969878873E-3</c:v>
                </c:pt>
                <c:pt idx="929">
                  <c:v>-7.0479823525468888E-3</c:v>
                </c:pt>
                <c:pt idx="930">
                  <c:v>6.3409815423032256E-3</c:v>
                </c:pt>
                <c:pt idx="931">
                  <c:v>-5.5136533222233108E-4</c:v>
                </c:pt>
                <c:pt idx="932">
                  <c:v>-2.9238324645374236E-3</c:v>
                </c:pt>
                <c:pt idx="933">
                  <c:v>-8.2736572399864095E-3</c:v>
                </c:pt>
                <c:pt idx="934">
                  <c:v>1.7223862189816863E-3</c:v>
                </c:pt>
                <c:pt idx="935">
                  <c:v>-7.0761814036890414E-4</c:v>
                </c:pt>
                <c:pt idx="936">
                  <c:v>1.0300096517175561E-2</c:v>
                </c:pt>
                <c:pt idx="937">
                  <c:v>-5.0097408063261017E-3</c:v>
                </c:pt>
                <c:pt idx="938">
                  <c:v>5.1141359803923425E-3</c:v>
                </c:pt>
                <c:pt idx="939">
                  <c:v>1.0142153300132239E-2</c:v>
                </c:pt>
                <c:pt idx="940">
                  <c:v>4.2889760728082038E-5</c:v>
                </c:pt>
                <c:pt idx="941">
                  <c:v>4.3216551665963276E-3</c:v>
                </c:pt>
                <c:pt idx="942">
                  <c:v>-3.6871036250232248E-3</c:v>
                </c:pt>
                <c:pt idx="943">
                  <c:v>4.1390810114789733E-3</c:v>
                </c:pt>
                <c:pt idx="944">
                  <c:v>5.2302695517774112E-3</c:v>
                </c:pt>
                <c:pt idx="945">
                  <c:v>1.907778592967091E-3</c:v>
                </c:pt>
                <c:pt idx="946">
                  <c:v>1.053466681575288E-2</c:v>
                </c:pt>
                <c:pt idx="947">
                  <c:v>9.4079834845461896E-3</c:v>
                </c:pt>
                <c:pt idx="948">
                  <c:v>-9.3078835372633062E-3</c:v>
                </c:pt>
                <c:pt idx="949">
                  <c:v>2.4848997165389797E-3</c:v>
                </c:pt>
                <c:pt idx="950">
                  <c:v>7.1860116492188375E-3</c:v>
                </c:pt>
                <c:pt idx="951">
                  <c:v>-1.8421130594817869E-3</c:v>
                </c:pt>
                <c:pt idx="952">
                  <c:v>4.0347321953175808E-3</c:v>
                </c:pt>
                <c:pt idx="953">
                  <c:v>6.3403386261207118E-6</c:v>
                </c:pt>
                <c:pt idx="954">
                  <c:v>1.0419218560000054E-2</c:v>
                </c:pt>
                <c:pt idx="955">
                  <c:v>4.6616299630284352E-3</c:v>
                </c:pt>
                <c:pt idx="956">
                  <c:v>8.8479026035888086E-3</c:v>
                </c:pt>
                <c:pt idx="957">
                  <c:v>-6.7010038163348717E-3</c:v>
                </c:pt>
                <c:pt idx="958">
                  <c:v>-1.4327681064477793E-2</c:v>
                </c:pt>
                <c:pt idx="959">
                  <c:v>1.4307223333897001E-2</c:v>
                </c:pt>
                <c:pt idx="960">
                  <c:v>-2.2966291060320887E-2</c:v>
                </c:pt>
                <c:pt idx="961">
                  <c:v>-2.8367667360272852E-3</c:v>
                </c:pt>
                <c:pt idx="962">
                  <c:v>3.5522507422829364E-3</c:v>
                </c:pt>
                <c:pt idx="963">
                  <c:v>1.2189132533158009E-2</c:v>
                </c:pt>
                <c:pt idx="964">
                  <c:v>3.5443321101382708E-3</c:v>
                </c:pt>
                <c:pt idx="965">
                  <c:v>6.30273795917069E-3</c:v>
                </c:pt>
                <c:pt idx="966">
                  <c:v>-4.2948955024409985E-3</c:v>
                </c:pt>
                <c:pt idx="967">
                  <c:v>4.0484519040855371E-3</c:v>
                </c:pt>
                <c:pt idx="968">
                  <c:v>-1.054612896035656E-2</c:v>
                </c:pt>
                <c:pt idx="969">
                  <c:v>5.1722640765219374E-3</c:v>
                </c:pt>
                <c:pt idx="970">
                  <c:v>-4.4735801680748644E-3</c:v>
                </c:pt>
                <c:pt idx="971">
                  <c:v>4.0566689684615742E-3</c:v>
                </c:pt>
                <c:pt idx="972">
                  <c:v>-5.8834994163647902E-4</c:v>
                </c:pt>
                <c:pt idx="973">
                  <c:v>7.7851113684572759E-3</c:v>
                </c:pt>
                <c:pt idx="974">
                  <c:v>-3.3400394054167171E-3</c:v>
                </c:pt>
                <c:pt idx="975">
                  <c:v>7.1742564681469556E-3</c:v>
                </c:pt>
                <c:pt idx="976">
                  <c:v>-8.2824337580531537E-3</c:v>
                </c:pt>
                <c:pt idx="977">
                  <c:v>6.6974922999565312E-3</c:v>
                </c:pt>
                <c:pt idx="978">
                  <c:v>-2.4225308022296499E-3</c:v>
                </c:pt>
                <c:pt idx="979">
                  <c:v>-5.5103320753548957E-3</c:v>
                </c:pt>
                <c:pt idx="980">
                  <c:v>-1.6184624350666921E-3</c:v>
                </c:pt>
                <c:pt idx="981">
                  <c:v>5.602989918393142E-3</c:v>
                </c:pt>
                <c:pt idx="982">
                  <c:v>1.3140523718702113E-3</c:v>
                </c:pt>
                <c:pt idx="983">
                  <c:v>-2.403253440833697E-3</c:v>
                </c:pt>
                <c:pt idx="984">
                  <c:v>3.2490857441105359E-3</c:v>
                </c:pt>
                <c:pt idx="985">
                  <c:v>4.4811391573884585E-3</c:v>
                </c:pt>
                <c:pt idx="986">
                  <c:v>1.8164915540093141E-3</c:v>
                </c:pt>
                <c:pt idx="987">
                  <c:v>1.0845127957084255E-3</c:v>
                </c:pt>
                <c:pt idx="988">
                  <c:v>9.5660165674893438E-3</c:v>
                </c:pt>
                <c:pt idx="989">
                  <c:v>4.6107233736829567E-3</c:v>
                </c:pt>
                <c:pt idx="990">
                  <c:v>2.3238551208915048E-3</c:v>
                </c:pt>
                <c:pt idx="991">
                  <c:v>-8.6407958406120589E-4</c:v>
                </c:pt>
                <c:pt idx="992">
                  <c:v>1.2725994195381007E-2</c:v>
                </c:pt>
                <c:pt idx="993">
                  <c:v>6.1094634181049212E-3</c:v>
                </c:pt>
                <c:pt idx="994">
                  <c:v>-1.8309580654150115E-2</c:v>
                </c:pt>
                <c:pt idx="995">
                  <c:v>8.7724681607084243E-3</c:v>
                </c:pt>
                <c:pt idx="996">
                  <c:v>-6.3030571836700799E-3</c:v>
                </c:pt>
                <c:pt idx="997">
                  <c:v>-1.2404137805429483E-2</c:v>
                </c:pt>
                <c:pt idx="998">
                  <c:v>7.3364752458415783E-3</c:v>
                </c:pt>
                <c:pt idx="999">
                  <c:v>-1.0450814357849669E-3</c:v>
                </c:pt>
                <c:pt idx="1000">
                  <c:v>6.9067178204051949E-4</c:v>
                </c:pt>
                <c:pt idx="1001">
                  <c:v>5.9226286700786446E-4</c:v>
                </c:pt>
                <c:pt idx="1002">
                  <c:v>1.5952722685066423E-3</c:v>
                </c:pt>
                <c:pt idx="1003">
                  <c:v>-6.0611752008965514E-4</c:v>
                </c:pt>
                <c:pt idx="1004">
                  <c:v>5.6579405687933182E-3</c:v>
                </c:pt>
                <c:pt idx="1005">
                  <c:v>-1.8053990483738458E-3</c:v>
                </c:pt>
                <c:pt idx="1006">
                  <c:v>5.4917056195868952E-4</c:v>
                </c:pt>
                <c:pt idx="1007">
                  <c:v>1.0416510156543657E-2</c:v>
                </c:pt>
                <c:pt idx="1008">
                  <c:v>-1.1538744815384416E-2</c:v>
                </c:pt>
                <c:pt idx="1009">
                  <c:v>1.0052705843222709E-2</c:v>
                </c:pt>
                <c:pt idx="1010">
                  <c:v>-2.5633013528780779E-3</c:v>
                </c:pt>
                <c:pt idx="1011">
                  <c:v>-3.8996214005379004E-3</c:v>
                </c:pt>
                <c:pt idx="1012">
                  <c:v>5.1059950967726753E-3</c:v>
                </c:pt>
                <c:pt idx="1013">
                  <c:v>-1.8496214617390594E-3</c:v>
                </c:pt>
                <c:pt idx="1014">
                  <c:v>5.4454819269584842E-3</c:v>
                </c:pt>
                <c:pt idx="1015">
                  <c:v>6.6142182684192363E-6</c:v>
                </c:pt>
                <c:pt idx="1016">
                  <c:v>1.5074770267586857E-3</c:v>
                </c:pt>
                <c:pt idx="1017">
                  <c:v>4.4281074365482009E-3</c:v>
                </c:pt>
                <c:pt idx="1018">
                  <c:v>3.4032703558501964E-3</c:v>
                </c:pt>
                <c:pt idx="1019">
                  <c:v>5.6429218281479621E-3</c:v>
                </c:pt>
                <c:pt idx="1020">
                  <c:v>1.9699186784150058E-4</c:v>
                </c:pt>
                <c:pt idx="1021">
                  <c:v>1.1286696895667081E-3</c:v>
                </c:pt>
                <c:pt idx="1022">
                  <c:v>-9.3067148153735957E-4</c:v>
                </c:pt>
                <c:pt idx="1023">
                  <c:v>-4.7513789798170336E-5</c:v>
                </c:pt>
                <c:pt idx="1024">
                  <c:v>7.5974147157820138E-3</c:v>
                </c:pt>
                <c:pt idx="1025">
                  <c:v>2.6558665451457131E-3</c:v>
                </c:pt>
                <c:pt idx="1026">
                  <c:v>-3.2423718278149494E-3</c:v>
                </c:pt>
                <c:pt idx="1027">
                  <c:v>-3.123116115959057E-3</c:v>
                </c:pt>
                <c:pt idx="1028">
                  <c:v>4.8650965994405659E-3</c:v>
                </c:pt>
                <c:pt idx="1029">
                  <c:v>-2.0856176120627179E-3</c:v>
                </c:pt>
                <c:pt idx="1030">
                  <c:v>2.5403420651387121E-2</c:v>
                </c:pt>
                <c:pt idx="1031">
                  <c:v>1.6941940834933167E-2</c:v>
                </c:pt>
                <c:pt idx="1032">
                  <c:v>-1.1049941657992113E-2</c:v>
                </c:pt>
                <c:pt idx="1033">
                  <c:v>-1.218441682181326E-3</c:v>
                </c:pt>
                <c:pt idx="1034">
                  <c:v>-4.7874601076824952E-3</c:v>
                </c:pt>
                <c:pt idx="1035">
                  <c:v>-2.4402964314462761E-3</c:v>
                </c:pt>
                <c:pt idx="1036">
                  <c:v>-9.3786876360871796E-3</c:v>
                </c:pt>
                <c:pt idx="1037">
                  <c:v>5.4881089254161797E-3</c:v>
                </c:pt>
                <c:pt idx="1038">
                  <c:v>-7.5892007160827113E-3</c:v>
                </c:pt>
                <c:pt idx="1039">
                  <c:v>1.1486656626513492E-2</c:v>
                </c:pt>
                <c:pt idx="1040">
                  <c:v>1.1870590643830559E-2</c:v>
                </c:pt>
                <c:pt idx="1041">
                  <c:v>-4.1354011783681921E-3</c:v>
                </c:pt>
                <c:pt idx="1042">
                  <c:v>-6.3214249596973415E-3</c:v>
                </c:pt>
                <c:pt idx="1043">
                  <c:v>4.4823930919446475E-4</c:v>
                </c:pt>
                <c:pt idx="1044">
                  <c:v>6.5488820831869354E-3</c:v>
                </c:pt>
                <c:pt idx="1045">
                  <c:v>3.3856087378070221E-4</c:v>
                </c:pt>
                <c:pt idx="1046">
                  <c:v>2.9209196799964143E-3</c:v>
                </c:pt>
                <c:pt idx="1047">
                  <c:v>3.3065905314124677E-3</c:v>
                </c:pt>
                <c:pt idx="1048">
                  <c:v>1.5848618900122791E-3</c:v>
                </c:pt>
                <c:pt idx="1049">
                  <c:v>-1.7098123158392209E-3</c:v>
                </c:pt>
                <c:pt idx="1050">
                  <c:v>-4.7452250023003462E-3</c:v>
                </c:pt>
                <c:pt idx="1051">
                  <c:v>1.6250786253957372E-4</c:v>
                </c:pt>
                <c:pt idx="1052">
                  <c:v>4.2696423009933593E-3</c:v>
                </c:pt>
                <c:pt idx="1053">
                  <c:v>7.8560291817415528E-3</c:v>
                </c:pt>
                <c:pt idx="1054">
                  <c:v>-5.2265875432258024E-3</c:v>
                </c:pt>
                <c:pt idx="1055">
                  <c:v>-2.0295816281376E-3</c:v>
                </c:pt>
                <c:pt idx="1056">
                  <c:v>1.3026314761174662E-2</c:v>
                </c:pt>
                <c:pt idx="1057">
                  <c:v>2.3201806177426398E-3</c:v>
                </c:pt>
                <c:pt idx="1058">
                  <c:v>6.6338641856900082E-4</c:v>
                </c:pt>
                <c:pt idx="1059">
                  <c:v>1.9862053931736456E-2</c:v>
                </c:pt>
                <c:pt idx="1060">
                  <c:v>4.8399497631455013E-3</c:v>
                </c:pt>
                <c:pt idx="1061">
                  <c:v>-1.593544781544276E-3</c:v>
                </c:pt>
                <c:pt idx="1062">
                  <c:v>-1.3852035676406471E-2</c:v>
                </c:pt>
                <c:pt idx="1063">
                  <c:v>-3.9854205230486217E-3</c:v>
                </c:pt>
                <c:pt idx="1064">
                  <c:v>1.3048737408549727E-4</c:v>
                </c:pt>
                <c:pt idx="1065">
                  <c:v>1.6986925561432997E-3</c:v>
                </c:pt>
                <c:pt idx="1066">
                  <c:v>-1.2204842237929392E-2</c:v>
                </c:pt>
                <c:pt idx="1067">
                  <c:v>-2.37050004861592E-2</c:v>
                </c:pt>
                <c:pt idx="1068">
                  <c:v>7.8531849635692375E-3</c:v>
                </c:pt>
                <c:pt idx="1069">
                  <c:v>2.1638092957336763E-3</c:v>
                </c:pt>
                <c:pt idx="1070">
                  <c:v>-9.3794544084095932E-3</c:v>
                </c:pt>
                <c:pt idx="1071">
                  <c:v>1.0926475490383503E-2</c:v>
                </c:pt>
                <c:pt idx="1072">
                  <c:v>1.5587985976517338E-4</c:v>
                </c:pt>
                <c:pt idx="1073">
                  <c:v>-7.2898222972916926E-4</c:v>
                </c:pt>
                <c:pt idx="1074">
                  <c:v>2.9955428571428744E-3</c:v>
                </c:pt>
                <c:pt idx="1075">
                  <c:v>-3.0853826285857089E-3</c:v>
                </c:pt>
                <c:pt idx="1076">
                  <c:v>-1.4443906334108192E-2</c:v>
                </c:pt>
                <c:pt idx="1077">
                  <c:v>4.3958234842222943E-4</c:v>
                </c:pt>
                <c:pt idx="1078">
                  <c:v>-1.6571304955208976E-2</c:v>
                </c:pt>
                <c:pt idx="1079">
                  <c:v>-2.4437288518205369E-3</c:v>
                </c:pt>
                <c:pt idx="1080">
                  <c:v>4.1170578580604911E-3</c:v>
                </c:pt>
                <c:pt idx="1081">
                  <c:v>1.0269933234256845E-2</c:v>
                </c:pt>
                <c:pt idx="1082">
                  <c:v>8.0779224792622006E-3</c:v>
                </c:pt>
                <c:pt idx="1083">
                  <c:v>-2.9661372524836249E-3</c:v>
                </c:pt>
                <c:pt idx="1084">
                  <c:v>1.9538936482388358E-4</c:v>
                </c:pt>
                <c:pt idx="1085">
                  <c:v>-6.1880297498132508E-3</c:v>
                </c:pt>
                <c:pt idx="1086">
                  <c:v>-9.8909422140184278E-3</c:v>
                </c:pt>
                <c:pt idx="1087">
                  <c:v>-3.4567356501243873E-3</c:v>
                </c:pt>
                <c:pt idx="1088">
                  <c:v>-3.2158888208699832E-4</c:v>
                </c:pt>
                <c:pt idx="1089">
                  <c:v>7.1744354349405626E-3</c:v>
                </c:pt>
                <c:pt idx="1090">
                  <c:v>3.6244094760504719E-3</c:v>
                </c:pt>
                <c:pt idx="1091">
                  <c:v>8.7228711082998345E-4</c:v>
                </c:pt>
                <c:pt idx="1092">
                  <c:v>2.6515065097030277E-3</c:v>
                </c:pt>
                <c:pt idx="1093">
                  <c:v>-4.4777527502567471E-3</c:v>
                </c:pt>
                <c:pt idx="1094">
                  <c:v>9.6489817493965457E-3</c:v>
                </c:pt>
                <c:pt idx="1095">
                  <c:v>-5.7367352680366412E-3</c:v>
                </c:pt>
                <c:pt idx="1096">
                  <c:v>-1.0501855900220458E-2</c:v>
                </c:pt>
                <c:pt idx="1097">
                  <c:v>-2.2326534578066548E-3</c:v>
                </c:pt>
                <c:pt idx="1098">
                  <c:v>-7.5319463141321208E-5</c:v>
                </c:pt>
                <c:pt idx="1099">
                  <c:v>-5.4073370076590521E-4</c:v>
                </c:pt>
                <c:pt idx="1100">
                  <c:v>1.1855542746073144E-3</c:v>
                </c:pt>
                <c:pt idx="1101">
                  <c:v>-1.2797754402280592E-3</c:v>
                </c:pt>
                <c:pt idx="1102">
                  <c:v>-3.1246914164609896E-3</c:v>
                </c:pt>
                <c:pt idx="1103">
                  <c:v>3.9589518007585589E-3</c:v>
                </c:pt>
                <c:pt idx="1104">
                  <c:v>1.6309746921621793E-2</c:v>
                </c:pt>
                <c:pt idx="1105">
                  <c:v>2.092692232296578E-3</c:v>
                </c:pt>
                <c:pt idx="1106">
                  <c:v>3.1349561521663016E-3</c:v>
                </c:pt>
                <c:pt idx="1107">
                  <c:v>-6.1478300110544559E-3</c:v>
                </c:pt>
                <c:pt idx="1108">
                  <c:v>4.0499741783159848E-3</c:v>
                </c:pt>
                <c:pt idx="1109">
                  <c:v>2.0435540675552089E-2</c:v>
                </c:pt>
                <c:pt idx="1110">
                  <c:v>-1.0676612972738697E-3</c:v>
                </c:pt>
                <c:pt idx="1111">
                  <c:v>-1.1659593135848745E-3</c:v>
                </c:pt>
                <c:pt idx="1112">
                  <c:v>5.0732958680836937E-3</c:v>
                </c:pt>
                <c:pt idx="1113">
                  <c:v>-7.8058051301732601E-3</c:v>
                </c:pt>
                <c:pt idx="1114">
                  <c:v>8.4434893821550006E-4</c:v>
                </c:pt>
                <c:pt idx="1115">
                  <c:v>-8.0818187777065287E-4</c:v>
                </c:pt>
                <c:pt idx="1116">
                  <c:v>-4.890151846781432E-4</c:v>
                </c:pt>
                <c:pt idx="1117">
                  <c:v>6.4547310310454353E-3</c:v>
                </c:pt>
                <c:pt idx="1118">
                  <c:v>-8.0722425207977455E-3</c:v>
                </c:pt>
                <c:pt idx="1119">
                  <c:v>2.2640304424692559E-4</c:v>
                </c:pt>
                <c:pt idx="1120">
                  <c:v>-3.4975361796960591E-3</c:v>
                </c:pt>
                <c:pt idx="1121">
                  <c:v>-2.1174620127517585E-5</c:v>
                </c:pt>
                <c:pt idx="1122">
                  <c:v>1.8721337053633214E-3</c:v>
                </c:pt>
                <c:pt idx="1123">
                  <c:v>7.1005106928241357E-3</c:v>
                </c:pt>
                <c:pt idx="1124">
                  <c:v>1.1396401091645636E-3</c:v>
                </c:pt>
                <c:pt idx="1125">
                  <c:v>-1.2814594435073268E-4</c:v>
                </c:pt>
                <c:pt idx="1126">
                  <c:v>-1.2519009625779898E-3</c:v>
                </c:pt>
                <c:pt idx="1127">
                  <c:v>2.1884416116100258E-3</c:v>
                </c:pt>
                <c:pt idx="1128">
                  <c:v>4.1368545021236436E-4</c:v>
                </c:pt>
                <c:pt idx="1129">
                  <c:v>6.2082635665605679E-4</c:v>
                </c:pt>
                <c:pt idx="1130">
                  <c:v>5.106758642501541E-3</c:v>
                </c:pt>
                <c:pt idx="1131">
                  <c:v>2.3292690984786368E-3</c:v>
                </c:pt>
                <c:pt idx="1132">
                  <c:v>1.9040285714285732E-2</c:v>
                </c:pt>
                <c:pt idx="1133">
                  <c:v>-7.5036692589347531E-3</c:v>
                </c:pt>
                <c:pt idx="1134">
                  <c:v>-2.8999798136755128E-3</c:v>
                </c:pt>
                <c:pt idx="1135">
                  <c:v>-4.3168286930450606E-3</c:v>
                </c:pt>
                <c:pt idx="1136">
                  <c:v>-4.8335967879353792E-4</c:v>
                </c:pt>
                <c:pt idx="1137">
                  <c:v>1.9080565446382147E-2</c:v>
                </c:pt>
                <c:pt idx="1138">
                  <c:v>1.654097478259442E-2</c:v>
                </c:pt>
                <c:pt idx="1139">
                  <c:v>-3.1386149807000052E-4</c:v>
                </c:pt>
                <c:pt idx="1140">
                  <c:v>-9.0409329881685485E-3</c:v>
                </c:pt>
                <c:pt idx="1141">
                  <c:v>-8.9090555950069872E-3</c:v>
                </c:pt>
                <c:pt idx="1142">
                  <c:v>-1.006166021269983E-2</c:v>
                </c:pt>
                <c:pt idx="1143">
                  <c:v>2.7171002791446242E-3</c:v>
                </c:pt>
                <c:pt idx="1144">
                  <c:v>6.6804906656732221E-3</c:v>
                </c:pt>
                <c:pt idx="1145">
                  <c:v>7.409672356649466E-3</c:v>
                </c:pt>
                <c:pt idx="1146">
                  <c:v>-2.3143132511423969E-3</c:v>
                </c:pt>
                <c:pt idx="1147">
                  <c:v>1.6497361948984324E-2</c:v>
                </c:pt>
                <c:pt idx="1148">
                  <c:v>-4.9870969804076681E-3</c:v>
                </c:pt>
                <c:pt idx="1149">
                  <c:v>-1.4923927059706799E-5</c:v>
                </c:pt>
                <c:pt idx="1150">
                  <c:v>-8.125926324557553E-3</c:v>
                </c:pt>
                <c:pt idx="1151">
                  <c:v>-1.638831983570288E-3</c:v>
                </c:pt>
                <c:pt idx="1152">
                  <c:v>-9.4326492161603825E-3</c:v>
                </c:pt>
                <c:pt idx="1153">
                  <c:v>-4.6870234103284503E-3</c:v>
                </c:pt>
                <c:pt idx="1154">
                  <c:v>6.2321110337375529E-3</c:v>
                </c:pt>
                <c:pt idx="1155">
                  <c:v>2.4593116200617438E-3</c:v>
                </c:pt>
                <c:pt idx="1156">
                  <c:v>2.4920238689663643E-2</c:v>
                </c:pt>
                <c:pt idx="1157">
                  <c:v>-2.1097999404100509E-3</c:v>
                </c:pt>
                <c:pt idx="1158">
                  <c:v>8.9849060143250004E-3</c:v>
                </c:pt>
                <c:pt idx="1159">
                  <c:v>4.7727210809067611E-3</c:v>
                </c:pt>
                <c:pt idx="1160">
                  <c:v>-1.5954853620846809E-2</c:v>
                </c:pt>
                <c:pt idx="1161">
                  <c:v>7.174604437728771E-3</c:v>
                </c:pt>
                <c:pt idx="1162">
                  <c:v>-2.2261676573139155E-2</c:v>
                </c:pt>
                <c:pt idx="1163">
                  <c:v>-1.6863569667646683E-3</c:v>
                </c:pt>
                <c:pt idx="1164">
                  <c:v>9.815695292423321E-3</c:v>
                </c:pt>
                <c:pt idx="1165">
                  <c:v>1.4447462461062432E-3</c:v>
                </c:pt>
                <c:pt idx="1166">
                  <c:v>1.033781524949795E-2</c:v>
                </c:pt>
                <c:pt idx="1167">
                  <c:v>1.0814653007062747E-2</c:v>
                </c:pt>
                <c:pt idx="1168">
                  <c:v>-7.0232510842517248E-3</c:v>
                </c:pt>
                <c:pt idx="1169">
                  <c:v>1.1650737144736745E-2</c:v>
                </c:pt>
                <c:pt idx="1170">
                  <c:v>-1.262011343098246E-2</c:v>
                </c:pt>
                <c:pt idx="1171">
                  <c:v>8.1141636675119422E-3</c:v>
                </c:pt>
                <c:pt idx="1172">
                  <c:v>-1.0646475973297154E-4</c:v>
                </c:pt>
                <c:pt idx="1173">
                  <c:v>2.3049401011279613E-2</c:v>
                </c:pt>
                <c:pt idx="1174">
                  <c:v>5.7268504363627848E-3</c:v>
                </c:pt>
                <c:pt idx="1175">
                  <c:v>1.0955447069527224E-4</c:v>
                </c:pt>
                <c:pt idx="1176">
                  <c:v>-2.4642584756720654E-2</c:v>
                </c:pt>
                <c:pt idx="1177">
                  <c:v>-2.2766653389425517E-3</c:v>
                </c:pt>
                <c:pt idx="1178">
                  <c:v>-1.4334892428261803E-2</c:v>
                </c:pt>
                <c:pt idx="1179">
                  <c:v>1.1078977856053607E-2</c:v>
                </c:pt>
                <c:pt idx="1180">
                  <c:v>-2.1656327672530118E-3</c:v>
                </c:pt>
                <c:pt idx="1181">
                  <c:v>1.3800320130266108E-3</c:v>
                </c:pt>
                <c:pt idx="1182">
                  <c:v>1.6937028561794243E-3</c:v>
                </c:pt>
                <c:pt idx="1183">
                  <c:v>4.8633728589364544E-4</c:v>
                </c:pt>
                <c:pt idx="1184">
                  <c:v>1.6035900823829996E-2</c:v>
                </c:pt>
                <c:pt idx="1185">
                  <c:v>-7.3877765513670202E-3</c:v>
                </c:pt>
                <c:pt idx="1186">
                  <c:v>-1.5051376254893167E-2</c:v>
                </c:pt>
                <c:pt idx="1187">
                  <c:v>-4.4038182933808789E-3</c:v>
                </c:pt>
                <c:pt idx="1188">
                  <c:v>-5.7458378883700201E-3</c:v>
                </c:pt>
                <c:pt idx="1189">
                  <c:v>-1.1112863870212597E-2</c:v>
                </c:pt>
                <c:pt idx="1190">
                  <c:v>-3.3873408742873812E-3</c:v>
                </c:pt>
                <c:pt idx="1191">
                  <c:v>2.5174106444552091E-3</c:v>
                </c:pt>
                <c:pt idx="1192">
                  <c:v>-6.7022667368416E-3</c:v>
                </c:pt>
                <c:pt idx="1193">
                  <c:v>-4.2786731613061457E-3</c:v>
                </c:pt>
                <c:pt idx="1194">
                  <c:v>3.5058067958071426E-4</c:v>
                </c:pt>
                <c:pt idx="1195">
                  <c:v>-1.6147208456598894E-2</c:v>
                </c:pt>
                <c:pt idx="1196">
                  <c:v>-7.6588718244371412E-3</c:v>
                </c:pt>
                <c:pt idx="1197">
                  <c:v>-2.4966831705488524E-3</c:v>
                </c:pt>
                <c:pt idx="1198">
                  <c:v>5.6583841646564714E-3</c:v>
                </c:pt>
                <c:pt idx="1199">
                  <c:v>-3.8835017801936988E-3</c:v>
                </c:pt>
                <c:pt idx="1200">
                  <c:v>2.4143238105447384E-3</c:v>
                </c:pt>
                <c:pt idx="1201">
                  <c:v>6.6801655251205183E-3</c:v>
                </c:pt>
                <c:pt idx="1202">
                  <c:v>1.3644591642450798E-2</c:v>
                </c:pt>
                <c:pt idx="1203">
                  <c:v>3.6797739601639456E-3</c:v>
                </c:pt>
                <c:pt idx="1204">
                  <c:v>-8.4075702060748547E-3</c:v>
                </c:pt>
                <c:pt idx="1205">
                  <c:v>1.1692654246815426E-3</c:v>
                </c:pt>
                <c:pt idx="1206">
                  <c:v>-5.9343971807788165E-3</c:v>
                </c:pt>
                <c:pt idx="1207">
                  <c:v>-4.0552883147562113E-3</c:v>
                </c:pt>
                <c:pt idx="1208">
                  <c:v>1.5486673800010564E-2</c:v>
                </c:pt>
                <c:pt idx="1209">
                  <c:v>-5.0360077281963456E-4</c:v>
                </c:pt>
                <c:pt idx="1210">
                  <c:v>-1.2475000665660207E-2</c:v>
                </c:pt>
                <c:pt idx="1211">
                  <c:v>1.3779387552802502E-2</c:v>
                </c:pt>
                <c:pt idx="1212">
                  <c:v>7.4488957325333782E-3</c:v>
                </c:pt>
                <c:pt idx="1213">
                  <c:v>-1.708145408550954E-2</c:v>
                </c:pt>
                <c:pt idx="1214">
                  <c:v>-1.135843835815642E-2</c:v>
                </c:pt>
                <c:pt idx="1215">
                  <c:v>-6.2904230609350797E-4</c:v>
                </c:pt>
                <c:pt idx="1216">
                  <c:v>-1.020252440885494E-2</c:v>
                </c:pt>
                <c:pt idx="1217">
                  <c:v>-3.9886358696323843E-3</c:v>
                </c:pt>
                <c:pt idx="1218">
                  <c:v>7.5046456208756052E-3</c:v>
                </c:pt>
                <c:pt idx="1219">
                  <c:v>3.6984364437213646E-3</c:v>
                </c:pt>
                <c:pt idx="1220">
                  <c:v>-1.6079300036219157E-3</c:v>
                </c:pt>
                <c:pt idx="1221">
                  <c:v>-4.9415094307830865E-3</c:v>
                </c:pt>
                <c:pt idx="1222">
                  <c:v>-2.8167750117064072E-3</c:v>
                </c:pt>
                <c:pt idx="1223">
                  <c:v>1.3885825173599375E-2</c:v>
                </c:pt>
                <c:pt idx="1224">
                  <c:v>3.1088584771774563E-3</c:v>
                </c:pt>
                <c:pt idx="1225">
                  <c:v>-7.2065421322425882E-3</c:v>
                </c:pt>
                <c:pt idx="1226">
                  <c:v>-1.8711971103763103E-3</c:v>
                </c:pt>
                <c:pt idx="1227">
                  <c:v>-3.0005178223089235E-3</c:v>
                </c:pt>
                <c:pt idx="1228">
                  <c:v>3.9738463470597729E-3</c:v>
                </c:pt>
                <c:pt idx="1229">
                  <c:v>1.1193982795276725E-3</c:v>
                </c:pt>
                <c:pt idx="1230">
                  <c:v>5.9671994340815271E-3</c:v>
                </c:pt>
                <c:pt idx="1231">
                  <c:v>-1.1962620857601802E-3</c:v>
                </c:pt>
                <c:pt idx="1232">
                  <c:v>1.8131549071521702E-2</c:v>
                </c:pt>
                <c:pt idx="1233">
                  <c:v>1.6046087579590917E-4</c:v>
                </c:pt>
                <c:pt idx="1234">
                  <c:v>3.6312501383968243E-3</c:v>
                </c:pt>
                <c:pt idx="1235">
                  <c:v>9.8179316967021979E-3</c:v>
                </c:pt>
                <c:pt idx="1236">
                  <c:v>6.900622397205014E-3</c:v>
                </c:pt>
                <c:pt idx="1237">
                  <c:v>-1.5370160940745281E-2</c:v>
                </c:pt>
                <c:pt idx="1238">
                  <c:v>-3.8696939908233752E-3</c:v>
                </c:pt>
                <c:pt idx="1239">
                  <c:v>-3.2457561807128776E-3</c:v>
                </c:pt>
                <c:pt idx="1240">
                  <c:v>6.1580397073004445E-3</c:v>
                </c:pt>
                <c:pt idx="1241">
                  <c:v>-4.7369876723190041E-3</c:v>
                </c:pt>
                <c:pt idx="1242">
                  <c:v>3.3563334874597839E-3</c:v>
                </c:pt>
                <c:pt idx="1243">
                  <c:v>1.3545594428994168E-3</c:v>
                </c:pt>
                <c:pt idx="1244">
                  <c:v>1.6722375905544595E-3</c:v>
                </c:pt>
                <c:pt idx="1245">
                  <c:v>4.2720024562497017E-3</c:v>
                </c:pt>
                <c:pt idx="1246">
                  <c:v>-3.3401069807622585E-3</c:v>
                </c:pt>
                <c:pt idx="1247">
                  <c:v>7.1992316830993275E-4</c:v>
                </c:pt>
                <c:pt idx="1248">
                  <c:v>2.3489300082411013E-3</c:v>
                </c:pt>
                <c:pt idx="1249">
                  <c:v>1.1025706111770894E-2</c:v>
                </c:pt>
                <c:pt idx="1250">
                  <c:v>-5.3832062199185016E-3</c:v>
                </c:pt>
                <c:pt idx="1251">
                  <c:v>-9.3952372164607389E-4</c:v>
                </c:pt>
                <c:pt idx="1252">
                  <c:v>6.8000393984979368E-3</c:v>
                </c:pt>
                <c:pt idx="1253">
                  <c:v>-6.8863022577971833E-3</c:v>
                </c:pt>
                <c:pt idx="1254">
                  <c:v>1.4741103865969496E-3</c:v>
                </c:pt>
                <c:pt idx="1255">
                  <c:v>2.1602107524960612E-3</c:v>
                </c:pt>
              </c:numCache>
            </c:numRef>
          </c:xVal>
          <c:yVal>
            <c:numRef>
              <c:f>Beta!$X$8:$X$1999</c:f>
              <c:numCache>
                <c:formatCode>#0.0_)%;\(#0.0\)%</c:formatCode>
                <c:ptCount val="1992"/>
                <c:pt idx="0">
                  <c:v>5.4046841513921695E-3</c:v>
                </c:pt>
                <c:pt idx="1">
                  <c:v>2.1559077165768326E-2</c:v>
                </c:pt>
                <c:pt idx="2">
                  <c:v>2.5039932460724224E-3</c:v>
                </c:pt>
                <c:pt idx="3">
                  <c:v>4.8999468971011595E-3</c:v>
                </c:pt>
                <c:pt idx="4">
                  <c:v>-2.5098415789897022E-3</c:v>
                </c:pt>
                <c:pt idx="5">
                  <c:v>5.98002657807295E-3</c:v>
                </c:pt>
                <c:pt idx="6">
                  <c:v>-1.543896375768683E-2</c:v>
                </c:pt>
                <c:pt idx="7">
                  <c:v>1.3257324671881232E-2</c:v>
                </c:pt>
                <c:pt idx="8">
                  <c:v>1.8498542222483039E-2</c:v>
                </c:pt>
                <c:pt idx="9">
                  <c:v>-1.8867790520261662E-3</c:v>
                </c:pt>
                <c:pt idx="10">
                  <c:v>3.7878653622256397E-3</c:v>
                </c:pt>
                <c:pt idx="11">
                  <c:v>4.3478262051039884E-3</c:v>
                </c:pt>
                <c:pt idx="12">
                  <c:v>1.1405813305172874E-2</c:v>
                </c:pt>
                <c:pt idx="13">
                  <c:v>-8.0425844050900919E-3</c:v>
                </c:pt>
                <c:pt idx="14">
                  <c:v>4.518718396805621E-3</c:v>
                </c:pt>
                <c:pt idx="15">
                  <c:v>9.6778235952490466E-3</c:v>
                </c:pt>
                <c:pt idx="16">
                  <c:v>9.3496785180195996E-3</c:v>
                </c:pt>
                <c:pt idx="17">
                  <c:v>-6.6536596431059358E-3</c:v>
                </c:pt>
                <c:pt idx="18">
                  <c:v>-2.249327821843039E-2</c:v>
                </c:pt>
                <c:pt idx="19">
                  <c:v>9.5759920540627874E-3</c:v>
                </c:pt>
                <c:pt idx="20">
                  <c:v>0</c:v>
                </c:pt>
                <c:pt idx="21">
                  <c:v>4.2498500748780588E-2</c:v>
                </c:pt>
                <c:pt idx="22">
                  <c:v>6.0259113067107073E-3</c:v>
                </c:pt>
                <c:pt idx="23">
                  <c:v>7.1780328161352713E-4</c:v>
                </c:pt>
                <c:pt idx="24">
                  <c:v>-5.2841333312254601E-3</c:v>
                </c:pt>
                <c:pt idx="25">
                  <c:v>-2.4220686017362159E-3</c:v>
                </c:pt>
                <c:pt idx="26">
                  <c:v>-1.1547669017105355E-2</c:v>
                </c:pt>
                <c:pt idx="27">
                  <c:v>3.3474065397672392E-2</c:v>
                </c:pt>
                <c:pt idx="28">
                  <c:v>-0.13886454268875126</c:v>
                </c:pt>
                <c:pt idx="29">
                  <c:v>5.0384431923220507E-3</c:v>
                </c:pt>
                <c:pt idx="30">
                  <c:v>-1.3421175426603926E-2</c:v>
                </c:pt>
                <c:pt idx="31">
                  <c:v>6.5041153159768328E-3</c:v>
                </c:pt>
                <c:pt idx="32">
                  <c:v>-5.7207682765443302E-3</c:v>
                </c:pt>
                <c:pt idx="33">
                  <c:v>1.6818436600444242E-2</c:v>
                </c:pt>
                <c:pt idx="34">
                  <c:v>-1.8249546185616028E-2</c:v>
                </c:pt>
                <c:pt idx="35">
                  <c:v>2.7292423043365766E-2</c:v>
                </c:pt>
                <c:pt idx="36">
                  <c:v>-3.0514684538723857E-3</c:v>
                </c:pt>
                <c:pt idx="37">
                  <c:v>-2.9157582244837554E-3</c:v>
                </c:pt>
                <c:pt idx="38">
                  <c:v>-5.068550559264029E-4</c:v>
                </c:pt>
                <c:pt idx="39">
                  <c:v>1.2703682792249538E-2</c:v>
                </c:pt>
                <c:pt idx="40">
                  <c:v>2.7019943038859573E-3</c:v>
                </c:pt>
                <c:pt idx="41">
                  <c:v>2.1556242861297648E-2</c:v>
                </c:pt>
                <c:pt idx="42">
                  <c:v>1.183668009478156E-2</c:v>
                </c:pt>
                <c:pt idx="43">
                  <c:v>-4.955124447539816E-2</c:v>
                </c:pt>
                <c:pt idx="44">
                  <c:v>-1.1124987500000016E-2</c:v>
                </c:pt>
                <c:pt idx="45">
                  <c:v>2.06685769584809E-2</c:v>
                </c:pt>
                <c:pt idx="46">
                  <c:v>-5.4561732129467799E-3</c:v>
                </c:pt>
                <c:pt idx="47">
                  <c:v>7.6187936507920995E-4</c:v>
                </c:pt>
                <c:pt idx="48">
                  <c:v>-4.8021864578107198E-3</c:v>
                </c:pt>
                <c:pt idx="49">
                  <c:v>-6.5286250714720051E-3</c:v>
                </c:pt>
                <c:pt idx="50">
                  <c:v>7.8451601650659786E-3</c:v>
                </c:pt>
                <c:pt idx="51">
                  <c:v>-9.8972813831118556E-3</c:v>
                </c:pt>
                <c:pt idx="52">
                  <c:v>1.5005099376972142E-2</c:v>
                </c:pt>
                <c:pt idx="53">
                  <c:v>2.3825036422992829E-2</c:v>
                </c:pt>
                <c:pt idx="54">
                  <c:v>1.7350966887417218E-2</c:v>
                </c:pt>
                <c:pt idx="55">
                  <c:v>-2.0116845420499296E-2</c:v>
                </c:pt>
                <c:pt idx="56">
                  <c:v>1.5598986091251987E-3</c:v>
                </c:pt>
                <c:pt idx="57">
                  <c:v>1.8231410102469425E-3</c:v>
                </c:pt>
                <c:pt idx="58">
                  <c:v>1.5651885108955987E-3</c:v>
                </c:pt>
                <c:pt idx="59">
                  <c:v>0</c:v>
                </c:pt>
                <c:pt idx="60">
                  <c:v>2.981868488188133E-2</c:v>
                </c:pt>
                <c:pt idx="61">
                  <c:v>-3.8801312250503761E-3</c:v>
                </c:pt>
                <c:pt idx="62">
                  <c:v>-4.0121708176610316E-4</c:v>
                </c:pt>
                <c:pt idx="63">
                  <c:v>-2.4654407792621513E-2</c:v>
                </c:pt>
                <c:pt idx="64">
                  <c:v>-1.0200039129762639E-2</c:v>
                </c:pt>
                <c:pt idx="65">
                  <c:v>4.4092335052621223E-3</c:v>
                </c:pt>
                <c:pt idx="66">
                  <c:v>2.600402933277568E-3</c:v>
                </c:pt>
                <c:pt idx="67">
                  <c:v>-1.5577697203397189E-3</c:v>
                </c:pt>
                <c:pt idx="68">
                  <c:v>-4.137026609877803E-3</c:v>
                </c:pt>
                <c:pt idx="69">
                  <c:v>-1.0996049239177186E-2</c:v>
                </c:pt>
                <c:pt idx="70">
                  <c:v>1.6242203953251044E-2</c:v>
                </c:pt>
                <c:pt idx="71">
                  <c:v>-7.9917889148803933E-3</c:v>
                </c:pt>
                <c:pt idx="72">
                  <c:v>-8.8155746320012218E-3</c:v>
                </c:pt>
                <c:pt idx="73">
                  <c:v>9.9354451612903016E-3</c:v>
                </c:pt>
                <c:pt idx="74">
                  <c:v>1.7193830760104056E-2</c:v>
                </c:pt>
                <c:pt idx="75">
                  <c:v>-1.3082837295965044E-2</c:v>
                </c:pt>
                <c:pt idx="76">
                  <c:v>4.8157619467457113E-3</c:v>
                </c:pt>
                <c:pt idx="77">
                  <c:v>-4.5348276755637906E-3</c:v>
                </c:pt>
                <c:pt idx="78">
                  <c:v>5.6026058631921671E-3</c:v>
                </c:pt>
                <c:pt idx="79">
                  <c:v>-1.5899449054992965E-2</c:v>
                </c:pt>
                <c:pt idx="80">
                  <c:v>2.4420950215129356E-3</c:v>
                </c:pt>
                <c:pt idx="81">
                  <c:v>-1.0052080928977247E-2</c:v>
                </c:pt>
                <c:pt idx="82">
                  <c:v>-1.0575399723026679E-2</c:v>
                </c:pt>
                <c:pt idx="83">
                  <c:v>-2.7621091585157131E-3</c:v>
                </c:pt>
                <c:pt idx="84">
                  <c:v>-6.8577932739822822E-3</c:v>
                </c:pt>
                <c:pt idx="85">
                  <c:v>-7.7941975060200619E-3</c:v>
                </c:pt>
                <c:pt idx="86">
                  <c:v>8.3582580659551375E-3</c:v>
                </c:pt>
                <c:pt idx="87">
                  <c:v>-4.9651689415383116E-3</c:v>
                </c:pt>
                <c:pt idx="88">
                  <c:v>1.8328870960322652E-2</c:v>
                </c:pt>
                <c:pt idx="89">
                  <c:v>4.699047617451102E-3</c:v>
                </c:pt>
                <c:pt idx="90">
                  <c:v>-4.9285860582050089E-3</c:v>
                </c:pt>
                <c:pt idx="91">
                  <c:v>-1.1122219862117699E-2</c:v>
                </c:pt>
                <c:pt idx="92">
                  <c:v>3.8681152145883191E-2</c:v>
                </c:pt>
                <c:pt idx="93">
                  <c:v>1.6627104996398856E-2</c:v>
                </c:pt>
                <c:pt idx="94">
                  <c:v>-2.1069659703195631E-3</c:v>
                </c:pt>
                <c:pt idx="95">
                  <c:v>2.8997275244013299E-2</c:v>
                </c:pt>
                <c:pt idx="96">
                  <c:v>1.764693953161256E-3</c:v>
                </c:pt>
                <c:pt idx="97">
                  <c:v>-4.070420789838991E-4</c:v>
                </c:pt>
                <c:pt idx="98">
                  <c:v>1.7674662183779555E-2</c:v>
                </c:pt>
                <c:pt idx="99">
                  <c:v>-7.2652367621068858E-3</c:v>
                </c:pt>
                <c:pt idx="100">
                  <c:v>9.8283363739848362E-3</c:v>
                </c:pt>
                <c:pt idx="101">
                  <c:v>-4.9586778225531036E-3</c:v>
                </c:pt>
                <c:pt idx="102">
                  <c:v>-8.0612649798808E-3</c:v>
                </c:pt>
                <c:pt idx="103">
                  <c:v>-2.4533323243831617E-3</c:v>
                </c:pt>
                <c:pt idx="104">
                  <c:v>-5.1525016949153235E-3</c:v>
                </c:pt>
                <c:pt idx="105">
                  <c:v>1.1104990098574241E-2</c:v>
                </c:pt>
                <c:pt idx="106">
                  <c:v>-5.48109048447043E-4</c:v>
                </c:pt>
                <c:pt idx="107">
                  <c:v>5.4840963673119525E-4</c:v>
                </c:pt>
                <c:pt idx="108">
                  <c:v>-9.9089998617890584E-3</c:v>
                </c:pt>
                <c:pt idx="109">
                  <c:v>-9.4124643238213679E-3</c:v>
                </c:pt>
                <c:pt idx="110">
                  <c:v>-6.8108175805616789E-3</c:v>
                </c:pt>
                <c:pt idx="111">
                  <c:v>2.1412740612785086E-3</c:v>
                </c:pt>
                <c:pt idx="112">
                  <c:v>-2.2699693186002401E-3</c:v>
                </c:pt>
                <c:pt idx="113">
                  <c:v>1.1070595382746129E-2</c:v>
                </c:pt>
                <c:pt idx="114">
                  <c:v>-2.1555030787214768E-3</c:v>
                </c:pt>
                <c:pt idx="115">
                  <c:v>7.0547280837705006E-3</c:v>
                </c:pt>
                <c:pt idx="116">
                  <c:v>7.380087669265567E-3</c:v>
                </c:pt>
                <c:pt idx="117">
                  <c:v>-5.7072703197319496E-3</c:v>
                </c:pt>
                <c:pt idx="118">
                  <c:v>-5.1372853165163601E-3</c:v>
                </c:pt>
                <c:pt idx="119">
                  <c:v>-4.0539189189192637E-4</c:v>
                </c:pt>
                <c:pt idx="120">
                  <c:v>-5.6436174588450072E-3</c:v>
                </c:pt>
                <c:pt idx="121">
                  <c:v>9.4149296412893158E-4</c:v>
                </c:pt>
                <c:pt idx="122">
                  <c:v>-1.0908607447349006E-2</c:v>
                </c:pt>
                <c:pt idx="123">
                  <c:v>-1.063149501661087E-3</c:v>
                </c:pt>
                <c:pt idx="124">
                  <c:v>-7.6487140274635879E-3</c:v>
                </c:pt>
                <c:pt idx="125">
                  <c:v>1.6487989718176665E-2</c:v>
                </c:pt>
                <c:pt idx="126">
                  <c:v>2.6811476888943808E-4</c:v>
                </c:pt>
                <c:pt idx="127">
                  <c:v>2.318566364639385E-2</c:v>
                </c:pt>
                <c:pt idx="128">
                  <c:v>-2.5795255279336904E-2</c:v>
                </c:pt>
                <c:pt idx="129">
                  <c:v>-6.2425420873617465E-3</c:v>
                </c:pt>
                <c:pt idx="130">
                  <c:v>1.1554494155582296E-2</c:v>
                </c:pt>
                <c:pt idx="131">
                  <c:v>1.0727879015859365E-2</c:v>
                </c:pt>
                <c:pt idx="132">
                  <c:v>-1.8787527563456585E-2</c:v>
                </c:pt>
                <c:pt idx="133">
                  <c:v>2.0533070158647471E-2</c:v>
                </c:pt>
                <c:pt idx="134">
                  <c:v>9.5276982506109498E-4</c:v>
                </c:pt>
                <c:pt idx="135">
                  <c:v>1.6182544280115563E-2</c:v>
                </c:pt>
                <c:pt idx="136">
                  <c:v>-1.659404311455559E-2</c:v>
                </c:pt>
                <c:pt idx="137">
                  <c:v>1.6030900828760464E-2</c:v>
                </c:pt>
                <c:pt idx="138">
                  <c:v>-6.0439832674183958E-3</c:v>
                </c:pt>
                <c:pt idx="139">
                  <c:v>-4.1190442367400326E-4</c:v>
                </c:pt>
                <c:pt idx="140">
                  <c:v>-8.9807595313855515E-3</c:v>
                </c:pt>
                <c:pt idx="141">
                  <c:v>-2.3079824975301699E-3</c:v>
                </c:pt>
                <c:pt idx="142">
                  <c:v>-3.3824920372078626E-3</c:v>
                </c:pt>
                <c:pt idx="143">
                  <c:v>1.7483549249498243E-2</c:v>
                </c:pt>
                <c:pt idx="144">
                  <c:v>-6.8789377664346674E-4</c:v>
                </c:pt>
                <c:pt idx="145">
                  <c:v>1.7782190360744687E-2</c:v>
                </c:pt>
                <c:pt idx="146">
                  <c:v>-1.0529260182876143E-2</c:v>
                </c:pt>
                <c:pt idx="147">
                  <c:v>1.2484205183276753E-2</c:v>
                </c:pt>
                <c:pt idx="148">
                  <c:v>-9.7235313161141423E-3</c:v>
                </c:pt>
                <c:pt idx="149">
                  <c:v>-8.4022040882150151E-3</c:v>
                </c:pt>
                <c:pt idx="150">
                  <c:v>-4.524914301385019E-3</c:v>
                </c:pt>
                <c:pt idx="151">
                  <c:v>2.0285351694795173E-2</c:v>
                </c:pt>
                <c:pt idx="152">
                  <c:v>1.9104705148341949E-2</c:v>
                </c:pt>
                <c:pt idx="153">
                  <c:v>-4.7269816058007952E-2</c:v>
                </c:pt>
                <c:pt idx="154">
                  <c:v>-6.0849547912355528E-2</c:v>
                </c:pt>
                <c:pt idx="155">
                  <c:v>-1.7053304075235087E-2</c:v>
                </c:pt>
                <c:pt idx="156">
                  <c:v>-7.9611768623110146E-3</c:v>
                </c:pt>
                <c:pt idx="157">
                  <c:v>1.9143028111423543E-2</c:v>
                </c:pt>
                <c:pt idx="158">
                  <c:v>2.0439766347745136E-2</c:v>
                </c:pt>
                <c:pt idx="159">
                  <c:v>4.2874106237833498E-3</c:v>
                </c:pt>
                <c:pt idx="160">
                  <c:v>-2.5973503727072522E-4</c:v>
                </c:pt>
                <c:pt idx="161">
                  <c:v>-2.3325126948947617E-3</c:v>
                </c:pt>
                <c:pt idx="162">
                  <c:v>3.5110012090768805E-3</c:v>
                </c:pt>
                <c:pt idx="163">
                  <c:v>-2.599584050951842E-4</c:v>
                </c:pt>
                <c:pt idx="164">
                  <c:v>-1.6745557327921712E-2</c:v>
                </c:pt>
                <c:pt idx="165">
                  <c:v>-1.0498292701702328E-2</c:v>
                </c:pt>
                <c:pt idx="166">
                  <c:v>2.4089640265385626E-3</c:v>
                </c:pt>
                <c:pt idx="167">
                  <c:v>9.4714709895611371E-3</c:v>
                </c:pt>
                <c:pt idx="168">
                  <c:v>-8.9514069930196616E-4</c:v>
                </c:pt>
                <c:pt idx="169">
                  <c:v>-3.8356127891236991E-4</c:v>
                </c:pt>
                <c:pt idx="170">
                  <c:v>1.059293318212462E-2</c:v>
                </c:pt>
                <c:pt idx="171">
                  <c:v>-6.4542990763527541E-4</c:v>
                </c:pt>
                <c:pt idx="172">
                  <c:v>1.2284396717893165E-2</c:v>
                </c:pt>
                <c:pt idx="173">
                  <c:v>3.9359222784582926E-3</c:v>
                </c:pt>
                <c:pt idx="174">
                  <c:v>-6.2580967245670083E-3</c:v>
                </c:pt>
                <c:pt idx="175">
                  <c:v>3.7952229396558401E-3</c:v>
                </c:pt>
                <c:pt idx="176">
                  <c:v>2.1524076676841863E-2</c:v>
                </c:pt>
                <c:pt idx="177">
                  <c:v>2.2276958378487199E-2</c:v>
                </c:pt>
                <c:pt idx="178">
                  <c:v>1.0077249859821835E-2</c:v>
                </c:pt>
                <c:pt idx="179">
                  <c:v>-7.6712054794519924E-3</c:v>
                </c:pt>
                <c:pt idx="180">
                  <c:v>7.7305077931939525E-3</c:v>
                </c:pt>
                <c:pt idx="181">
                  <c:v>-6.5825015519062058E-3</c:v>
                </c:pt>
                <c:pt idx="182">
                  <c:v>1.1934499359825379E-2</c:v>
                </c:pt>
                <c:pt idx="183">
                  <c:v>1.8072848602805891E-3</c:v>
                </c:pt>
                <c:pt idx="184">
                  <c:v>-3.0492306847059725E-3</c:v>
                </c:pt>
                <c:pt idx="185">
                  <c:v>-1.2860775091573351E-2</c:v>
                </c:pt>
                <c:pt idx="186">
                  <c:v>1.8817926367937776E-2</c:v>
                </c:pt>
                <c:pt idx="187">
                  <c:v>1.3934197103004919E-4</c:v>
                </c:pt>
                <c:pt idx="188">
                  <c:v>2.2356154813469864E-3</c:v>
                </c:pt>
                <c:pt idx="189">
                  <c:v>1.6795382090777355E-3</c:v>
                </c:pt>
                <c:pt idx="190">
                  <c:v>-1.243954422776905E-2</c:v>
                </c:pt>
                <c:pt idx="191">
                  <c:v>-2.6507023681377695E-2</c:v>
                </c:pt>
                <c:pt idx="192">
                  <c:v>1.2948030000762056E-2</c:v>
                </c:pt>
                <c:pt idx="193">
                  <c:v>-3.6664313371325141E-3</c:v>
                </c:pt>
                <c:pt idx="194">
                  <c:v>-1.0348138134759322E-2</c:v>
                </c:pt>
                <c:pt idx="195">
                  <c:v>-1.0738891414656671E-3</c:v>
                </c:pt>
                <c:pt idx="196">
                  <c:v>2.6852423434231554E-4</c:v>
                </c:pt>
                <c:pt idx="197">
                  <c:v>-5.0767803627730368E-3</c:v>
                </c:pt>
                <c:pt idx="198">
                  <c:v>-1.6813333120189178E-2</c:v>
                </c:pt>
                <c:pt idx="199">
                  <c:v>9.2031293505967504E-4</c:v>
                </c:pt>
                <c:pt idx="200">
                  <c:v>1.3592710373231398E-2</c:v>
                </c:pt>
                <c:pt idx="201">
                  <c:v>-5.4340094937311845E-3</c:v>
                </c:pt>
                <c:pt idx="202">
                  <c:v>1.0581207576683127E-2</c:v>
                </c:pt>
                <c:pt idx="203">
                  <c:v>2.8207791600045606E-3</c:v>
                </c:pt>
                <c:pt idx="204">
                  <c:v>5.4016743253877397E-3</c:v>
                </c:pt>
                <c:pt idx="205">
                  <c:v>1.983200633752924E-2</c:v>
                </c:pt>
                <c:pt idx="206">
                  <c:v>-3.157537240941144E-3</c:v>
                </c:pt>
                <c:pt idx="207">
                  <c:v>-1.3008224403459723E-2</c:v>
                </c:pt>
                <c:pt idx="208">
                  <c:v>2.444987675428445E-3</c:v>
                </c:pt>
                <c:pt idx="209">
                  <c:v>-1.5117016722408061E-2</c:v>
                </c:pt>
                <c:pt idx="210">
                  <c:v>9.3167974430679035E-3</c:v>
                </c:pt>
                <c:pt idx="211">
                  <c:v>-1.6206177154704959E-2</c:v>
                </c:pt>
                <c:pt idx="212">
                  <c:v>-3.1779397448863378E-3</c:v>
                </c:pt>
                <c:pt idx="213">
                  <c:v>1.3555160017308943E-2</c:v>
                </c:pt>
                <c:pt idx="214">
                  <c:v>6.3479334636962204E-3</c:v>
                </c:pt>
                <c:pt idx="215">
                  <c:v>7.4840524556825105E-3</c:v>
                </c:pt>
                <c:pt idx="216">
                  <c:v>0</c:v>
                </c:pt>
                <c:pt idx="217">
                  <c:v>3.4134353744794677E-3</c:v>
                </c:pt>
                <c:pt idx="218">
                  <c:v>9.649806870005273E-3</c:v>
                </c:pt>
                <c:pt idx="219">
                  <c:v>-4.1870268681419409E-2</c:v>
                </c:pt>
                <c:pt idx="220">
                  <c:v>1.0814378883461151E-2</c:v>
                </c:pt>
                <c:pt idx="221">
                  <c:v>1.0932731053191036E-2</c:v>
                </c:pt>
                <c:pt idx="222">
                  <c:v>1.8559225145978075E-2</c:v>
                </c:pt>
                <c:pt idx="223">
                  <c:v>-1.6470353877705568E-3</c:v>
                </c:pt>
                <c:pt idx="224">
                  <c:v>1.8308846192501171E-2</c:v>
                </c:pt>
                <c:pt idx="225">
                  <c:v>-7.903493847608356E-3</c:v>
                </c:pt>
                <c:pt idx="226">
                  <c:v>4.4568243263163332E-3</c:v>
                </c:pt>
                <c:pt idx="227">
                  <c:v>2.4835927057834217E-2</c:v>
                </c:pt>
                <c:pt idx="228">
                  <c:v>2.2889269731349859E-3</c:v>
                </c:pt>
                <c:pt idx="229">
                  <c:v>2.3725879082101331E-2</c:v>
                </c:pt>
                <c:pt idx="230">
                  <c:v>2.0170312266547086E-2</c:v>
                </c:pt>
                <c:pt idx="231">
                  <c:v>-9.6182595555410755E-3</c:v>
                </c:pt>
                <c:pt idx="232">
                  <c:v>-1.5872958085713207E-2</c:v>
                </c:pt>
                <c:pt idx="233">
                  <c:v>5.7117604820118295E-3</c:v>
                </c:pt>
                <c:pt idx="234">
                  <c:v>-1.6084223074780413E-3</c:v>
                </c:pt>
                <c:pt idx="235">
                  <c:v>4.6518761943955989E-2</c:v>
                </c:pt>
                <c:pt idx="236">
                  <c:v>-3.8687921211183141E-2</c:v>
                </c:pt>
                <c:pt idx="237">
                  <c:v>4.4326684397162364E-3</c:v>
                </c:pt>
                <c:pt idx="238">
                  <c:v>3.5495700191314317E-2</c:v>
                </c:pt>
                <c:pt idx="239">
                  <c:v>9.1880547080513963E-4</c:v>
                </c:pt>
                <c:pt idx="240">
                  <c:v>-1.2252276323517108E-2</c:v>
                </c:pt>
                <c:pt idx="241">
                  <c:v>3.1866311627728461E-3</c:v>
                </c:pt>
                <c:pt idx="242">
                  <c:v>8.4162818184019272E-3</c:v>
                </c:pt>
                <c:pt idx="243">
                  <c:v>-1.4923094056261355E-2</c:v>
                </c:pt>
                <c:pt idx="244">
                  <c:v>3.916033834586452E-2</c:v>
                </c:pt>
                <c:pt idx="245">
                  <c:v>-4.2115269971684244E-3</c:v>
                </c:pt>
                <c:pt idx="246">
                  <c:v>3.4532837912976566E-2</c:v>
                </c:pt>
                <c:pt idx="247">
                  <c:v>-2.4708844433288468E-2</c:v>
                </c:pt>
                <c:pt idx="248">
                  <c:v>3.1493556217323304E-2</c:v>
                </c:pt>
                <c:pt idx="249">
                  <c:v>1.0996192351879097E-2</c:v>
                </c:pt>
                <c:pt idx="250">
                  <c:v>-3.5001568498599478E-2</c:v>
                </c:pt>
                <c:pt idx="251">
                  <c:v>-7.9860153897107766E-2</c:v>
                </c:pt>
                <c:pt idx="252">
                  <c:v>1.3589454073387852E-2</c:v>
                </c:pt>
                <c:pt idx="253">
                  <c:v>-1.9166297533058652E-3</c:v>
                </c:pt>
                <c:pt idx="254">
                  <c:v>-3.7052809850857349E-2</c:v>
                </c:pt>
                <c:pt idx="255">
                  <c:v>5.5674373061769256E-3</c:v>
                </c:pt>
                <c:pt idx="256">
                  <c:v>3.9471791652645694E-2</c:v>
                </c:pt>
                <c:pt idx="257">
                  <c:v>-8.8248127320138536E-3</c:v>
                </c:pt>
                <c:pt idx="258">
                  <c:v>-4.1854580634929195E-2</c:v>
                </c:pt>
                <c:pt idx="259">
                  <c:v>-1.087258184757689E-2</c:v>
                </c:pt>
                <c:pt idx="260">
                  <c:v>-9.936530636717178E-3</c:v>
                </c:pt>
                <c:pt idx="261">
                  <c:v>3.0578880118870222E-2</c:v>
                </c:pt>
                <c:pt idx="262">
                  <c:v>-2.5535537680112519E-3</c:v>
                </c:pt>
                <c:pt idx="263">
                  <c:v>-1.5502793729128328E-2</c:v>
                </c:pt>
                <c:pt idx="264">
                  <c:v>-2.6777246160119561E-2</c:v>
                </c:pt>
                <c:pt idx="265">
                  <c:v>-3.8677630193096002E-2</c:v>
                </c:pt>
                <c:pt idx="266">
                  <c:v>-9.1382508913373517E-4</c:v>
                </c:pt>
                <c:pt idx="267">
                  <c:v>-2.6436222674123155E-2</c:v>
                </c:pt>
                <c:pt idx="268">
                  <c:v>5.1098748736571054E-3</c:v>
                </c:pt>
                <c:pt idx="269">
                  <c:v>-1.0991825369757957E-2</c:v>
                </c:pt>
                <c:pt idx="270">
                  <c:v>-4.2772173676491887E-3</c:v>
                </c:pt>
                <c:pt idx="271">
                  <c:v>-1.3649312006418279E-2</c:v>
                </c:pt>
                <c:pt idx="272">
                  <c:v>-1.6115345324607788E-2</c:v>
                </c:pt>
                <c:pt idx="273">
                  <c:v>2.4477420443977937E-3</c:v>
                </c:pt>
                <c:pt idx="274">
                  <c:v>-1.3283408121806728E-2</c:v>
                </c:pt>
                <c:pt idx="275">
                  <c:v>-1.0041888582381753E-2</c:v>
                </c:pt>
                <c:pt idx="276">
                  <c:v>1.4366455337799788E-3</c:v>
                </c:pt>
                <c:pt idx="277">
                  <c:v>1.4452308207544728E-2</c:v>
                </c:pt>
                <c:pt idx="278">
                  <c:v>7.3403231548891945E-3</c:v>
                </c:pt>
                <c:pt idx="279">
                  <c:v>-5.5960950947478993E-3</c:v>
                </c:pt>
                <c:pt idx="280">
                  <c:v>1.6194807963837432E-2</c:v>
                </c:pt>
                <c:pt idx="281">
                  <c:v>5.594194291541621E-3</c:v>
                </c:pt>
                <c:pt idx="282">
                  <c:v>-1.1793611503842394E-2</c:v>
                </c:pt>
                <c:pt idx="283">
                  <c:v>3.2208990207849508E-2</c:v>
                </c:pt>
                <c:pt idx="284">
                  <c:v>1.1426177913906876E-3</c:v>
                </c:pt>
                <c:pt idx="285">
                  <c:v>9.0955549345519415E-3</c:v>
                </c:pt>
                <c:pt idx="286">
                  <c:v>7.355788033443833E-3</c:v>
                </c:pt>
                <c:pt idx="287">
                  <c:v>-1.3871264599865873E-2</c:v>
                </c:pt>
                <c:pt idx="288">
                  <c:v>-1.3185922887828383E-2</c:v>
                </c:pt>
                <c:pt idx="289">
                  <c:v>7.3370522199727173E-3</c:v>
                </c:pt>
                <c:pt idx="290">
                  <c:v>-2.4074037037037033E-2</c:v>
                </c:pt>
                <c:pt idx="291">
                  <c:v>5.9612893428200309E-3</c:v>
                </c:pt>
                <c:pt idx="292">
                  <c:v>-1.672978406068848E-2</c:v>
                </c:pt>
                <c:pt idx="293">
                  <c:v>1.941985511216604E-2</c:v>
                </c:pt>
                <c:pt idx="294">
                  <c:v>-1.5684339962206417E-2</c:v>
                </c:pt>
                <c:pt idx="295">
                  <c:v>-7.4191193454254956E-3</c:v>
                </c:pt>
                <c:pt idx="296">
                  <c:v>9.9496002972803144E-3</c:v>
                </c:pt>
                <c:pt idx="297">
                  <c:v>-1.3212072727272761E-2</c:v>
                </c:pt>
                <c:pt idx="298">
                  <c:v>-2.4232914114141746E-4</c:v>
                </c:pt>
                <c:pt idx="299">
                  <c:v>5.7281411677705396E-3</c:v>
                </c:pt>
                <c:pt idx="300">
                  <c:v>-8.4591782477341226E-3</c:v>
                </c:pt>
                <c:pt idx="301">
                  <c:v>6.5685562166228895E-3</c:v>
                </c:pt>
                <c:pt idx="302">
                  <c:v>1.0944404820462328E-2</c:v>
                </c:pt>
                <c:pt idx="303">
                  <c:v>9.810021231963395E-3</c:v>
                </c:pt>
                <c:pt idx="304">
                  <c:v>3.1141006865234022E-3</c:v>
                </c:pt>
                <c:pt idx="305">
                  <c:v>1.5046188648182524E-2</c:v>
                </c:pt>
                <c:pt idx="306">
                  <c:v>1.6189052648360569E-2</c:v>
                </c:pt>
                <c:pt idx="307">
                  <c:v>-2.4808871690486733E-2</c:v>
                </c:pt>
                <c:pt idx="308">
                  <c:v>-2.0255352568811169E-2</c:v>
                </c:pt>
                <c:pt idx="309">
                  <c:v>8.1682670234553001E-3</c:v>
                </c:pt>
                <c:pt idx="310">
                  <c:v>6.3519989244986697E-3</c:v>
                </c:pt>
                <c:pt idx="311">
                  <c:v>-9.0100719208864311E-3</c:v>
                </c:pt>
                <c:pt idx="312">
                  <c:v>-6.7427117812920434E-3</c:v>
                </c:pt>
                <c:pt idx="313">
                  <c:v>-1.187162888413229E-2</c:v>
                </c:pt>
                <c:pt idx="314">
                  <c:v>2.1026654818222745E-2</c:v>
                </c:pt>
                <c:pt idx="315">
                  <c:v>8.8594835145929807E-3</c:v>
                </c:pt>
                <c:pt idx="316">
                  <c:v>1.301982033851834E-2</c:v>
                </c:pt>
                <c:pt idx="317">
                  <c:v>3.2974382573858207E-3</c:v>
                </c:pt>
                <c:pt idx="318">
                  <c:v>-2.9084976502655735E-3</c:v>
                </c:pt>
                <c:pt idx="319">
                  <c:v>1.5538704936225445E-2</c:v>
                </c:pt>
                <c:pt idx="320">
                  <c:v>1.1571612388423524E-3</c:v>
                </c:pt>
                <c:pt idx="321">
                  <c:v>5.039410841703118E-3</c:v>
                </c:pt>
                <c:pt idx="322">
                  <c:v>5.4566453753848165E-3</c:v>
                </c:pt>
                <c:pt idx="323">
                  <c:v>2.0831012129436388E-3</c:v>
                </c:pt>
                <c:pt idx="324">
                  <c:v>-1.8528034282442318E-2</c:v>
                </c:pt>
                <c:pt idx="325">
                  <c:v>-8.1115333812031842E-3</c:v>
                </c:pt>
                <c:pt idx="326">
                  <c:v>1.6490581686785077E-2</c:v>
                </c:pt>
                <c:pt idx="327">
                  <c:v>-1.0295238492737946E-3</c:v>
                </c:pt>
                <c:pt idx="328">
                  <c:v>3.4344966679514144E-2</c:v>
                </c:pt>
                <c:pt idx="329">
                  <c:v>5.3533457527656925E-3</c:v>
                </c:pt>
                <c:pt idx="330">
                  <c:v>-1.6583337065675052E-2</c:v>
                </c:pt>
                <c:pt idx="331">
                  <c:v>-6.5376566473199782E-3</c:v>
                </c:pt>
                <c:pt idx="332">
                  <c:v>1.7833431166268676E-2</c:v>
                </c:pt>
                <c:pt idx="333">
                  <c:v>1.3078077742431526E-2</c:v>
                </c:pt>
                <c:pt idx="334">
                  <c:v>1.8958606691048097E-2</c:v>
                </c:pt>
                <c:pt idx="335">
                  <c:v>-1.7943901054618072E-2</c:v>
                </c:pt>
                <c:pt idx="336">
                  <c:v>6.7916324317454091E-3</c:v>
                </c:pt>
                <c:pt idx="337">
                  <c:v>5.8751330543751479E-3</c:v>
                </c:pt>
                <c:pt idx="338">
                  <c:v>1.8224889464032668E-2</c:v>
                </c:pt>
                <c:pt idx="339">
                  <c:v>1.9719095466565362E-2</c:v>
                </c:pt>
                <c:pt idx="340">
                  <c:v>-3.6749399293286578E-3</c:v>
                </c:pt>
                <c:pt idx="341">
                  <c:v>-2.9758612993928013E-2</c:v>
                </c:pt>
                <c:pt idx="342">
                  <c:v>-3.2805629698980932E-3</c:v>
                </c:pt>
                <c:pt idx="343">
                  <c:v>-1.2286143344709677E-3</c:v>
                </c:pt>
                <c:pt idx="344">
                  <c:v>7.2882149712842903E-3</c:v>
                </c:pt>
                <c:pt idx="345">
                  <c:v>0</c:v>
                </c:pt>
                <c:pt idx="346">
                  <c:v>2.3360583263737356E-2</c:v>
                </c:pt>
                <c:pt idx="347">
                  <c:v>-4.4830346518508479E-3</c:v>
                </c:pt>
                <c:pt idx="348">
                  <c:v>5.4937175797638016E-3</c:v>
                </c:pt>
                <c:pt idx="349">
                  <c:v>-1.0730267259468573E-2</c:v>
                </c:pt>
                <c:pt idx="350">
                  <c:v>2.8227553686379636E-2</c:v>
                </c:pt>
                <c:pt idx="351">
                  <c:v>-1.0491961016474649E-2</c:v>
                </c:pt>
                <c:pt idx="352">
                  <c:v>2.273639238014713E-3</c:v>
                </c:pt>
                <c:pt idx="353">
                  <c:v>1.0192347964837811E-2</c:v>
                </c:pt>
                <c:pt idx="354">
                  <c:v>-1.9149437587275608E-2</c:v>
                </c:pt>
                <c:pt idx="355">
                  <c:v>3.437216519824271E-2</c:v>
                </c:pt>
                <c:pt idx="356">
                  <c:v>-1.4638289322617792E-2</c:v>
                </c:pt>
                <c:pt idx="357">
                  <c:v>-8.3961438051576298E-3</c:v>
                </c:pt>
                <c:pt idx="358">
                  <c:v>3.2837806498604571E-3</c:v>
                </c:pt>
                <c:pt idx="359">
                  <c:v>-3.0051212159689866E-2</c:v>
                </c:pt>
                <c:pt idx="360">
                  <c:v>-2.2339588108047814E-2</c:v>
                </c:pt>
                <c:pt idx="361">
                  <c:v>-4.5821565194942293E-3</c:v>
                </c:pt>
                <c:pt idx="362">
                  <c:v>1.5742559243974164E-2</c:v>
                </c:pt>
                <c:pt idx="363">
                  <c:v>5.9309803644283843E-2</c:v>
                </c:pt>
                <c:pt idx="364">
                  <c:v>-1.0140518761996287E-3</c:v>
                </c:pt>
                <c:pt idx="365">
                  <c:v>-4.562426252939944E-2</c:v>
                </c:pt>
                <c:pt idx="366">
                  <c:v>-3.7268669130919974E-2</c:v>
                </c:pt>
                <c:pt idx="367">
                  <c:v>-3.0705779107062847E-2</c:v>
                </c:pt>
                <c:pt idx="368">
                  <c:v>-1.4619907723371073E-2</c:v>
                </c:pt>
                <c:pt idx="369">
                  <c:v>-1.5231657974507096E-3</c:v>
                </c:pt>
                <c:pt idx="370">
                  <c:v>5.8733273748725612E-3</c:v>
                </c:pt>
                <c:pt idx="371">
                  <c:v>1.7539287806427328E-2</c:v>
                </c:pt>
                <c:pt idx="372">
                  <c:v>-1.0383127434792083E-3</c:v>
                </c:pt>
                <c:pt idx="373">
                  <c:v>-4.6505746208203025E-3</c:v>
                </c:pt>
                <c:pt idx="374">
                  <c:v>-2.2107123693424824E-2</c:v>
                </c:pt>
                <c:pt idx="375">
                  <c:v>2.0234670459320592E-2</c:v>
                </c:pt>
                <c:pt idx="376">
                  <c:v>-6.440365873781051E-4</c:v>
                </c:pt>
                <c:pt idx="377">
                  <c:v>-3.1195408425198523E-2</c:v>
                </c:pt>
                <c:pt idx="378">
                  <c:v>1.3916978568864202E-2</c:v>
                </c:pt>
                <c:pt idx="379">
                  <c:v>9.5797674086119944E-3</c:v>
                </c:pt>
                <c:pt idx="380">
                  <c:v>-9.9898960548836513E-3</c:v>
                </c:pt>
                <c:pt idx="381">
                  <c:v>-4.6569542350014537E-3</c:v>
                </c:pt>
                <c:pt idx="382">
                  <c:v>2.2707204088829869E-3</c:v>
                </c:pt>
                <c:pt idx="383">
                  <c:v>6.8588083249534471E-3</c:v>
                </c:pt>
                <c:pt idx="384">
                  <c:v>2.0347316208018773E-2</c:v>
                </c:pt>
                <c:pt idx="385">
                  <c:v>-2.2796289549091742E-2</c:v>
                </c:pt>
                <c:pt idx="386">
                  <c:v>-4.7894759157790512E-3</c:v>
                </c:pt>
                <c:pt idx="387">
                  <c:v>-8.8160176896601161E-4</c:v>
                </c:pt>
                <c:pt idx="388">
                  <c:v>1.4305824315930193E-2</c:v>
                </c:pt>
                <c:pt idx="389">
                  <c:v>-1.1365083688216093E-2</c:v>
                </c:pt>
                <c:pt idx="390">
                  <c:v>1.6443714051195268E-3</c:v>
                </c:pt>
                <c:pt idx="391">
                  <c:v>-1.898496185556342E-2</c:v>
                </c:pt>
                <c:pt idx="392">
                  <c:v>6.1173284923177196E-3</c:v>
                </c:pt>
                <c:pt idx="393">
                  <c:v>-7.3119839555836341E-3</c:v>
                </c:pt>
                <c:pt idx="394">
                  <c:v>1.4203167777857573E-2</c:v>
                </c:pt>
                <c:pt idx="395">
                  <c:v>1.2986974624560998E-2</c:v>
                </c:pt>
                <c:pt idx="396">
                  <c:v>1.656742126411026E-2</c:v>
                </c:pt>
                <c:pt idx="397">
                  <c:v>1.6712778436972719E-2</c:v>
                </c:pt>
                <c:pt idx="398">
                  <c:v>-1.1319320695819313E-2</c:v>
                </c:pt>
                <c:pt idx="399">
                  <c:v>3.1323151997266763E-3</c:v>
                </c:pt>
                <c:pt idx="400">
                  <c:v>-3.3818159488222532E-3</c:v>
                </c:pt>
                <c:pt idx="401">
                  <c:v>-8.2559342720305295E-3</c:v>
                </c:pt>
                <c:pt idx="402">
                  <c:v>2.0940300276570456E-2</c:v>
                </c:pt>
                <c:pt idx="403">
                  <c:v>6.3618690402333922E-3</c:v>
                </c:pt>
                <c:pt idx="404">
                  <c:v>-2.6200386182225643E-2</c:v>
                </c:pt>
                <c:pt idx="405">
                  <c:v>-2.0728007303033147E-2</c:v>
                </c:pt>
                <c:pt idx="406">
                  <c:v>7.6414419628669794E-3</c:v>
                </c:pt>
                <c:pt idx="407">
                  <c:v>-1.3815699052410202E-2</c:v>
                </c:pt>
                <c:pt idx="408">
                  <c:v>1.8875298617400116E-3</c:v>
                </c:pt>
                <c:pt idx="409">
                  <c:v>2.1437325796822559E-3</c:v>
                </c:pt>
                <c:pt idx="410">
                  <c:v>1.0319849925336966E-2</c:v>
                </c:pt>
                <c:pt idx="411">
                  <c:v>2.9388703567883034E-3</c:v>
                </c:pt>
                <c:pt idx="412">
                  <c:v>-3.1843076503806911E-3</c:v>
                </c:pt>
                <c:pt idx="413">
                  <c:v>-1.7800380984097641E-3</c:v>
                </c:pt>
                <c:pt idx="414">
                  <c:v>5.883105105944253E-3</c:v>
                </c:pt>
                <c:pt idx="415">
                  <c:v>-4.583080665190975E-3</c:v>
                </c:pt>
                <c:pt idx="416">
                  <c:v>1.7854737005242871E-3</c:v>
                </c:pt>
                <c:pt idx="417">
                  <c:v>1.344191494990632E-2</c:v>
                </c:pt>
                <c:pt idx="418">
                  <c:v>-1.1119568280152592E-2</c:v>
                </c:pt>
                <c:pt idx="419">
                  <c:v>4.3645185015528387E-3</c:v>
                </c:pt>
                <c:pt idx="420">
                  <c:v>1.1294340014206705E-2</c:v>
                </c:pt>
                <c:pt idx="421">
                  <c:v>-1.0278851078533768E-2</c:v>
                </c:pt>
                <c:pt idx="422">
                  <c:v>4.1284994419170662E-3</c:v>
                </c:pt>
                <c:pt idx="423">
                  <c:v>1.0033933021473374E-2</c:v>
                </c:pt>
                <c:pt idx="424">
                  <c:v>-6.8590529387493326E-3</c:v>
                </c:pt>
                <c:pt idx="425">
                  <c:v>-6.5569813134094268E-3</c:v>
                </c:pt>
                <c:pt idx="426">
                  <c:v>-8.9195205560834712E-3</c:v>
                </c:pt>
                <c:pt idx="427">
                  <c:v>1.5528002271324892E-2</c:v>
                </c:pt>
                <c:pt idx="428">
                  <c:v>-1.9413767781087721E-2</c:v>
                </c:pt>
                <c:pt idx="429">
                  <c:v>-2.5376125196596711E-4</c:v>
                </c:pt>
                <c:pt idx="430">
                  <c:v>4.4597220517434977E-3</c:v>
                </c:pt>
                <c:pt idx="431">
                  <c:v>4.3512158222576147E-3</c:v>
                </c:pt>
                <c:pt idx="432">
                  <c:v>-4.4591541459843009E-3</c:v>
                </c:pt>
                <c:pt idx="433">
                  <c:v>9.2580818795711117E-3</c:v>
                </c:pt>
                <c:pt idx="434">
                  <c:v>-3.0765926656429743E-3</c:v>
                </c:pt>
                <c:pt idx="435">
                  <c:v>1.8540358717344718E-2</c:v>
                </c:pt>
                <c:pt idx="436">
                  <c:v>5.9101261611520517E-3</c:v>
                </c:pt>
                <c:pt idx="437">
                  <c:v>-3.1421577563036651E-3</c:v>
                </c:pt>
                <c:pt idx="438">
                  <c:v>5.2644641248567048E-3</c:v>
                </c:pt>
                <c:pt idx="439">
                  <c:v>1.6318900044973272E-2</c:v>
                </c:pt>
                <c:pt idx="440">
                  <c:v>1.3380602006685116E-4</c:v>
                </c:pt>
                <c:pt idx="441">
                  <c:v>-3.3333333333332993E-3</c:v>
                </c:pt>
                <c:pt idx="442">
                  <c:v>2.9419765036369228E-3</c:v>
                </c:pt>
                <c:pt idx="443">
                  <c:v>-7.6964170953234268E-3</c:v>
                </c:pt>
                <c:pt idx="444">
                  <c:v>1.3287137568771534E-3</c:v>
                </c:pt>
                <c:pt idx="445">
                  <c:v>-1.5179220496708279E-2</c:v>
                </c:pt>
                <c:pt idx="446">
                  <c:v>-1.8286311867456995E-3</c:v>
                </c:pt>
                <c:pt idx="447">
                  <c:v>-1.306255713725557E-4</c:v>
                </c:pt>
                <c:pt idx="448">
                  <c:v>-3.3841206980574912E-3</c:v>
                </c:pt>
                <c:pt idx="449">
                  <c:v>-2.6019519219777631E-4</c:v>
                </c:pt>
                <c:pt idx="450">
                  <c:v>1.4387486420604834E-2</c:v>
                </c:pt>
                <c:pt idx="451">
                  <c:v>7.1789549697027777E-3</c:v>
                </c:pt>
                <c:pt idx="452">
                  <c:v>1.0206849452146782E-2</c:v>
                </c:pt>
                <c:pt idx="453">
                  <c:v>7.168930068984114E-3</c:v>
                </c:pt>
                <c:pt idx="454">
                  <c:v>-1.1763106851038652E-2</c:v>
                </c:pt>
                <c:pt idx="455">
                  <c:v>-1.4361053640025045E-2</c:v>
                </c:pt>
                <c:pt idx="456">
                  <c:v>1.3080673066755644E-2</c:v>
                </c:pt>
                <c:pt idx="457">
                  <c:v>-1.4660935821150245E-3</c:v>
                </c:pt>
                <c:pt idx="458">
                  <c:v>-9.5049636963695505E-3</c:v>
                </c:pt>
                <c:pt idx="459">
                  <c:v>3.5770666304824061E-3</c:v>
                </c:pt>
                <c:pt idx="460">
                  <c:v>5.8635660199417572E-3</c:v>
                </c:pt>
                <c:pt idx="461">
                  <c:v>-4.5104273485179203E-3</c:v>
                </c:pt>
                <c:pt idx="462">
                  <c:v>1.3259917211372318E-4</c:v>
                </c:pt>
                <c:pt idx="463">
                  <c:v>3.59527306512053E-3</c:v>
                </c:pt>
                <c:pt idx="464">
                  <c:v>-3.8466773291773171E-3</c:v>
                </c:pt>
                <c:pt idx="465">
                  <c:v>-4.7524884488447938E-3</c:v>
                </c:pt>
                <c:pt idx="466">
                  <c:v>-1.2257164890933314E-2</c:v>
                </c:pt>
                <c:pt idx="467">
                  <c:v>2.2217068304382082E-3</c:v>
                </c:pt>
                <c:pt idx="468">
                  <c:v>1.5392728033535974E-2</c:v>
                </c:pt>
                <c:pt idx="469">
                  <c:v>0.10094966110809334</c:v>
                </c:pt>
                <c:pt idx="470">
                  <c:v>-1.3688832458535138E-2</c:v>
                </c:pt>
                <c:pt idx="471">
                  <c:v>-1.0076147832500659E-3</c:v>
                </c:pt>
                <c:pt idx="472">
                  <c:v>-4.316402877698744E-4</c:v>
                </c:pt>
                <c:pt idx="473">
                  <c:v>4.6256143394043381E-3</c:v>
                </c:pt>
                <c:pt idx="474">
                  <c:v>3.1459669002534829E-2</c:v>
                </c:pt>
                <c:pt idx="475">
                  <c:v>-2.9804741678629565E-4</c:v>
                </c:pt>
                <c:pt idx="476">
                  <c:v>-3.1204604849721651E-3</c:v>
                </c:pt>
                <c:pt idx="477">
                  <c:v>1.7384746261988049E-2</c:v>
                </c:pt>
                <c:pt idx="478">
                  <c:v>-2.8639434949618847E-3</c:v>
                </c:pt>
                <c:pt idx="479">
                  <c:v>1.8734535377708861E-2</c:v>
                </c:pt>
                <c:pt idx="480">
                  <c:v>-1.5344695931751584E-4</c:v>
                </c:pt>
                <c:pt idx="481">
                  <c:v>-2.5437751745091775E-2</c:v>
                </c:pt>
                <c:pt idx="482">
                  <c:v>3.7548812329564196E-3</c:v>
                </c:pt>
                <c:pt idx="483">
                  <c:v>-2.059430624032188E-2</c:v>
                </c:pt>
                <c:pt idx="484">
                  <c:v>1.1757716572176724E-2</c:v>
                </c:pt>
                <c:pt idx="485">
                  <c:v>-1.9124058394160537E-2</c:v>
                </c:pt>
                <c:pt idx="486">
                  <c:v>-1.665236769150924E-2</c:v>
                </c:pt>
                <c:pt idx="487">
                  <c:v>7.8125141285079192E-3</c:v>
                </c:pt>
                <c:pt idx="488">
                  <c:v>-4.0345676070729919E-3</c:v>
                </c:pt>
                <c:pt idx="489">
                  <c:v>-5.1605503107640116E-3</c:v>
                </c:pt>
                <c:pt idx="490">
                  <c:v>1.2628872298285243E-2</c:v>
                </c:pt>
                <c:pt idx="491">
                  <c:v>5.1064778945655309E-3</c:v>
                </c:pt>
                <c:pt idx="492">
                  <c:v>-2.7249475266100887E-2</c:v>
                </c:pt>
                <c:pt idx="493">
                  <c:v>1.4250726727353946E-2</c:v>
                </c:pt>
                <c:pt idx="494">
                  <c:v>3.4666761461790152E-3</c:v>
                </c:pt>
                <c:pt idx="495">
                  <c:v>9.183746623432798E-3</c:v>
                </c:pt>
                <c:pt idx="496">
                  <c:v>1.8985978983701024E-3</c:v>
                </c:pt>
                <c:pt idx="497">
                  <c:v>8.3946831106131992E-3</c:v>
                </c:pt>
                <c:pt idx="498">
                  <c:v>8.1663551051627259E-3</c:v>
                </c:pt>
                <c:pt idx="499">
                  <c:v>2.4490417538497677E-2</c:v>
                </c:pt>
                <c:pt idx="500">
                  <c:v>1.2942927182036046E-2</c:v>
                </c:pt>
                <c:pt idx="501">
                  <c:v>-1.0774049395504415E-3</c:v>
                </c:pt>
                <c:pt idx="502">
                  <c:v>-5.2058951219076111E-3</c:v>
                </c:pt>
                <c:pt idx="503">
                  <c:v>8.0258835001405515E-3</c:v>
                </c:pt>
                <c:pt idx="504">
                  <c:v>-3.0773504562963128E-3</c:v>
                </c:pt>
                <c:pt idx="505">
                  <c:v>1.1674969230229371E-2</c:v>
                </c:pt>
                <c:pt idx="506">
                  <c:v>7.0543501010449372E-3</c:v>
                </c:pt>
                <c:pt idx="507">
                  <c:v>-2.9809870722433462E-2</c:v>
                </c:pt>
                <c:pt idx="508">
                  <c:v>1.6857345075326657E-2</c:v>
                </c:pt>
                <c:pt idx="509">
                  <c:v>-6.4535646449426221E-3</c:v>
                </c:pt>
                <c:pt idx="510">
                  <c:v>-1.7956768581112392E-2</c:v>
                </c:pt>
                <c:pt idx="511">
                  <c:v>3.178913205537981E-3</c:v>
                </c:pt>
                <c:pt idx="512">
                  <c:v>2.1237864722021271E-3</c:v>
                </c:pt>
                <c:pt idx="513">
                  <c:v>1.7440916538957962E-2</c:v>
                </c:pt>
                <c:pt idx="514">
                  <c:v>-5.525725079793542E-3</c:v>
                </c:pt>
                <c:pt idx="515">
                  <c:v>-6.1359102274616273E-4</c:v>
                </c:pt>
                <c:pt idx="516">
                  <c:v>1.273883737429693E-2</c:v>
                </c:pt>
                <c:pt idx="517">
                  <c:v>-3.0280115860806811E-2</c:v>
                </c:pt>
                <c:pt idx="518">
                  <c:v>-1.5717748644194951E-2</c:v>
                </c:pt>
                <c:pt idx="519">
                  <c:v>-2.6619490093779952E-3</c:v>
                </c:pt>
                <c:pt idx="520">
                  <c:v>-1.6293206758603684E-2</c:v>
                </c:pt>
                <c:pt idx="521">
                  <c:v>-4.2010865449962909E-3</c:v>
                </c:pt>
                <c:pt idx="522">
                  <c:v>3.3429649705103426E-3</c:v>
                </c:pt>
                <c:pt idx="523">
                  <c:v>1.9259303703703656E-2</c:v>
                </c:pt>
                <c:pt idx="524">
                  <c:v>-8.664943966217864E-3</c:v>
                </c:pt>
                <c:pt idx="525">
                  <c:v>-1.3045398261933627E-2</c:v>
                </c:pt>
                <c:pt idx="526">
                  <c:v>-2.1695256316102141E-3</c:v>
                </c:pt>
                <c:pt idx="527">
                  <c:v>-4.8935518900307118E-3</c:v>
                </c:pt>
                <c:pt idx="528">
                  <c:v>-1.1523658962531602E-2</c:v>
                </c:pt>
                <c:pt idx="529">
                  <c:v>-1.1253271135364784E-2</c:v>
                </c:pt>
                <c:pt idx="530">
                  <c:v>2.3970389846879048E-3</c:v>
                </c:pt>
                <c:pt idx="531">
                  <c:v>6.6714126332754198E-3</c:v>
                </c:pt>
                <c:pt idx="532">
                  <c:v>2.2644767348595662E-2</c:v>
                </c:pt>
                <c:pt idx="533">
                  <c:v>1.2492621803459336E-2</c:v>
                </c:pt>
                <c:pt idx="534">
                  <c:v>0.10634147967479679</c:v>
                </c:pt>
                <c:pt idx="535">
                  <c:v>3.3960995292535268E-2</c:v>
                </c:pt>
                <c:pt idx="536">
                  <c:v>2.1466597973553103E-2</c:v>
                </c:pt>
                <c:pt idx="537">
                  <c:v>-1.2213757214355359E-2</c:v>
                </c:pt>
                <c:pt idx="538">
                  <c:v>1.86625543228367E-2</c:v>
                </c:pt>
                <c:pt idx="539">
                  <c:v>-9.4145672514401868E-3</c:v>
                </c:pt>
                <c:pt idx="540">
                  <c:v>-4.7700680618386615E-3</c:v>
                </c:pt>
                <c:pt idx="541">
                  <c:v>-6.7681389769251865E-3</c:v>
                </c:pt>
                <c:pt idx="542">
                  <c:v>-1.598406566793098E-2</c:v>
                </c:pt>
                <c:pt idx="543">
                  <c:v>-2.6264575226978004E-2</c:v>
                </c:pt>
                <c:pt idx="544">
                  <c:v>0</c:v>
                </c:pt>
                <c:pt idx="545">
                  <c:v>-7.4026232282367044E-3</c:v>
                </c:pt>
                <c:pt idx="546">
                  <c:v>1.1557854468500883E-2</c:v>
                </c:pt>
                <c:pt idx="547">
                  <c:v>-1.300569055456724E-3</c:v>
                </c:pt>
                <c:pt idx="548">
                  <c:v>-1.0297730963870211E-2</c:v>
                </c:pt>
                <c:pt idx="549">
                  <c:v>8.0521741723726947E-4</c:v>
                </c:pt>
                <c:pt idx="550">
                  <c:v>1.6128709677418751E-3</c:v>
                </c:pt>
                <c:pt idx="551">
                  <c:v>-5.453962143086355E-3</c:v>
                </c:pt>
                <c:pt idx="552">
                  <c:v>1.4457831325300763E-3</c:v>
                </c:pt>
                <c:pt idx="553">
                  <c:v>-8.6001113457538914E-3</c:v>
                </c:pt>
                <c:pt idx="554">
                  <c:v>-2.3831903778709362E-3</c:v>
                </c:pt>
                <c:pt idx="555">
                  <c:v>-4.4290097369660275E-3</c:v>
                </c:pt>
                <c:pt idx="556">
                  <c:v>3.4920793650794479E-3</c:v>
                </c:pt>
                <c:pt idx="557">
                  <c:v>1.0262972895077382E-2</c:v>
                </c:pt>
                <c:pt idx="558">
                  <c:v>2.0121053163404845E-2</c:v>
                </c:pt>
                <c:pt idx="559">
                  <c:v>-4.5595017098192248E-3</c:v>
                </c:pt>
                <c:pt idx="560">
                  <c:v>1.7944698498282285E-3</c:v>
                </c:pt>
                <c:pt idx="561">
                  <c:v>-1.7912554958475768E-3</c:v>
                </c:pt>
                <c:pt idx="562">
                  <c:v>1.7944698498282285E-3</c:v>
                </c:pt>
                <c:pt idx="563">
                  <c:v>9.2195749351473566E-3</c:v>
                </c:pt>
                <c:pt idx="564">
                  <c:v>1.9298573586172152E-2</c:v>
                </c:pt>
                <c:pt idx="565">
                  <c:v>7.4386810671620562E-3</c:v>
                </c:pt>
                <c:pt idx="566">
                  <c:v>0</c:v>
                </c:pt>
                <c:pt idx="567">
                  <c:v>3.9036661202873635E-3</c:v>
                </c:pt>
                <c:pt idx="568">
                  <c:v>1.1502111587982755E-2</c:v>
                </c:pt>
                <c:pt idx="569">
                  <c:v>2.4626245369437028E-2</c:v>
                </c:pt>
                <c:pt idx="570">
                  <c:v>-9.063988305107018E-3</c:v>
                </c:pt>
                <c:pt idx="571">
                  <c:v>2.1363735850586929E-2</c:v>
                </c:pt>
                <c:pt idx="572">
                  <c:v>2.6775794359157334E-3</c:v>
                </c:pt>
                <c:pt idx="573">
                  <c:v>9.187570138265988E-3</c:v>
                </c:pt>
                <c:pt idx="574">
                  <c:v>1.2956186367813594E-2</c:v>
                </c:pt>
                <c:pt idx="575">
                  <c:v>-4.0784210733691428E-2</c:v>
                </c:pt>
                <c:pt idx="576">
                  <c:v>1.4022026979055635E-2</c:v>
                </c:pt>
                <c:pt idx="577">
                  <c:v>1.167177252059215E-2</c:v>
                </c:pt>
                <c:pt idx="578">
                  <c:v>1.3835772801747748E-2</c:v>
                </c:pt>
                <c:pt idx="579">
                  <c:v>1.0935119572355045E-3</c:v>
                </c:pt>
                <c:pt idx="580">
                  <c:v>1.0311139563411231E-2</c:v>
                </c:pt>
                <c:pt idx="581">
                  <c:v>1.6599040638158868E-3</c:v>
                </c:pt>
                <c:pt idx="582">
                  <c:v>-2.3063045045044972E-2</c:v>
                </c:pt>
                <c:pt idx="583">
                  <c:v>-4.3927632109003079E-2</c:v>
                </c:pt>
                <c:pt idx="584">
                  <c:v>-8.7090503977279576E-3</c:v>
                </c:pt>
                <c:pt idx="585">
                  <c:v>3.3168683839096769E-2</c:v>
                </c:pt>
                <c:pt idx="586">
                  <c:v>-2.5111782337663979E-2</c:v>
                </c:pt>
                <c:pt idx="587">
                  <c:v>0</c:v>
                </c:pt>
                <c:pt idx="588">
                  <c:v>1.324499802640311E-2</c:v>
                </c:pt>
                <c:pt idx="589">
                  <c:v>1.6114750909956621E-2</c:v>
                </c:pt>
                <c:pt idx="590">
                  <c:v>5.6990024684238083E-3</c:v>
                </c:pt>
                <c:pt idx="591">
                  <c:v>1.1894034532563325E-2</c:v>
                </c:pt>
                <c:pt idx="592">
                  <c:v>9.0193003069849453E-4</c:v>
                </c:pt>
                <c:pt idx="593">
                  <c:v>-7.5188326616749679E-3</c:v>
                </c:pt>
                <c:pt idx="594">
                  <c:v>-1.8277697072840215E-2</c:v>
                </c:pt>
                <c:pt idx="595">
                  <c:v>1.0118941589954078E-2</c:v>
                </c:pt>
                <c:pt idx="596">
                  <c:v>-5.9995767072376083E-3</c:v>
                </c:pt>
                <c:pt idx="597">
                  <c:v>-2.1750422924218915E-2</c:v>
                </c:pt>
                <c:pt idx="598">
                  <c:v>-4.500494559841739E-2</c:v>
                </c:pt>
                <c:pt idx="599">
                  <c:v>-6.8762604166254793E-3</c:v>
                </c:pt>
                <c:pt idx="600">
                  <c:v>5.763247159558782E-3</c:v>
                </c:pt>
                <c:pt idx="601">
                  <c:v>1.7423371040766744E-2</c:v>
                </c:pt>
                <c:pt idx="602">
                  <c:v>-1.3877416386542385E-2</c:v>
                </c:pt>
                <c:pt idx="603">
                  <c:v>-1.8644633592736715E-2</c:v>
                </c:pt>
                <c:pt idx="604">
                  <c:v>6.3631749655217451E-3</c:v>
                </c:pt>
                <c:pt idx="605">
                  <c:v>7.8934384493760668E-3</c:v>
                </c:pt>
                <c:pt idx="606">
                  <c:v>-9.447760375431935E-3</c:v>
                </c:pt>
                <c:pt idx="607">
                  <c:v>5.2398722777140527E-3</c:v>
                </c:pt>
                <c:pt idx="608">
                  <c:v>-2.1241993116960511E-3</c:v>
                </c:pt>
                <c:pt idx="609">
                  <c:v>-5.2015442132640199E-3</c:v>
                </c:pt>
                <c:pt idx="610">
                  <c:v>3.5889233864425663E-3</c:v>
                </c:pt>
                <c:pt idx="611">
                  <c:v>6.2377053919142611E-3</c:v>
                </c:pt>
                <c:pt idx="612">
                  <c:v>4.4517063659783584E-3</c:v>
                </c:pt>
                <c:pt idx="613">
                  <c:v>-6.877321106926515E-3</c:v>
                </c:pt>
                <c:pt idx="614">
                  <c:v>-1.5476366523881402E-2</c:v>
                </c:pt>
                <c:pt idx="615">
                  <c:v>1.1083961241530993E-2</c:v>
                </c:pt>
                <c:pt idx="616">
                  <c:v>-1.2236402958679671E-2</c:v>
                </c:pt>
                <c:pt idx="617">
                  <c:v>8.7705213578039842E-3</c:v>
                </c:pt>
                <c:pt idx="618">
                  <c:v>-1.783398184176388E-3</c:v>
                </c:pt>
                <c:pt idx="619">
                  <c:v>-1.3751215002378969E-2</c:v>
                </c:pt>
                <c:pt idx="620">
                  <c:v>2.5750368611606067E-2</c:v>
                </c:pt>
                <c:pt idx="621">
                  <c:v>1.871350104305769E-2</c:v>
                </c:pt>
                <c:pt idx="622">
                  <c:v>3.3421359404273154E-4</c:v>
                </c:pt>
                <c:pt idx="623">
                  <c:v>8.3645033182433437E-4</c:v>
                </c:pt>
                <c:pt idx="624">
                  <c:v>8.7749074848093578E-3</c:v>
                </c:pt>
                <c:pt idx="625">
                  <c:v>1.521041119521449E-3</c:v>
                </c:pt>
                <c:pt idx="626">
                  <c:v>6.1213568080027425E-3</c:v>
                </c:pt>
                <c:pt idx="627">
                  <c:v>7.3655360163491501E-3</c:v>
                </c:pt>
                <c:pt idx="628">
                  <c:v>1.7158888420709673E-3</c:v>
                </c:pt>
                <c:pt idx="629">
                  <c:v>-2.737850833981037E-3</c:v>
                </c:pt>
                <c:pt idx="630">
                  <c:v>-2.9005629943599232E-3</c:v>
                </c:pt>
                <c:pt idx="631">
                  <c:v>3.7678027704708406E-3</c:v>
                </c:pt>
                <c:pt idx="632">
                  <c:v>4.6455609883957472E-3</c:v>
                </c:pt>
                <c:pt idx="633">
                  <c:v>-2.9164864828188364E-3</c:v>
                </c:pt>
                <c:pt idx="634">
                  <c:v>3.8112180298764731E-2</c:v>
                </c:pt>
                <c:pt idx="635">
                  <c:v>-9.7001585590801298E-3</c:v>
                </c:pt>
                <c:pt idx="636">
                  <c:v>3.5287579393084023E-4</c:v>
                </c:pt>
                <c:pt idx="637">
                  <c:v>5.3210179971441285E-3</c:v>
                </c:pt>
                <c:pt idx="638">
                  <c:v>8.9477450080932552E-3</c:v>
                </c:pt>
                <c:pt idx="639">
                  <c:v>3.5919719827586238E-3</c:v>
                </c:pt>
                <c:pt idx="640">
                  <c:v>2.6170329014755911E-2</c:v>
                </c:pt>
                <c:pt idx="641">
                  <c:v>-1.0936984853500031E-2</c:v>
                </c:pt>
                <c:pt idx="642">
                  <c:v>1.7244594845169603E-2</c:v>
                </c:pt>
                <c:pt idx="643">
                  <c:v>-1.6593727206418718E-2</c:v>
                </c:pt>
                <c:pt idx="644">
                  <c:v>8.2735982399999575E-3</c:v>
                </c:pt>
                <c:pt idx="645">
                  <c:v>-1.50308218936831E-2</c:v>
                </c:pt>
                <c:pt idx="646">
                  <c:v>8.9530604787138035E-3</c:v>
                </c:pt>
                <c:pt idx="647">
                  <c:v>-9.12723638421431E-4</c:v>
                </c:pt>
                <c:pt idx="648">
                  <c:v>-2.7307664300019185E-3</c:v>
                </c:pt>
                <c:pt idx="649">
                  <c:v>8.2599118942732197E-3</c:v>
                </c:pt>
                <c:pt idx="650">
                  <c:v>-2.2429571146599714E-2</c:v>
                </c:pt>
                <c:pt idx="651">
                  <c:v>-6.5953300033986251E-3</c:v>
                </c:pt>
                <c:pt idx="652">
                  <c:v>-5.3452698139089261E-4</c:v>
                </c:pt>
                <c:pt idx="653">
                  <c:v>-7.1207052562116679E-4</c:v>
                </c:pt>
                <c:pt idx="654">
                  <c:v>1.6283662022797074E-2</c:v>
                </c:pt>
                <c:pt idx="655">
                  <c:v>1.9941986947065171E-3</c:v>
                </c:pt>
                <c:pt idx="656">
                  <c:v>-3.0725102811310911E-3</c:v>
                </c:pt>
                <c:pt idx="657">
                  <c:v>-1.4437466161342227E-3</c:v>
                </c:pt>
                <c:pt idx="658">
                  <c:v>1.2054794520547807E-2</c:v>
                </c:pt>
                <c:pt idx="659">
                  <c:v>-4.7263771941966626E-3</c:v>
                </c:pt>
                <c:pt idx="660">
                  <c:v>-1.2709512973509973E-3</c:v>
                </c:pt>
                <c:pt idx="661">
                  <c:v>-5.4434765842226174E-4</c:v>
                </c:pt>
                <c:pt idx="662">
                  <c:v>3.7853165267539124E-2</c:v>
                </c:pt>
                <c:pt idx="663">
                  <c:v>1.2778905206942692E-2</c:v>
                </c:pt>
                <c:pt idx="664">
                  <c:v>5.5619678857299348E-3</c:v>
                </c:pt>
                <c:pt idx="665">
                  <c:v>4.2373075592183618E-3</c:v>
                </c:pt>
                <c:pt idx="666">
                  <c:v>2.8322359741637548E-2</c:v>
                </c:pt>
                <c:pt idx="667">
                  <c:v>-1.9040197803765424E-2</c:v>
                </c:pt>
                <c:pt idx="668">
                  <c:v>2.7274302463500266E-3</c:v>
                </c:pt>
                <c:pt idx="669">
                  <c:v>-1.9443515457904237E-3</c:v>
                </c:pt>
                <c:pt idx="670">
                  <c:v>1.1406136141834278E-2</c:v>
                </c:pt>
                <c:pt idx="671">
                  <c:v>1.0733392750280402E-2</c:v>
                </c:pt>
                <c:pt idx="672">
                  <c:v>1.2070046511165611E-2</c:v>
                </c:pt>
                <c:pt idx="673">
                  <c:v>-5.601180011955087E-3</c:v>
                </c:pt>
                <c:pt idx="674">
                  <c:v>-1.1987412826921506E-3</c:v>
                </c:pt>
                <c:pt idx="675">
                  <c:v>-1.3966480725587926E-3</c:v>
                </c:pt>
                <c:pt idx="676">
                  <c:v>-8.3102887156649707E-3</c:v>
                </c:pt>
                <c:pt idx="677">
                  <c:v>1.0800020000000021E-2</c:v>
                </c:pt>
                <c:pt idx="678">
                  <c:v>-1.5941763118642704E-2</c:v>
                </c:pt>
                <c:pt idx="679">
                  <c:v>2.3673703367008692E-3</c:v>
                </c:pt>
                <c:pt idx="680">
                  <c:v>4.5580658850190581E-3</c:v>
                </c:pt>
                <c:pt idx="681">
                  <c:v>6.9845937540493619E-3</c:v>
                </c:pt>
                <c:pt idx="682">
                  <c:v>7.641282927810078E-3</c:v>
                </c:pt>
                <c:pt idx="683">
                  <c:v>-7.5833365080156812E-3</c:v>
                </c:pt>
                <c:pt idx="684">
                  <c:v>1.7993002798879498E-3</c:v>
                </c:pt>
                <c:pt idx="685">
                  <c:v>1.0913500404203802E-2</c:v>
                </c:pt>
                <c:pt idx="686">
                  <c:v>1.8222515048034182E-3</c:v>
                </c:pt>
                <c:pt idx="687">
                  <c:v>1.6223483751298673E-3</c:v>
                </c:pt>
                <c:pt idx="688">
                  <c:v>-1.3799980000000045E-2</c:v>
                </c:pt>
                <c:pt idx="689">
                  <c:v>2.5851414614221913E-2</c:v>
                </c:pt>
                <c:pt idx="690">
                  <c:v>8.483343327815307E-3</c:v>
                </c:pt>
                <c:pt idx="691">
                  <c:v>-8.8186221828803202E-3</c:v>
                </c:pt>
                <c:pt idx="692">
                  <c:v>-2.0467252958098481E-3</c:v>
                </c:pt>
                <c:pt idx="693">
                  <c:v>-1.1331384513613374E-2</c:v>
                </c:pt>
                <c:pt idx="694">
                  <c:v>1.7500473543339501E-2</c:v>
                </c:pt>
                <c:pt idx="695">
                  <c:v>-3.6923076923076614E-3</c:v>
                </c:pt>
                <c:pt idx="696">
                  <c:v>2.0554572639071012E-3</c:v>
                </c:pt>
                <c:pt idx="697">
                  <c:v>2.4727591690245632E-3</c:v>
                </c:pt>
                <c:pt idx="698">
                  <c:v>7.0554058322349622E-3</c:v>
                </c:pt>
                <c:pt idx="699">
                  <c:v>-3.7213149415198377E-3</c:v>
                </c:pt>
                <c:pt idx="700">
                  <c:v>-2.5387910026437477E-2</c:v>
                </c:pt>
                <c:pt idx="701">
                  <c:v>-8.3915685992321798E-3</c:v>
                </c:pt>
                <c:pt idx="702">
                  <c:v>-1.669946889196583E-2</c:v>
                </c:pt>
                <c:pt idx="703">
                  <c:v>-5.8900451600230053E-4</c:v>
                </c:pt>
                <c:pt idx="704">
                  <c:v>7.517329525565275E-3</c:v>
                </c:pt>
                <c:pt idx="705">
                  <c:v>-1.3828526547382536E-3</c:v>
                </c:pt>
                <c:pt idx="706">
                  <c:v>1.0379261891387603E-2</c:v>
                </c:pt>
                <c:pt idx="707">
                  <c:v>5.4183421465645587E-3</c:v>
                </c:pt>
                <c:pt idx="708">
                  <c:v>9.5219001312418783E-3</c:v>
                </c:pt>
                <c:pt idx="709">
                  <c:v>-1.3194702119152413E-2</c:v>
                </c:pt>
                <c:pt idx="710">
                  <c:v>-3.918557358460284E-2</c:v>
                </c:pt>
                <c:pt idx="711">
                  <c:v>4.0991863267020978E-2</c:v>
                </c:pt>
                <c:pt idx="712">
                  <c:v>3.2096290154315366E-3</c:v>
                </c:pt>
                <c:pt idx="713">
                  <c:v>-1.2088803251859015E-2</c:v>
                </c:pt>
                <c:pt idx="714">
                  <c:v>-1.7140650564861692E-2</c:v>
                </c:pt>
                <c:pt idx="715">
                  <c:v>-3.3327075252738037E-2</c:v>
                </c:pt>
                <c:pt idx="716">
                  <c:v>-1.1171067048428074E-2</c:v>
                </c:pt>
                <c:pt idx="717">
                  <c:v>1.3778765571914153E-2</c:v>
                </c:pt>
                <c:pt idx="718">
                  <c:v>1.4359563469270586E-2</c:v>
                </c:pt>
                <c:pt idx="719">
                  <c:v>-6.9481577240663173E-2</c:v>
                </c:pt>
                <c:pt idx="720">
                  <c:v>2.6795462665238912E-3</c:v>
                </c:pt>
                <c:pt idx="721">
                  <c:v>-2.3207136220430358E-2</c:v>
                </c:pt>
                <c:pt idx="722">
                  <c:v>3.8535820634086893E-3</c:v>
                </c:pt>
                <c:pt idx="723">
                  <c:v>-5.4007315191382244E-3</c:v>
                </c:pt>
                <c:pt idx="724">
                  <c:v>-1.829996548144408E-2</c:v>
                </c:pt>
                <c:pt idx="725">
                  <c:v>3.949158518229634E-3</c:v>
                </c:pt>
                <c:pt idx="726">
                  <c:v>-9.6922120440026127E-3</c:v>
                </c:pt>
                <c:pt idx="727">
                  <c:v>3.0701005787121538E-3</c:v>
                </c:pt>
                <c:pt idx="728">
                  <c:v>1.7528670904697563E-2</c:v>
                </c:pt>
                <c:pt idx="729">
                  <c:v>3.6578819021078068E-3</c:v>
                </c:pt>
                <c:pt idx="730">
                  <c:v>-2.859556780357253E-2</c:v>
                </c:pt>
                <c:pt idx="731">
                  <c:v>7.3291292766022309E-3</c:v>
                </c:pt>
                <c:pt idx="732">
                  <c:v>-1.4115275218123946E-2</c:v>
                </c:pt>
                <c:pt idx="733">
                  <c:v>-1.6688730998017154E-2</c:v>
                </c:pt>
                <c:pt idx="734">
                  <c:v>-5.5866085181298653E-3</c:v>
                </c:pt>
                <c:pt idx="735">
                  <c:v>5.1197688706814404E-3</c:v>
                </c:pt>
                <c:pt idx="736">
                  <c:v>9.9184985975031559E-4</c:v>
                </c:pt>
                <c:pt idx="737">
                  <c:v>3.7920436477701491E-2</c:v>
                </c:pt>
                <c:pt idx="738">
                  <c:v>-1.2035988742634784E-2</c:v>
                </c:pt>
                <c:pt idx="739">
                  <c:v>-1.5684932421158093E-2</c:v>
                </c:pt>
                <c:pt idx="740">
                  <c:v>3.0125523012551891E-3</c:v>
                </c:pt>
                <c:pt idx="741">
                  <c:v>1.3227047427046834E-2</c:v>
                </c:pt>
                <c:pt idx="742">
                  <c:v>1.3584989193156094E-3</c:v>
                </c:pt>
                <c:pt idx="743">
                  <c:v>3.4077356177839579E-3</c:v>
                </c:pt>
                <c:pt idx="744">
                  <c:v>-1.028667808240602E-2</c:v>
                </c:pt>
                <c:pt idx="745">
                  <c:v>1.1427562486311382E-2</c:v>
                </c:pt>
                <c:pt idx="746">
                  <c:v>9.4696794259752082E-3</c:v>
                </c:pt>
                <c:pt idx="747">
                  <c:v>-4.1151920438957657E-3</c:v>
                </c:pt>
                <c:pt idx="748">
                  <c:v>-1.8825945575903225E-3</c:v>
                </c:pt>
                <c:pt idx="749">
                  <c:v>1.282719731023052E-2</c:v>
                </c:pt>
                <c:pt idx="750">
                  <c:v>3.6534272790536004E-3</c:v>
                </c:pt>
                <c:pt idx="751">
                  <c:v>1.4293312662548407E-2</c:v>
                </c:pt>
                <c:pt idx="752">
                  <c:v>-5.6150901696756517E-3</c:v>
                </c:pt>
                <c:pt idx="753">
                  <c:v>2.6107327581790907E-2</c:v>
                </c:pt>
                <c:pt idx="754">
                  <c:v>1.5170937948655316E-2</c:v>
                </c:pt>
                <c:pt idx="755">
                  <c:v>-2.7342689986460389E-3</c:v>
                </c:pt>
                <c:pt idx="756">
                  <c:v>2.925045650364666E-3</c:v>
                </c:pt>
                <c:pt idx="757">
                  <c:v>-3.1858389380530983E-2</c:v>
                </c:pt>
                <c:pt idx="758">
                  <c:v>-1.0854324419718564E-2</c:v>
                </c:pt>
                <c:pt idx="759">
                  <c:v>2.8262826791410012E-2</c:v>
                </c:pt>
                <c:pt idx="760">
                  <c:v>-2.9355250742617467E-2</c:v>
                </c:pt>
                <c:pt idx="761">
                  <c:v>2.5259763525617984E-2</c:v>
                </c:pt>
                <c:pt idx="762">
                  <c:v>-1.6040895469769056E-2</c:v>
                </c:pt>
                <c:pt idx="763">
                  <c:v>-2.391601899373752E-2</c:v>
                </c:pt>
                <c:pt idx="764">
                  <c:v>-1.3577716007390217E-2</c:v>
                </c:pt>
                <c:pt idx="765">
                  <c:v>-3.7200034447075758E-3</c:v>
                </c:pt>
                <c:pt idx="766">
                  <c:v>9.3872503840246591E-3</c:v>
                </c:pt>
                <c:pt idx="767">
                  <c:v>-7.9580256017942608E-3</c:v>
                </c:pt>
                <c:pt idx="768">
                  <c:v>-2.1962831930442128E-3</c:v>
                </c:pt>
                <c:pt idx="769">
                  <c:v>-3.1997641764943685E-3</c:v>
                </c:pt>
                <c:pt idx="770">
                  <c:v>3.1619179436775946E-2</c:v>
                </c:pt>
                <c:pt idx="771">
                  <c:v>1.3201900841367742E-2</c:v>
                </c:pt>
                <c:pt idx="772">
                  <c:v>-8.3784254079519727E-3</c:v>
                </c:pt>
                <c:pt idx="773">
                  <c:v>5.2640636861180923E-3</c:v>
                </c:pt>
                <c:pt idx="774">
                  <c:v>-7.4886105011707782E-3</c:v>
                </c:pt>
                <c:pt idx="775">
                  <c:v>1.9169293574724744E-2</c:v>
                </c:pt>
                <c:pt idx="776">
                  <c:v>1.003945876729051E-2</c:v>
                </c:pt>
                <c:pt idx="777">
                  <c:v>-8.9562955774213915E-4</c:v>
                </c:pt>
                <c:pt idx="778">
                  <c:v>-3.7473054292057606E-3</c:v>
                </c:pt>
                <c:pt idx="779">
                  <c:v>-5.3502764401647251E-4</c:v>
                </c:pt>
                <c:pt idx="780">
                  <c:v>-3.0227950560882677E-3</c:v>
                </c:pt>
                <c:pt idx="781">
                  <c:v>6.6225703709068551E-3</c:v>
                </c:pt>
                <c:pt idx="782">
                  <c:v>-1.9650053590567484E-3</c:v>
                </c:pt>
                <c:pt idx="783">
                  <c:v>-1.6051364365972098E-3</c:v>
                </c:pt>
                <c:pt idx="784">
                  <c:v>-5.3472372672813684E-4</c:v>
                </c:pt>
                <c:pt idx="785">
                  <c:v>0.14489791836734689</c:v>
                </c:pt>
                <c:pt idx="786">
                  <c:v>1.8401144960131788E-3</c:v>
                </c:pt>
                <c:pt idx="787">
                  <c:v>1.4309394145387788E-2</c:v>
                </c:pt>
                <c:pt idx="788">
                  <c:v>1.4303743914519718E-2</c:v>
                </c:pt>
                <c:pt idx="789">
                  <c:v>1.6463566388710493E-2</c:v>
                </c:pt>
                <c:pt idx="790">
                  <c:v>9.0615322140898957E-3</c:v>
                </c:pt>
                <c:pt idx="791">
                  <c:v>4.3336076128446255E-3</c:v>
                </c:pt>
                <c:pt idx="792">
                  <c:v>-1.1565581742676856E-2</c:v>
                </c:pt>
                <c:pt idx="793">
                  <c:v>-1.6431472162808713E-2</c:v>
                </c:pt>
                <c:pt idx="794">
                  <c:v>1.496688047893957E-2</c:v>
                </c:pt>
                <c:pt idx="795">
                  <c:v>2.1427470384722813E-3</c:v>
                </c:pt>
                <c:pt idx="796">
                  <c:v>2.142734676382485E-4</c:v>
                </c:pt>
                <c:pt idx="797">
                  <c:v>1.5893751360766206E-2</c:v>
                </c:pt>
                <c:pt idx="798">
                  <c:v>-5.4135989605890167E-3</c:v>
                </c:pt>
                <c:pt idx="799">
                  <c:v>-1.4300918433336918E-2</c:v>
                </c:pt>
                <c:pt idx="800">
                  <c:v>-1.066183323403691E-3</c:v>
                </c:pt>
                <c:pt idx="801">
                  <c:v>7.735302798983712E-3</c:v>
                </c:pt>
                <c:pt idx="802">
                  <c:v>-7.0407084924410945E-3</c:v>
                </c:pt>
                <c:pt idx="803">
                  <c:v>-5.0945021206855179E-3</c:v>
                </c:pt>
                <c:pt idx="804">
                  <c:v>0</c:v>
                </c:pt>
                <c:pt idx="805">
                  <c:v>1.2465119545779446E-2</c:v>
                </c:pt>
                <c:pt idx="806">
                  <c:v>2.369689890981741E-3</c:v>
                </c:pt>
                <c:pt idx="807">
                  <c:v>-3.0069372206413814E-3</c:v>
                </c:pt>
                <c:pt idx="808">
                  <c:v>-1.1464904945431176E-2</c:v>
                </c:pt>
                <c:pt idx="809">
                  <c:v>1.683933506044899E-2</c:v>
                </c:pt>
                <c:pt idx="810">
                  <c:v>-1.0782618304563396E-3</c:v>
                </c:pt>
                <c:pt idx="811">
                  <c:v>3.9686122855880024E-2</c:v>
                </c:pt>
                <c:pt idx="812">
                  <c:v>7.4542127851817686E-3</c:v>
                </c:pt>
                <c:pt idx="813">
                  <c:v>2.1929824561403466E-2</c:v>
                </c:pt>
                <c:pt idx="814">
                  <c:v>2.7777545653298041E-3</c:v>
                </c:pt>
                <c:pt idx="815">
                  <c:v>-1.9741297935103264E-2</c:v>
                </c:pt>
                <c:pt idx="816">
                  <c:v>2.6554856743536082E-2</c:v>
                </c:pt>
                <c:pt idx="817">
                  <c:v>-3.9442693245600458E-3</c:v>
                </c:pt>
                <c:pt idx="818">
                  <c:v>-3.0072172102706407E-3</c:v>
                </c:pt>
                <c:pt idx="819">
                  <c:v>-9.2442801016889842E-4</c:v>
                </c:pt>
                <c:pt idx="820">
                  <c:v>-2.7655912137725114E-3</c:v>
                </c:pt>
                <c:pt idx="821">
                  <c:v>-1.5430020422055768E-2</c:v>
                </c:pt>
                <c:pt idx="822">
                  <c:v>1.1011699931176899E-2</c:v>
                </c:pt>
                <c:pt idx="823">
                  <c:v>4.3778338996389721E-3</c:v>
                </c:pt>
                <c:pt idx="824">
                  <c:v>-7.9999542857143169E-3</c:v>
                </c:pt>
                <c:pt idx="825">
                  <c:v>3.305790002634712E-2</c:v>
                </c:pt>
                <c:pt idx="826">
                  <c:v>-1.3050617571661594E-2</c:v>
                </c:pt>
                <c:pt idx="827">
                  <c:v>7.513500821789032E-3</c:v>
                </c:pt>
                <c:pt idx="828">
                  <c:v>-1.6170038896510808E-2</c:v>
                </c:pt>
                <c:pt idx="829">
                  <c:v>-5.513393188913196E-3</c:v>
                </c:pt>
                <c:pt idx="830">
                  <c:v>-1.6054817250221731E-3</c:v>
                </c:pt>
                <c:pt idx="831">
                  <c:v>2.3233911681907804E-2</c:v>
                </c:pt>
                <c:pt idx="832">
                  <c:v>-5.3687908496733439E-3</c:v>
                </c:pt>
                <c:pt idx="833">
                  <c:v>4.6707146193369908E-4</c:v>
                </c:pt>
                <c:pt idx="834">
                  <c:v>-1.1662934725050755E-3</c:v>
                </c:pt>
                <c:pt idx="835">
                  <c:v>-5.3364039599259616E-3</c:v>
                </c:pt>
                <c:pt idx="836">
                  <c:v>-4.618960845703457E-3</c:v>
                </c:pt>
                <c:pt idx="837">
                  <c:v>-4.7304773436638636E-2</c:v>
                </c:pt>
                <c:pt idx="838">
                  <c:v>8.8790678996464312E-3</c:v>
                </c:pt>
                <c:pt idx="839">
                  <c:v>3.1173235359609475E-3</c:v>
                </c:pt>
                <c:pt idx="840">
                  <c:v>-7.9522862823062646E-3</c:v>
                </c:pt>
                <c:pt idx="841">
                  <c:v>-1.0275513324201291E-2</c:v>
                </c:pt>
                <c:pt idx="842">
                  <c:v>-8.6692026152841439E-3</c:v>
                </c:pt>
                <c:pt idx="843">
                  <c:v>4.1348856553888869E-3</c:v>
                </c:pt>
                <c:pt idx="844">
                  <c:v>-1.4371471779739853E-2</c:v>
                </c:pt>
                <c:pt idx="845">
                  <c:v>-5.7581575124368012E-3</c:v>
                </c:pt>
                <c:pt idx="846">
                  <c:v>3.423903274128115E-3</c:v>
                </c:pt>
                <c:pt idx="847">
                  <c:v>-0.11713583978839981</c:v>
                </c:pt>
                <c:pt idx="848">
                  <c:v>-5.4490979810392082E-3</c:v>
                </c:pt>
                <c:pt idx="849">
                  <c:v>-6.9042545250980192E-3</c:v>
                </c:pt>
                <c:pt idx="850">
                  <c:v>1.8659947045174263E-4</c:v>
                </c:pt>
                <c:pt idx="851">
                  <c:v>1.9212516644474098E-2</c:v>
                </c:pt>
                <c:pt idx="852">
                  <c:v>-8.4873632591475623E-3</c:v>
                </c:pt>
                <c:pt idx="853">
                  <c:v>1.1253099370589492E-2</c:v>
                </c:pt>
                <c:pt idx="854">
                  <c:v>-7.9469823253351946E-3</c:v>
                </c:pt>
                <c:pt idx="855">
                  <c:v>-1.1595342966236433E-2</c:v>
                </c:pt>
                <c:pt idx="856">
                  <c:v>1.1922804693414113E-2</c:v>
                </c:pt>
                <c:pt idx="857">
                  <c:v>1.2454512597327438E-2</c:v>
                </c:pt>
                <c:pt idx="858">
                  <c:v>2.2130786875621089E-2</c:v>
                </c:pt>
                <c:pt idx="859">
                  <c:v>3.9323632730561275E-3</c:v>
                </c:pt>
                <c:pt idx="860">
                  <c:v>-5.6696185466426074E-3</c:v>
                </c:pt>
                <c:pt idx="861">
                  <c:v>5.899783909529388E-3</c:v>
                </c:pt>
                <c:pt idx="862">
                  <c:v>6.5320269200315195E-3</c:v>
                </c:pt>
                <c:pt idx="863">
                  <c:v>-6.4896364401035855E-3</c:v>
                </c:pt>
                <c:pt idx="864">
                  <c:v>1.0532551669316437E-2</c:v>
                </c:pt>
                <c:pt idx="865">
                  <c:v>2.9898745461380827E-3</c:v>
                </c:pt>
                <c:pt idx="866">
                  <c:v>-2.9593867899538329E-2</c:v>
                </c:pt>
                <c:pt idx="867">
                  <c:v>2.5208648439014603E-3</c:v>
                </c:pt>
                <c:pt idx="868">
                  <c:v>-7.5057545709344975E-3</c:v>
                </c:pt>
                <c:pt idx="869">
                  <c:v>1.6829765825039811E-2</c:v>
                </c:pt>
                <c:pt idx="870">
                  <c:v>-4.2868667186282128E-3</c:v>
                </c:pt>
                <c:pt idx="871">
                  <c:v>1.3658536585365866E-3</c:v>
                </c:pt>
                <c:pt idx="872">
                  <c:v>-5.0475249484576157E-3</c:v>
                </c:pt>
                <c:pt idx="873">
                  <c:v>-8.8513178978003593E-3</c:v>
                </c:pt>
                <c:pt idx="874">
                  <c:v>-2.0911849249741876E-2</c:v>
                </c:pt>
                <c:pt idx="875">
                  <c:v>-8.2211883408072062E-3</c:v>
                </c:pt>
                <c:pt idx="876">
                  <c:v>2.3718458755135119E-2</c:v>
                </c:pt>
                <c:pt idx="877">
                  <c:v>-3.4311857306746907E-3</c:v>
                </c:pt>
                <c:pt idx="878">
                  <c:v>8.0706762476812077E-3</c:v>
                </c:pt>
                <c:pt idx="879">
                  <c:v>1.5414653658536448E-2</c:v>
                </c:pt>
                <c:pt idx="880">
                  <c:v>-7.9365079365079083E-3</c:v>
                </c:pt>
                <c:pt idx="881">
                  <c:v>-1.1102641228842192E-2</c:v>
                </c:pt>
                <c:pt idx="882">
                  <c:v>-3.8138253969074443E-3</c:v>
                </c:pt>
                <c:pt idx="883">
                  <c:v>-7.6221417682920123E-4</c:v>
                </c:pt>
                <c:pt idx="884">
                  <c:v>1.3714506470928978E-2</c:v>
                </c:pt>
                <c:pt idx="885">
                  <c:v>1.3508182713070527E-2</c:v>
                </c:pt>
                <c:pt idx="886">
                  <c:v>6.1060074847349988E-3</c:v>
                </c:pt>
                <c:pt idx="887">
                  <c:v>-1.1804445728724744E-3</c:v>
                </c:pt>
                <c:pt idx="888">
                  <c:v>-1.7777739130434789E-2</c:v>
                </c:pt>
                <c:pt idx="889">
                  <c:v>2.3941412268670081E-2</c:v>
                </c:pt>
                <c:pt idx="890">
                  <c:v>3.5868005003730108E-2</c:v>
                </c:pt>
                <c:pt idx="891">
                  <c:v>-3.4721814434679477E-3</c:v>
                </c:pt>
                <c:pt idx="892">
                  <c:v>-8.505508130710604E-3</c:v>
                </c:pt>
                <c:pt idx="893">
                  <c:v>-1.6530532095808348E-2</c:v>
                </c:pt>
                <c:pt idx="894">
                  <c:v>1.066825684380035E-2</c:v>
                </c:pt>
                <c:pt idx="895">
                  <c:v>1.814882032667775E-3</c:v>
                </c:pt>
                <c:pt idx="896">
                  <c:v>-5.2156070297133539E-3</c:v>
                </c:pt>
                <c:pt idx="897">
                  <c:v>-8.1575809055942639E-3</c:v>
                </c:pt>
                <c:pt idx="898">
                  <c:v>-6.1301562191021786E-3</c:v>
                </c:pt>
                <c:pt idx="899">
                  <c:v>4.6347980701511249E-2</c:v>
                </c:pt>
                <c:pt idx="900">
                  <c:v>3.9468841700640578E-3</c:v>
                </c:pt>
                <c:pt idx="901">
                  <c:v>4.1718816055880126E-3</c:v>
                </c:pt>
                <c:pt idx="902">
                  <c:v>-8.2747414149773046E-3</c:v>
                </c:pt>
                <c:pt idx="903">
                  <c:v>1.0240376603568579E-2</c:v>
                </c:pt>
                <c:pt idx="904">
                  <c:v>9.2807002742039124E-3</c:v>
                </c:pt>
                <c:pt idx="905">
                  <c:v>0</c:v>
                </c:pt>
                <c:pt idx="906">
                  <c:v>-8.5738184859891486E-3</c:v>
                </c:pt>
                <c:pt idx="907">
                  <c:v>-1.3410377276452001E-2</c:v>
                </c:pt>
                <c:pt idx="908">
                  <c:v>3.5905107161677607E-2</c:v>
                </c:pt>
                <c:pt idx="909">
                  <c:v>2.0279109893608593E-2</c:v>
                </c:pt>
                <c:pt idx="910">
                  <c:v>-1.0890655630581003E-3</c:v>
                </c:pt>
                <c:pt idx="911">
                  <c:v>-1.1625424938096374E-2</c:v>
                </c:pt>
                <c:pt idx="912">
                  <c:v>1.2423713765830069E-2</c:v>
                </c:pt>
                <c:pt idx="913">
                  <c:v>-7.3561227313690969E-3</c:v>
                </c:pt>
                <c:pt idx="914">
                  <c:v>-8.7926225864759511E-3</c:v>
                </c:pt>
                <c:pt idx="915">
                  <c:v>2.0796869527145434E-2</c:v>
                </c:pt>
                <c:pt idx="916">
                  <c:v>-2.8378301061376954E-3</c:v>
                </c:pt>
                <c:pt idx="917">
                  <c:v>-8.7234464001506584E-4</c:v>
                </c:pt>
                <c:pt idx="918">
                  <c:v>-1.1853533971830421E-2</c:v>
                </c:pt>
                <c:pt idx="919">
                  <c:v>3.4602074627938517E-3</c:v>
                </c:pt>
                <c:pt idx="920">
                  <c:v>-3.4482757134364217E-3</c:v>
                </c:pt>
                <c:pt idx="921">
                  <c:v>3.4602074627938517E-3</c:v>
                </c:pt>
                <c:pt idx="922">
                  <c:v>1.6710686015831033E-2</c:v>
                </c:pt>
                <c:pt idx="923">
                  <c:v>-4.8140261528659689E-3</c:v>
                </c:pt>
                <c:pt idx="924">
                  <c:v>-1.0394088349935049E-2</c:v>
                </c:pt>
                <c:pt idx="925">
                  <c:v>-2.0780322307039745E-2</c:v>
                </c:pt>
                <c:pt idx="926">
                  <c:v>-2.2185361808003345E-2</c:v>
                </c:pt>
                <c:pt idx="927">
                  <c:v>7.7308606825978732E-3</c:v>
                </c:pt>
                <c:pt idx="928">
                  <c:v>-6.6417393109174938E-3</c:v>
                </c:pt>
                <c:pt idx="929">
                  <c:v>-9.4572164773276679E-3</c:v>
                </c:pt>
                <c:pt idx="930">
                  <c:v>3.0933593279705018E-3</c:v>
                </c:pt>
                <c:pt idx="931">
                  <c:v>-1.762558716317697E-2</c:v>
                </c:pt>
                <c:pt idx="932">
                  <c:v>-1.3194702119152413E-2</c:v>
                </c:pt>
                <c:pt idx="933">
                  <c:v>-3.548015743385724E-2</c:v>
                </c:pt>
                <c:pt idx="934">
                  <c:v>-1.5004766761452459E-2</c:v>
                </c:pt>
                <c:pt idx="935">
                  <c:v>-4.2553189941691549E-2</c:v>
                </c:pt>
                <c:pt idx="936">
                  <c:v>5.1179492801671778E-3</c:v>
                </c:pt>
                <c:pt idx="937">
                  <c:v>1.0155077548005931E-2</c:v>
                </c:pt>
                <c:pt idx="938">
                  <c:v>2.7314092805119428E-2</c:v>
                </c:pt>
                <c:pt idx="939">
                  <c:v>1.4626674646394777E-2</c:v>
                </c:pt>
                <c:pt idx="940">
                  <c:v>1.1560115161459716E-3</c:v>
                </c:pt>
                <c:pt idx="941">
                  <c:v>1.8845760087274455E-2</c:v>
                </c:pt>
                <c:pt idx="942">
                  <c:v>2.3612554112553141E-3</c:v>
                </c:pt>
                <c:pt idx="943">
                  <c:v>3.3563276068577785E-3</c:v>
                </c:pt>
                <c:pt idx="944">
                  <c:v>6.9583102775012673E-3</c:v>
                </c:pt>
                <c:pt idx="945">
                  <c:v>1.3091580540117498E-2</c:v>
                </c:pt>
                <c:pt idx="946">
                  <c:v>2.3500392640708689E-2</c:v>
                </c:pt>
                <c:pt idx="947">
                  <c:v>1.6341881416300108E-2</c:v>
                </c:pt>
                <c:pt idx="948">
                  <c:v>-4.1727519298978555E-3</c:v>
                </c:pt>
                <c:pt idx="949">
                  <c:v>-1.8029112517330192E-2</c:v>
                </c:pt>
                <c:pt idx="950">
                  <c:v>5.7696683653343239E-3</c:v>
                </c:pt>
                <c:pt idx="951">
                  <c:v>-1.1206254637072033E-2</c:v>
                </c:pt>
                <c:pt idx="952">
                  <c:v>8.8386430076610178E-3</c:v>
                </c:pt>
                <c:pt idx="953">
                  <c:v>-9.3667072008407626E-3</c:v>
                </c:pt>
                <c:pt idx="954">
                  <c:v>1.0285949181527476E-2</c:v>
                </c:pt>
                <c:pt idx="955">
                  <c:v>-1.2994903553299575E-2</c:v>
                </c:pt>
                <c:pt idx="956">
                  <c:v>3.0550306743393207E-3</c:v>
                </c:pt>
                <c:pt idx="957">
                  <c:v>-2.3274358464292932E-2</c:v>
                </c:pt>
                <c:pt idx="958">
                  <c:v>-1.9695768714815931E-2</c:v>
                </c:pt>
                <c:pt idx="959">
                  <c:v>4.1006924117211518E-2</c:v>
                </c:pt>
                <c:pt idx="960">
                  <c:v>-2.5519308121054518E-2</c:v>
                </c:pt>
                <c:pt idx="961">
                  <c:v>1.120217998791051E-2</c:v>
                </c:pt>
                <c:pt idx="962">
                  <c:v>9.4911550888527874E-3</c:v>
                </c:pt>
                <c:pt idx="963">
                  <c:v>2.5896001657344181E-2</c:v>
                </c:pt>
                <c:pt idx="964">
                  <c:v>6.4637407519545498E-3</c:v>
                </c:pt>
                <c:pt idx="965">
                  <c:v>1.0322266477306385E-2</c:v>
                </c:pt>
                <c:pt idx="966">
                  <c:v>-1.2070718253292756E-2</c:v>
                </c:pt>
                <c:pt idx="967">
                  <c:v>7.3374841229039145E-3</c:v>
                </c:pt>
                <c:pt idx="968">
                  <c:v>-2.3341502866502939E-2</c:v>
                </c:pt>
                <c:pt idx="969">
                  <c:v>1.0761589403973648E-2</c:v>
                </c:pt>
                <c:pt idx="970">
                  <c:v>-4.4303816370573235E-2</c:v>
                </c:pt>
                <c:pt idx="971">
                  <c:v>1.1807084014266778E-2</c:v>
                </c:pt>
                <c:pt idx="972">
                  <c:v>1.4619309644670064E-2</c:v>
                </c:pt>
                <c:pt idx="973">
                  <c:v>5.3071645108322407E-3</c:v>
                </c:pt>
                <c:pt idx="974">
                  <c:v>-3.5629862906099707E-2</c:v>
                </c:pt>
                <c:pt idx="975">
                  <c:v>-2.7483314241918411E-3</c:v>
                </c:pt>
                <c:pt idx="976">
                  <c:v>-4.6893513091050831E-3</c:v>
                </c:pt>
                <c:pt idx="977">
                  <c:v>2.7917231815279608E-2</c:v>
                </c:pt>
                <c:pt idx="978">
                  <c:v>-6.7823657134976623E-3</c:v>
                </c:pt>
                <c:pt idx="979">
                  <c:v>-6.1458764105051245E-3</c:v>
                </c:pt>
                <c:pt idx="980">
                  <c:v>-4.3426964074219088E-3</c:v>
                </c:pt>
                <c:pt idx="981">
                  <c:v>-2.7558858810214915E-3</c:v>
                </c:pt>
                <c:pt idx="982">
                  <c:v>3.9525890890350635E-3</c:v>
                </c:pt>
                <c:pt idx="983">
                  <c:v>-4.7798288441819548E-2</c:v>
                </c:pt>
                <c:pt idx="984">
                  <c:v>2.6414905660376853E-3</c:v>
                </c:pt>
                <c:pt idx="985">
                  <c:v>-8.789994224986164E-3</c:v>
                </c:pt>
                <c:pt idx="986">
                  <c:v>1.2689432058512029E-2</c:v>
                </c:pt>
                <c:pt idx="987">
                  <c:v>1.5579860912488641E-2</c:v>
                </c:pt>
                <c:pt idx="988">
                  <c:v>-1.7281105327147106E-3</c:v>
                </c:pt>
                <c:pt idx="989">
                  <c:v>9.693679344952244E-3</c:v>
                </c:pt>
                <c:pt idx="990">
                  <c:v>1.5154516529137574E-2</c:v>
                </c:pt>
                <c:pt idx="991">
                  <c:v>5.1434620206420867E-3</c:v>
                </c:pt>
                <c:pt idx="992">
                  <c:v>2.3486536211511089E-2</c:v>
                </c:pt>
                <c:pt idx="993">
                  <c:v>-1.6918848848771817E-2</c:v>
                </c:pt>
                <c:pt idx="994">
                  <c:v>-1.9516002360811746E-2</c:v>
                </c:pt>
                <c:pt idx="995">
                  <c:v>-9.0890931945291076E-3</c:v>
                </c:pt>
                <c:pt idx="996">
                  <c:v>-3.7416268849287615E-2</c:v>
                </c:pt>
                <c:pt idx="997">
                  <c:v>-4.0785688557390953E-3</c:v>
                </c:pt>
                <c:pt idx="998">
                  <c:v>1.8540700908586949E-4</c:v>
                </c:pt>
                <c:pt idx="999">
                  <c:v>-2.5892361753282467E-3</c:v>
                </c:pt>
                <c:pt idx="1000">
                  <c:v>-7.8899082568807399E-3</c:v>
                </c:pt>
                <c:pt idx="1001">
                  <c:v>-1.5000939273416281E-2</c:v>
                </c:pt>
                <c:pt idx="1002">
                  <c:v>1.5043185288687644E-2</c:v>
                </c:pt>
                <c:pt idx="1003">
                  <c:v>-8.1877912697924105E-3</c:v>
                </c:pt>
                <c:pt idx="1004">
                  <c:v>-2.3597930658921795E-3</c:v>
                </c:pt>
                <c:pt idx="1005">
                  <c:v>-1.1483940427058914E-2</c:v>
                </c:pt>
                <c:pt idx="1006">
                  <c:v>-9.068314044512249E-3</c:v>
                </c:pt>
                <c:pt idx="1007">
                  <c:v>5.1832170655368159E-3</c:v>
                </c:pt>
                <c:pt idx="1008">
                  <c:v>-1.6695974808577319E-2</c:v>
                </c:pt>
                <c:pt idx="1009">
                  <c:v>2.4118088118824987E-2</c:v>
                </c:pt>
                <c:pt idx="1010">
                  <c:v>1.9636611501684387E-2</c:v>
                </c:pt>
                <c:pt idx="1011">
                  <c:v>-1.0352324548631997E-2</c:v>
                </c:pt>
                <c:pt idx="1012">
                  <c:v>-2.1155537777777789E-2</c:v>
                </c:pt>
                <c:pt idx="1013">
                  <c:v>3.5682605453748462E-3</c:v>
                </c:pt>
                <c:pt idx="1014">
                  <c:v>2.9006755479956681E-2</c:v>
                </c:pt>
                <c:pt idx="1015">
                  <c:v>5.9094919331674767E-3</c:v>
                </c:pt>
                <c:pt idx="1016">
                  <c:v>2.5568239120610681E-2</c:v>
                </c:pt>
                <c:pt idx="1017">
                  <c:v>-2.4930802403294483E-2</c:v>
                </c:pt>
                <c:pt idx="1018">
                  <c:v>-1.294201580492127E-2</c:v>
                </c:pt>
                <c:pt idx="1019">
                  <c:v>-7.2861563830184384E-4</c:v>
                </c:pt>
                <c:pt idx="1020">
                  <c:v>-1.6366611516034357E-3</c:v>
                </c:pt>
                <c:pt idx="1021">
                  <c:v>0</c:v>
                </c:pt>
                <c:pt idx="1022">
                  <c:v>9.917373555236475E-3</c:v>
                </c:pt>
                <c:pt idx="1023">
                  <c:v>3.3167680117929255E-3</c:v>
                </c:pt>
                <c:pt idx="1024">
                  <c:v>-3.1226855827091171E-3</c:v>
                </c:pt>
                <c:pt idx="1025">
                  <c:v>-2.5650970111726901E-3</c:v>
                </c:pt>
                <c:pt idx="1026">
                  <c:v>1.2240430721084161E-2</c:v>
                </c:pt>
                <c:pt idx="1027">
                  <c:v>-6.0829861751152681E-3</c:v>
                </c:pt>
                <c:pt idx="1028">
                  <c:v>6.3068076423669073E-3</c:v>
                </c:pt>
                <c:pt idx="1029">
                  <c:v>-1.2637326470231747E-2</c:v>
                </c:pt>
                <c:pt idx="1030">
                  <c:v>3.0966749074145428E-2</c:v>
                </c:pt>
                <c:pt idx="1031">
                  <c:v>1.8853385917660725E-2</c:v>
                </c:pt>
                <c:pt idx="1032">
                  <c:v>-1.5157237877173935E-2</c:v>
                </c:pt>
                <c:pt idx="1033">
                  <c:v>-1.4195031486831655E-2</c:v>
                </c:pt>
                <c:pt idx="1034">
                  <c:v>-8.1511485735457079E-3</c:v>
                </c:pt>
                <c:pt idx="1035">
                  <c:v>-1.8367011516020715E-2</c:v>
                </c:pt>
                <c:pt idx="1036">
                  <c:v>4.5238565952507859E-2</c:v>
                </c:pt>
                <c:pt idx="1037">
                  <c:v>7.8544059798006938E-3</c:v>
                </c:pt>
                <c:pt idx="1038">
                  <c:v>0</c:v>
                </c:pt>
                <c:pt idx="1039">
                  <c:v>1.754389897746389E-2</c:v>
                </c:pt>
                <c:pt idx="1040">
                  <c:v>2.1505336091092397E-2</c:v>
                </c:pt>
                <c:pt idx="1041">
                  <c:v>5.9776849168713397E-4</c:v>
                </c:pt>
                <c:pt idx="1042">
                  <c:v>-3.1777359752824808E-3</c:v>
                </c:pt>
                <c:pt idx="1043">
                  <c:v>-8.0772264805842875E-3</c:v>
                </c:pt>
                <c:pt idx="1044">
                  <c:v>2.5040347334410296E-2</c:v>
                </c:pt>
                <c:pt idx="1045">
                  <c:v>7.3230268510986463E-3</c:v>
                </c:pt>
                <c:pt idx="1046">
                  <c:v>1.5073301672517081E-2</c:v>
                </c:pt>
                <c:pt idx="1047">
                  <c:v>1.2404589878118877E-3</c:v>
                </c:pt>
                <c:pt idx="1048">
                  <c:v>-1.3058539606551345E-2</c:v>
                </c:pt>
                <c:pt idx="1049">
                  <c:v>-8.8979371304764854E-3</c:v>
                </c:pt>
                <c:pt idx="1050">
                  <c:v>1.0121254650961031E-3</c:v>
                </c:pt>
                <c:pt idx="1051">
                  <c:v>-6.2361095601712879E-3</c:v>
                </c:pt>
                <c:pt idx="1052">
                  <c:v>1.4075866993064068E-2</c:v>
                </c:pt>
                <c:pt idx="1053">
                  <c:v>1.0513337889644925E-2</c:v>
                </c:pt>
                <c:pt idx="1054">
                  <c:v>-2.4140032672300027E-2</c:v>
                </c:pt>
                <c:pt idx="1055">
                  <c:v>-6.0319659818253157E-4</c:v>
                </c:pt>
                <c:pt idx="1056">
                  <c:v>1.3860598983681083E-2</c:v>
                </c:pt>
                <c:pt idx="1057">
                  <c:v>1.8476293065239568E-2</c:v>
                </c:pt>
                <c:pt idx="1058">
                  <c:v>-1.4928506546891374E-2</c:v>
                </c:pt>
                <c:pt idx="1059">
                  <c:v>9.2879461447277212E-3</c:v>
                </c:pt>
                <c:pt idx="1060">
                  <c:v>1.5084873245338359E-2</c:v>
                </c:pt>
                <c:pt idx="1061">
                  <c:v>-6.2809885377312913E-4</c:v>
                </c:pt>
                <c:pt idx="1062">
                  <c:v>7.3823665893273382E-3</c:v>
                </c:pt>
                <c:pt idx="1063">
                  <c:v>-2.5247002424720888E-3</c:v>
                </c:pt>
                <c:pt idx="1064">
                  <c:v>-1.6756330161357247E-2</c:v>
                </c:pt>
                <c:pt idx="1065">
                  <c:v>2.0686943071113184E-4</c:v>
                </c:pt>
                <c:pt idx="1066">
                  <c:v>-6.5775947963989667E-3</c:v>
                </c:pt>
                <c:pt idx="1067">
                  <c:v>-3.5296410866547667E-2</c:v>
                </c:pt>
                <c:pt idx="1068">
                  <c:v>6.3859308244675894E-3</c:v>
                </c:pt>
                <c:pt idx="1069">
                  <c:v>-1.0465995467338063E-2</c:v>
                </c:pt>
                <c:pt idx="1070">
                  <c:v>-4.5213289664109979E-3</c:v>
                </c:pt>
                <c:pt idx="1071">
                  <c:v>3.4573948935283649E-2</c:v>
                </c:pt>
                <c:pt idx="1072">
                  <c:v>-2.1881877859558418E-2</c:v>
                </c:pt>
                <c:pt idx="1073">
                  <c:v>4.7971418108565533E-3</c:v>
                </c:pt>
                <c:pt idx="1074">
                  <c:v>-2.3614421404589359E-2</c:v>
                </c:pt>
                <c:pt idx="1075">
                  <c:v>-1.2716762515731728E-2</c:v>
                </c:pt>
                <c:pt idx="1076">
                  <c:v>1.6451253105145947E-2</c:v>
                </c:pt>
                <c:pt idx="1077">
                  <c:v>6.5050463236744349E-3</c:v>
                </c:pt>
                <c:pt idx="1078">
                  <c:v>-2.9090909090909167E-2</c:v>
                </c:pt>
                <c:pt idx="1079">
                  <c:v>7.6615592350415263E-4</c:v>
                </c:pt>
                <c:pt idx="1080">
                  <c:v>-4.4822557628979021E-2</c:v>
                </c:pt>
                <c:pt idx="1081">
                  <c:v>6.0739552337951697E-3</c:v>
                </c:pt>
                <c:pt idx="1082">
                  <c:v>1.1920339205072406E-2</c:v>
                </c:pt>
                <c:pt idx="1083">
                  <c:v>-1.4878370838757871E-3</c:v>
                </c:pt>
                <c:pt idx="1084">
                  <c:v>-1.6710174216296725E-3</c:v>
                </c:pt>
                <c:pt idx="1085">
                  <c:v>-2.5925740740740943E-3</c:v>
                </c:pt>
                <c:pt idx="1086">
                  <c:v>-7.5353795258223943E-3</c:v>
                </c:pt>
                <c:pt idx="1087">
                  <c:v>-1.4490110749685203E-2</c:v>
                </c:pt>
                <c:pt idx="1088">
                  <c:v>-1.0573476891997724E-2</c:v>
                </c:pt>
                <c:pt idx="1089">
                  <c:v>1.7920774011104257E-4</c:v>
                </c:pt>
                <c:pt idx="1090">
                  <c:v>5.9502705724894245E-3</c:v>
                </c:pt>
                <c:pt idx="1091">
                  <c:v>4.3462150607349592E-3</c:v>
                </c:pt>
                <c:pt idx="1092">
                  <c:v>-3.0207201092504299E-2</c:v>
                </c:pt>
                <c:pt idx="1093">
                  <c:v>5.2966102630049861E-3</c:v>
                </c:pt>
                <c:pt idx="1094">
                  <c:v>3.6223911452616386E-2</c:v>
                </c:pt>
                <c:pt idx="1095">
                  <c:v>-7.6253083650941189E-3</c:v>
                </c:pt>
                <c:pt idx="1096">
                  <c:v>-4.2752849448160379E-2</c:v>
                </c:pt>
                <c:pt idx="1097">
                  <c:v>-1.7348716470312331E-3</c:v>
                </c:pt>
                <c:pt idx="1098">
                  <c:v>1.4074577762139384E-2</c:v>
                </c:pt>
                <c:pt idx="1099">
                  <c:v>-1.2851718900600217E-2</c:v>
                </c:pt>
                <c:pt idx="1100">
                  <c:v>6.4674533554875957E-3</c:v>
                </c:pt>
                <c:pt idx="1101">
                  <c:v>-2.4053224565902753E-2</c:v>
                </c:pt>
                <c:pt idx="1102">
                  <c:v>-2.3000016666666623E-2</c:v>
                </c:pt>
                <c:pt idx="1103">
                  <c:v>1.7121511540209911E-2</c:v>
                </c:pt>
                <c:pt idx="1104">
                  <c:v>2.9134717376133823E-2</c:v>
                </c:pt>
                <c:pt idx="1105">
                  <c:v>2.4484085344527173E-3</c:v>
                </c:pt>
                <c:pt idx="1106">
                  <c:v>-2.1225574160409932E-2</c:v>
                </c:pt>
                <c:pt idx="1107">
                  <c:v>-1.2341571856582578E-2</c:v>
                </c:pt>
                <c:pt idx="1108">
                  <c:v>8.4609139919100684E-4</c:v>
                </c:pt>
                <c:pt idx="1109">
                  <c:v>3.7023967818074599E-2</c:v>
                </c:pt>
                <c:pt idx="1110">
                  <c:v>-7.0133264424565578E-4</c:v>
                </c:pt>
                <c:pt idx="1111">
                  <c:v>1.7665916886761002E-2</c:v>
                </c:pt>
                <c:pt idx="1112">
                  <c:v>2.6838790961509762E-3</c:v>
                </c:pt>
                <c:pt idx="1113">
                  <c:v>-1.9989479571970392E-2</c:v>
                </c:pt>
                <c:pt idx="1114">
                  <c:v>2.6370955935812734E-3</c:v>
                </c:pt>
                <c:pt idx="1115">
                  <c:v>-6.4628646288209524E-3</c:v>
                </c:pt>
                <c:pt idx="1116">
                  <c:v>-9.0012117015753068E-3</c:v>
                </c:pt>
                <c:pt idx="1117">
                  <c:v>6.9288065130801435E-4</c:v>
                </c:pt>
                <c:pt idx="1118">
                  <c:v>-1.1472636593402918E-2</c:v>
                </c:pt>
                <c:pt idx="1119">
                  <c:v>5.6828310659549075E-3</c:v>
                </c:pt>
                <c:pt idx="1120">
                  <c:v>-8.0287152711185916E-3</c:v>
                </c:pt>
                <c:pt idx="1121">
                  <c:v>-1.4809778351052794E-2</c:v>
                </c:pt>
                <c:pt idx="1122">
                  <c:v>2.0260919633896979E-2</c:v>
                </c:pt>
                <c:pt idx="1123">
                  <c:v>4.5226147788475224E-2</c:v>
                </c:pt>
                <c:pt idx="1124">
                  <c:v>1.0701976950807657E-2</c:v>
                </c:pt>
                <c:pt idx="1125">
                  <c:v>-2.2344352231678632E-2</c:v>
                </c:pt>
                <c:pt idx="1126">
                  <c:v>-1.1395546784790489E-2</c:v>
                </c:pt>
                <c:pt idx="1127">
                  <c:v>-1.3660746544674196E-2</c:v>
                </c:pt>
                <c:pt idx="1128">
                  <c:v>-7.7212938867757819E-3</c:v>
                </c:pt>
                <c:pt idx="1129">
                  <c:v>7.9557073676927992E-3</c:v>
                </c:pt>
                <c:pt idx="1130">
                  <c:v>1.9213819848404867E-2</c:v>
                </c:pt>
                <c:pt idx="1131">
                  <c:v>2.2162162162162158E-2</c:v>
                </c:pt>
                <c:pt idx="1132">
                  <c:v>4.6972308884071223E-2</c:v>
                </c:pt>
                <c:pt idx="1133">
                  <c:v>0</c:v>
                </c:pt>
                <c:pt idx="1134">
                  <c:v>-1.2113343272456056E-2</c:v>
                </c:pt>
                <c:pt idx="1135">
                  <c:v>-1.8600819144376501E-3</c:v>
                </c:pt>
                <c:pt idx="1136">
                  <c:v>-3.6731821595917813E-2</c:v>
                </c:pt>
                <c:pt idx="1137">
                  <c:v>5.361525290513014E-2</c:v>
                </c:pt>
                <c:pt idx="1138">
                  <c:v>2.1994963457651506E-2</c:v>
                </c:pt>
                <c:pt idx="1139">
                  <c:v>6.798795648795819E-3</c:v>
                </c:pt>
                <c:pt idx="1140">
                  <c:v>-2.2036455585799031E-2</c:v>
                </c:pt>
                <c:pt idx="1141">
                  <c:v>-2.0104281085177256E-2</c:v>
                </c:pt>
                <c:pt idx="1142">
                  <c:v>-3.3986692429658349E-2</c:v>
                </c:pt>
                <c:pt idx="1143">
                  <c:v>3.0578243709752373E-2</c:v>
                </c:pt>
                <c:pt idx="1144">
                  <c:v>4.4319742377385118E-2</c:v>
                </c:pt>
                <c:pt idx="1145">
                  <c:v>-5.7726187074732538E-3</c:v>
                </c:pt>
                <c:pt idx="1146">
                  <c:v>-9.7179687499998613E-3</c:v>
                </c:pt>
                <c:pt idx="1147">
                  <c:v>3.961965134706813E-2</c:v>
                </c:pt>
                <c:pt idx="1148">
                  <c:v>-1.7133975523092371E-2</c:v>
                </c:pt>
                <c:pt idx="1149">
                  <c:v>3.1249999389648675E-3</c:v>
                </c:pt>
                <c:pt idx="1150">
                  <c:v>7.8188037529325349E-4</c:v>
                </c:pt>
                <c:pt idx="1151">
                  <c:v>-3.3622951145125701E-2</c:v>
                </c:pt>
                <c:pt idx="1152">
                  <c:v>-6.5819642344084772E-2</c:v>
                </c:pt>
                <c:pt idx="1153">
                  <c:v>0</c:v>
                </c:pt>
                <c:pt idx="1154">
                  <c:v>1.4863861031518599E-2</c:v>
                </c:pt>
                <c:pt idx="1155">
                  <c:v>-1.1331444759206666E-2</c:v>
                </c:pt>
                <c:pt idx="1156">
                  <c:v>7.2133637053910293E-2</c:v>
                </c:pt>
                <c:pt idx="1157">
                  <c:v>-3.1973503563892058E-2</c:v>
                </c:pt>
                <c:pt idx="1158">
                  <c:v>-3.6616807700783349E-3</c:v>
                </c:pt>
                <c:pt idx="1159">
                  <c:v>1.6375083127090351E-2</c:v>
                </c:pt>
                <c:pt idx="1160">
                  <c:v>-2.3086639632308392E-2</c:v>
                </c:pt>
                <c:pt idx="1161">
                  <c:v>3.7924490566037861E-2</c:v>
                </c:pt>
                <c:pt idx="1162">
                  <c:v>-6.1946902654867242E-2</c:v>
                </c:pt>
                <c:pt idx="1163">
                  <c:v>-7.3787423534343866E-3</c:v>
                </c:pt>
                <c:pt idx="1164">
                  <c:v>6.364869052954969E-3</c:v>
                </c:pt>
                <c:pt idx="1165">
                  <c:v>1.2391396268671695E-3</c:v>
                </c:pt>
                <c:pt idx="1166">
                  <c:v>4.321329480283298E-2</c:v>
                </c:pt>
                <c:pt idx="1167">
                  <c:v>1.9774087373788607E-2</c:v>
                </c:pt>
                <c:pt idx="1168">
                  <c:v>-1.1541381021195507E-2</c:v>
                </c:pt>
                <c:pt idx="1169">
                  <c:v>-9.2986795610938699E-4</c:v>
                </c:pt>
                <c:pt idx="1170">
                  <c:v>-3.5688631122260839E-2</c:v>
                </c:pt>
                <c:pt idx="1171">
                  <c:v>2.0684550234586263E-2</c:v>
                </c:pt>
                <c:pt idx="1172">
                  <c:v>-1.1579500633254969E-2</c:v>
                </c:pt>
                <c:pt idx="1173">
                  <c:v>4.3617844479188816E-2</c:v>
                </c:pt>
                <c:pt idx="1174">
                  <c:v>4.9128347860538879E-2</c:v>
                </c:pt>
                <c:pt idx="1175">
                  <c:v>1.1623205946965642E-2</c:v>
                </c:pt>
                <c:pt idx="1176">
                  <c:v>-2.8804962460004635E-2</c:v>
                </c:pt>
                <c:pt idx="1177">
                  <c:v>-2.9108869185112685E-3</c:v>
                </c:pt>
                <c:pt idx="1178">
                  <c:v>-1.2835287110435134E-2</c:v>
                </c:pt>
                <c:pt idx="1179">
                  <c:v>2.1117488961412967E-3</c:v>
                </c:pt>
                <c:pt idx="1180">
                  <c:v>-1.0072197074728173E-2</c:v>
                </c:pt>
                <c:pt idx="1181">
                  <c:v>-3.3253738747014538E-2</c:v>
                </c:pt>
                <c:pt idx="1182">
                  <c:v>-3.3558238636363646E-2</c:v>
                </c:pt>
                <c:pt idx="1183">
                  <c:v>1.88133324676798E-2</c:v>
                </c:pt>
                <c:pt idx="1184">
                  <c:v>3.2691949050849045E-2</c:v>
                </c:pt>
                <c:pt idx="1185">
                  <c:v>-1.743761013215861E-2</c:v>
                </c:pt>
                <c:pt idx="1186">
                  <c:v>-2.172740207806434E-2</c:v>
                </c:pt>
                <c:pt idx="1187">
                  <c:v>-1.9887381203801513E-2</c:v>
                </c:pt>
                <c:pt idx="1188">
                  <c:v>1.6276158111250272E-2</c:v>
                </c:pt>
                <c:pt idx="1189">
                  <c:v>-1.341094100620932E-2</c:v>
                </c:pt>
                <c:pt idx="1190">
                  <c:v>1.1241916287617615E-2</c:v>
                </c:pt>
                <c:pt idx="1191">
                  <c:v>-3.2124368493113398E-2</c:v>
                </c:pt>
                <c:pt idx="1192">
                  <c:v>7.3069241475296476E-3</c:v>
                </c:pt>
                <c:pt idx="1193">
                  <c:v>-1.9781702247300581E-2</c:v>
                </c:pt>
                <c:pt idx="1194">
                  <c:v>-1.0221805618026991E-3</c:v>
                </c:pt>
                <c:pt idx="1195">
                  <c:v>-3.4539441357556599E-2</c:v>
                </c:pt>
                <c:pt idx="1196">
                  <c:v>-1.8563389530857344E-2</c:v>
                </c:pt>
                <c:pt idx="1197">
                  <c:v>2.5832124951682855E-2</c:v>
                </c:pt>
                <c:pt idx="1198">
                  <c:v>1.308501907255466E-2</c:v>
                </c:pt>
                <c:pt idx="1199">
                  <c:v>-2.1342948612707247E-2</c:v>
                </c:pt>
                <c:pt idx="1200">
                  <c:v>1.8732212431306072E-2</c:v>
                </c:pt>
                <c:pt idx="1201">
                  <c:v>9.4546851257808484E-3</c:v>
                </c:pt>
                <c:pt idx="1202">
                  <c:v>3.7121326613179351E-2</c:v>
                </c:pt>
                <c:pt idx="1203">
                  <c:v>-2.9896348393007477E-2</c:v>
                </c:pt>
                <c:pt idx="1204">
                  <c:v>-2.7745665198111724E-2</c:v>
                </c:pt>
                <c:pt idx="1205">
                  <c:v>6.9848327459698378E-3</c:v>
                </c:pt>
                <c:pt idx="1206">
                  <c:v>-1.3286497480261561E-3</c:v>
                </c:pt>
                <c:pt idx="1207">
                  <c:v>4.5045045796547889E-3</c:v>
                </c:pt>
                <c:pt idx="1208">
                  <c:v>-1.9980352647679389E-3</c:v>
                </c:pt>
                <c:pt idx="1209">
                  <c:v>-2.3255813567178985E-3</c:v>
                </c:pt>
                <c:pt idx="1210">
                  <c:v>-1.0031244696082187E-2</c:v>
                </c:pt>
                <c:pt idx="1211">
                  <c:v>2.1501797774261755E-2</c:v>
                </c:pt>
                <c:pt idx="1212">
                  <c:v>1.6564173214409506E-2</c:v>
                </c:pt>
                <c:pt idx="1213">
                  <c:v>-1.9588129917964103E-2</c:v>
                </c:pt>
                <c:pt idx="1214">
                  <c:v>-2.0016422969377889E-2</c:v>
                </c:pt>
                <c:pt idx="1215">
                  <c:v>4.6151806367291659E-3</c:v>
                </c:pt>
                <c:pt idx="1216">
                  <c:v>-1.7330806046945035E-2</c:v>
                </c:pt>
                <c:pt idx="1217">
                  <c:v>1.5460575912180419E-2</c:v>
                </c:pt>
                <c:pt idx="1218">
                  <c:v>1.5194523546410377E-2</c:v>
                </c:pt>
                <c:pt idx="1219">
                  <c:v>-2.5069200716262396E-2</c:v>
                </c:pt>
                <c:pt idx="1220">
                  <c:v>0.19536877204453718</c:v>
                </c:pt>
                <c:pt idx="1221">
                  <c:v>-9.826647020167667E-3</c:v>
                </c:pt>
                <c:pt idx="1222">
                  <c:v>-2.3150743023701459E-2</c:v>
                </c:pt>
                <c:pt idx="1223">
                  <c:v>2.429153700195763E-2</c:v>
                </c:pt>
                <c:pt idx="1224">
                  <c:v>6.4027550174088343E-3</c:v>
                </c:pt>
                <c:pt idx="1225">
                  <c:v>-9.4176054087565797E-3</c:v>
                </c:pt>
                <c:pt idx="1226">
                  <c:v>2.6435194839913079E-2</c:v>
                </c:pt>
                <c:pt idx="1227">
                  <c:v>-6.6627475340533815E-3</c:v>
                </c:pt>
                <c:pt idx="1228">
                  <c:v>7.7014219530295858E-3</c:v>
                </c:pt>
                <c:pt idx="1229">
                  <c:v>-1.7741178789669743E-3</c:v>
                </c:pt>
                <c:pt idx="1230">
                  <c:v>7.9475061415652526E-3</c:v>
                </c:pt>
                <c:pt idx="1231">
                  <c:v>-1.4296885736449494E-2</c:v>
                </c:pt>
                <c:pt idx="1232">
                  <c:v>2.3557519111847558E-3</c:v>
                </c:pt>
                <c:pt idx="1233">
                  <c:v>7.3165710895788383E-3</c:v>
                </c:pt>
                <c:pt idx="1234">
                  <c:v>-1.9735149782322825E-3</c:v>
                </c:pt>
                <c:pt idx="1235">
                  <c:v>2.1160802522386168E-2</c:v>
                </c:pt>
                <c:pt idx="1236">
                  <c:v>1.8891128975541571E-2</c:v>
                </c:pt>
                <c:pt idx="1237">
                  <c:v>-1.217034507444914E-2</c:v>
                </c:pt>
                <c:pt idx="1238">
                  <c:v>-1.8514851682261524E-2</c:v>
                </c:pt>
                <c:pt idx="1239">
                  <c:v>-9.6609028063703306E-3</c:v>
                </c:pt>
                <c:pt idx="1240">
                  <c:v>2.5475172371111521E-2</c:v>
                </c:pt>
                <c:pt idx="1241">
                  <c:v>-4.4283615136875287E-3</c:v>
                </c:pt>
                <c:pt idx="1242">
                  <c:v>2.0169018952440609E-3</c:v>
                </c:pt>
                <c:pt idx="1243">
                  <c:v>-8.598200703787362E-3</c:v>
                </c:pt>
                <c:pt idx="1244">
                  <c:v>2.269930377507956E-2</c:v>
                </c:pt>
                <c:pt idx="1245">
                  <c:v>4.3130623190195116E-3</c:v>
                </c:pt>
                <c:pt idx="1246">
                  <c:v>8.7010358400663179E-3</c:v>
                </c:pt>
                <c:pt idx="1247">
                  <c:v>-6.9944660153369309E-3</c:v>
                </c:pt>
                <c:pt idx="1248">
                  <c:v>-9.5762221036584938E-3</c:v>
                </c:pt>
                <c:pt idx="1249">
                  <c:v>1.9314640942278638E-2</c:v>
                </c:pt>
                <c:pt idx="1250">
                  <c:v>-1.35217985346896E-2</c:v>
                </c:pt>
                <c:pt idx="1251">
                  <c:v>-6.1423013923023184E-4</c:v>
                </c:pt>
                <c:pt idx="1252">
                  <c:v>1.8136313985067432E-2</c:v>
                </c:pt>
                <c:pt idx="1253">
                  <c:v>-1.6605125391658815E-2</c:v>
                </c:pt>
                <c:pt idx="1254">
                  <c:v>1.4559005218011345E-2</c:v>
                </c:pt>
                <c:pt idx="1255">
                  <c:v>1.4581129538893123E-3</c:v>
                </c:pt>
              </c:numCache>
            </c:numRef>
          </c:yVal>
          <c:smooth val="0"/>
          <c:extLst xmlns:c16r2="http://schemas.microsoft.com/office/drawing/2015/06/chart">
            <c:ext xmlns:c16="http://schemas.microsoft.com/office/drawing/2014/chart" uri="{C3380CC4-5D6E-409C-BE32-E72D297353CC}">
              <c16:uniqueId val="{00000000-7B29-4B40-80AB-6756A0EE1AC0}"/>
            </c:ext>
          </c:extLst>
        </c:ser>
        <c:dLbls>
          <c:showLegendKey val="0"/>
          <c:showVal val="0"/>
          <c:showCatName val="0"/>
          <c:showSerName val="0"/>
          <c:showPercent val="0"/>
          <c:showBubbleSize val="0"/>
        </c:dLbls>
        <c:axId val="210157952"/>
        <c:axId val="210159872"/>
      </c:scatterChart>
      <c:valAx>
        <c:axId val="210157952"/>
        <c:scaling>
          <c:orientation val="minMax"/>
        </c:scaling>
        <c:delete val="0"/>
        <c:axPos val="b"/>
        <c:title>
          <c:tx>
            <c:rich>
              <a:bodyPr/>
              <a:lstStyle/>
              <a:p>
                <a:pPr>
                  <a:defRPr sz="1400"/>
                </a:pPr>
                <a:r>
                  <a:rPr lang="en-US" sz="1400"/>
                  <a:t>S&amp;P 500 Change</a:t>
                </a:r>
              </a:p>
            </c:rich>
          </c:tx>
          <c:layout>
            <c:manualLayout>
              <c:xMode val="edge"/>
              <c:yMode val="edge"/>
              <c:x val="0.30816521245655099"/>
              <c:y val="0.87921299913846596"/>
            </c:manualLayout>
          </c:layout>
          <c:overlay val="0"/>
        </c:title>
        <c:numFmt formatCode="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10159872"/>
        <c:crosses val="autoZero"/>
        <c:crossBetween val="midCat"/>
      </c:valAx>
      <c:valAx>
        <c:axId val="210159872"/>
        <c:scaling>
          <c:orientation val="minMax"/>
        </c:scaling>
        <c:delete val="0"/>
        <c:axPos val="l"/>
        <c:title>
          <c:tx>
            <c:rich>
              <a:bodyPr rot="-5400000" vert="horz"/>
              <a:lstStyle/>
              <a:p>
                <a:pPr>
                  <a:defRPr sz="1400"/>
                </a:pPr>
                <a:r>
                  <a:rPr lang="en-US" sz="1400"/>
                  <a:t>MYL Change</a:t>
                </a:r>
              </a:p>
            </c:rich>
          </c:tx>
          <c:layout>
            <c:manualLayout>
              <c:xMode val="edge"/>
              <c:yMode val="edge"/>
              <c:x val="1.38891253458183E-2"/>
              <c:y val="0.31532962005703502"/>
            </c:manualLayout>
          </c:layout>
          <c:overlay val="0"/>
        </c:title>
        <c:numFmt formatCode="0%" sourceLinked="0"/>
        <c:majorTickMark val="out"/>
        <c:minorTickMark val="none"/>
        <c:tickLblPos val="nextTo"/>
        <c:crossAx val="210157952"/>
        <c:crosses val="autoZero"/>
        <c:crossBetween val="midCat"/>
      </c:valAx>
    </c:plotArea>
    <c:plotVisOnly val="1"/>
    <c:dispBlanksAs val="gap"/>
    <c:showDLblsOverMax val="0"/>
  </c:chart>
  <c:spPr>
    <a:ln>
      <a:noFill/>
    </a:ln>
  </c:spPr>
  <c:printSettings>
    <c:headerFooter/>
    <c:pageMargins b="0.750000000000004" l="0.70000000000000095" r="0.70000000000000095" t="0.750000000000004"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1" i="0" u="none" strike="noStrike" kern="1200" spc="0" baseline="0">
                <a:solidFill>
                  <a:sysClr val="windowText" lastClr="000000"/>
                </a:solidFill>
                <a:latin typeface="+mn-lt"/>
                <a:ea typeface="+mn-ea"/>
                <a:cs typeface="+mn-cs"/>
              </a:defRPr>
            </a:pPr>
            <a:r>
              <a:rPr lang="en-US" sz="1000" b="1">
                <a:solidFill>
                  <a:sysClr val="windowText" lastClr="000000"/>
                </a:solidFill>
              </a:rPr>
              <a:t>ROA</a:t>
            </a:r>
            <a:r>
              <a:rPr lang="en-US" sz="1000" b="1" baseline="0">
                <a:solidFill>
                  <a:sysClr val="windowText" lastClr="000000"/>
                </a:solidFill>
              </a:rPr>
              <a:t> vs. ROE (%)</a:t>
            </a:r>
            <a:endParaRPr lang="en-US" sz="1000" b="1">
              <a:solidFill>
                <a:sysClr val="windowText" lastClr="000000"/>
              </a:solidFill>
            </a:endParaRPr>
          </a:p>
        </c:rich>
      </c:tx>
      <c:overlay val="0"/>
      <c:spPr>
        <a:noFill/>
        <a:ln>
          <a:noFill/>
        </a:ln>
        <a:effectLst/>
      </c:spPr>
    </c:title>
    <c:autoTitleDeleted val="0"/>
    <c:plotArea>
      <c:layout/>
      <c:barChart>
        <c:barDir val="col"/>
        <c:grouping val="stacked"/>
        <c:varyColors val="0"/>
        <c:ser>
          <c:idx val="0"/>
          <c:order val="0"/>
          <c:tx>
            <c:strRef>
              <c:f>DuPont!$B$10</c:f>
              <c:strCache>
                <c:ptCount val="1"/>
                <c:pt idx="0">
                  <c:v>Return on Assets</c:v>
                </c:pt>
              </c:strCache>
            </c:strRef>
          </c:tx>
          <c:spPr>
            <a:solidFill>
              <a:schemeClr val="accent3"/>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DuPont!$C$7:$G$7</c:f>
              <c:numCache>
                <c:formatCode>0"A"</c:formatCode>
                <c:ptCount val="5"/>
                <c:pt idx="0">
                  <c:v>2012</c:v>
                </c:pt>
                <c:pt idx="1">
                  <c:v>2013</c:v>
                </c:pt>
                <c:pt idx="2">
                  <c:v>2014</c:v>
                </c:pt>
                <c:pt idx="3">
                  <c:v>2015</c:v>
                </c:pt>
                <c:pt idx="4">
                  <c:v>2016</c:v>
                </c:pt>
              </c:numCache>
            </c:numRef>
          </c:cat>
          <c:val>
            <c:numRef>
              <c:f>DuPont!$C$10:$G$10</c:f>
              <c:numCache>
                <c:formatCode>0.0\ %_);\(0.0%\)</c:formatCode>
                <c:ptCount val="5"/>
                <c:pt idx="0">
                  <c:v>5.8859965019455264E-2</c:v>
                </c:pt>
                <c:pt idx="1">
                  <c:v>5.6629905335944565E-2</c:v>
                </c:pt>
                <c:pt idx="2">
                  <c:v>6.0230945197008459E-2</c:v>
                </c:pt>
                <c:pt idx="3">
                  <c:v>5.215957383375372E-2</c:v>
                </c:pt>
                <c:pt idx="4">
                  <c:v>5.0103768696083122E-2</c:v>
                </c:pt>
              </c:numCache>
            </c:numRef>
          </c:val>
          <c:extLst xmlns:c16r2="http://schemas.microsoft.com/office/drawing/2015/06/chart">
            <c:ext xmlns:c16="http://schemas.microsoft.com/office/drawing/2014/chart" uri="{C3380CC4-5D6E-409C-BE32-E72D297353CC}">
              <c16:uniqueId val="{00000000-2A65-4979-A9EB-A423A25432BD}"/>
            </c:ext>
          </c:extLst>
        </c:ser>
        <c:ser>
          <c:idx val="1"/>
          <c:order val="1"/>
          <c:tx>
            <c:strRef>
              <c:f>DuPont!$B$16</c:f>
              <c:strCache>
                <c:ptCount val="1"/>
                <c:pt idx="0">
                  <c:v>Return on Equity</c:v>
                </c:pt>
              </c:strCache>
            </c:strRef>
          </c:tx>
          <c:spPr>
            <a:solidFill>
              <a:schemeClr val="accent2"/>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DuPont!$C$7:$G$7</c:f>
              <c:numCache>
                <c:formatCode>0"A"</c:formatCode>
                <c:ptCount val="5"/>
                <c:pt idx="0">
                  <c:v>2012</c:v>
                </c:pt>
                <c:pt idx="1">
                  <c:v>2013</c:v>
                </c:pt>
                <c:pt idx="2">
                  <c:v>2014</c:v>
                </c:pt>
                <c:pt idx="3">
                  <c:v>2015</c:v>
                </c:pt>
                <c:pt idx="4">
                  <c:v>2016</c:v>
                </c:pt>
              </c:numCache>
            </c:numRef>
          </c:cat>
          <c:val>
            <c:numRef>
              <c:f>DuPont!$C$16:$G$16</c:f>
              <c:numCache>
                <c:formatCode>0.0\ %_);\(0.0%\)</c:formatCode>
                <c:ptCount val="5"/>
                <c:pt idx="0">
                  <c:v>0.10906644937223921</c:v>
                </c:pt>
                <c:pt idx="1">
                  <c:v>0.10935932506194308</c:v>
                </c:pt>
                <c:pt idx="2">
                  <c:v>0.12439805228641664</c:v>
                </c:pt>
                <c:pt idx="3">
                  <c:v>0.15735724724021716</c:v>
                </c:pt>
                <c:pt idx="4">
                  <c:v>0.14887092948178368</c:v>
                </c:pt>
              </c:numCache>
            </c:numRef>
          </c:val>
          <c:extLst xmlns:c16r2="http://schemas.microsoft.com/office/drawing/2015/06/chart">
            <c:ext xmlns:c16="http://schemas.microsoft.com/office/drawing/2014/chart" uri="{C3380CC4-5D6E-409C-BE32-E72D297353CC}">
              <c16:uniqueId val="{00000001-2A65-4979-A9EB-A423A25432BD}"/>
            </c:ext>
          </c:extLst>
        </c:ser>
        <c:dLbls>
          <c:showLegendKey val="0"/>
          <c:showVal val="0"/>
          <c:showCatName val="0"/>
          <c:showSerName val="0"/>
          <c:showPercent val="0"/>
          <c:showBubbleSize val="0"/>
        </c:dLbls>
        <c:gapWidth val="150"/>
        <c:overlap val="100"/>
        <c:axId val="210775424"/>
        <c:axId val="210785408"/>
      </c:barChart>
      <c:catAx>
        <c:axId val="210775424"/>
        <c:scaling>
          <c:orientation val="minMax"/>
        </c:scaling>
        <c:delete val="0"/>
        <c:axPos val="b"/>
        <c:numFmt formatCode="0&quot;A&quot;"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210785408"/>
        <c:crosses val="autoZero"/>
        <c:auto val="1"/>
        <c:lblAlgn val="ctr"/>
        <c:lblOffset val="100"/>
        <c:noMultiLvlLbl val="0"/>
      </c:catAx>
      <c:valAx>
        <c:axId val="210785408"/>
        <c:scaling>
          <c:orientation val="minMax"/>
        </c:scaling>
        <c:delete val="1"/>
        <c:axPos val="l"/>
        <c:majorGridlines>
          <c:spPr>
            <a:ln w="9525" cap="flat" cmpd="sng" algn="ctr">
              <a:solidFill>
                <a:schemeClr val="tx1">
                  <a:lumMod val="15000"/>
                  <a:lumOff val="85000"/>
                </a:schemeClr>
              </a:solidFill>
              <a:round/>
            </a:ln>
            <a:effectLst/>
          </c:spPr>
        </c:majorGridlines>
        <c:numFmt formatCode="0.0\ %_);\(0.0%\)" sourceLinked="1"/>
        <c:majorTickMark val="none"/>
        <c:minorTickMark val="none"/>
        <c:tickLblPos val="nextTo"/>
        <c:crossAx val="210775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25" r="0.25" t="0.75" header="0.3" footer="0.3"/>
    <c:pageSetup orientation="landscape"/>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000" b="1" i="0" u="none" strike="noStrike" kern="1200" spc="0" baseline="0">
                <a:solidFill>
                  <a:sysClr val="windowText" lastClr="000000"/>
                </a:solidFill>
                <a:latin typeface="+mn-lt"/>
                <a:ea typeface="+mn-ea"/>
                <a:cs typeface="+mn-cs"/>
              </a:defRPr>
            </a:pPr>
            <a:r>
              <a:rPr lang="en-US" sz="1000" b="1">
                <a:solidFill>
                  <a:sysClr val="windowText" lastClr="000000"/>
                </a:solidFill>
              </a:rPr>
              <a:t>Asset Turnover (%)</a:t>
            </a:r>
          </a:p>
        </c:rich>
      </c:tx>
      <c:overlay val="0"/>
      <c:spPr>
        <a:noFill/>
        <a:ln>
          <a:noFill/>
        </a:ln>
        <a:effectLst/>
      </c:spPr>
    </c:title>
    <c:autoTitleDeleted val="0"/>
    <c:plotArea>
      <c:layout/>
      <c:barChart>
        <c:barDir val="bar"/>
        <c:grouping val="clustered"/>
        <c:varyColors val="0"/>
        <c:ser>
          <c:idx val="0"/>
          <c:order val="0"/>
          <c:tx>
            <c:strRef>
              <c:f>DuPont!$B$9</c:f>
              <c:strCache>
                <c:ptCount val="1"/>
                <c:pt idx="0">
                  <c:v>Asset Turnover</c:v>
                </c:pt>
              </c:strCache>
            </c:strRef>
          </c:tx>
          <c:spPr>
            <a:solidFill>
              <a:schemeClr val="accent2"/>
            </a:solidFill>
            <a:ln>
              <a:noFill/>
            </a:ln>
            <a:effectLst/>
          </c:spPr>
          <c:invertIfNegative val="0"/>
          <c:cat>
            <c:numRef>
              <c:f>DuPont!$C$7:$G$7</c:f>
              <c:numCache>
                <c:formatCode>0"A"</c:formatCode>
                <c:ptCount val="5"/>
                <c:pt idx="0">
                  <c:v>2012</c:v>
                </c:pt>
                <c:pt idx="1">
                  <c:v>2013</c:v>
                </c:pt>
                <c:pt idx="2">
                  <c:v>2014</c:v>
                </c:pt>
                <c:pt idx="3">
                  <c:v>2015</c:v>
                </c:pt>
                <c:pt idx="4">
                  <c:v>2016</c:v>
                </c:pt>
              </c:numCache>
            </c:numRef>
          </c:cat>
          <c:val>
            <c:numRef>
              <c:f>DuPont!$C$9:$G$9</c:f>
              <c:numCache>
                <c:formatCode>0.0_)\x;\(0.0\)\x</c:formatCode>
                <c:ptCount val="5"/>
                <c:pt idx="0">
                  <c:v>0.4548606859863859</c:v>
                </c:pt>
                <c:pt idx="1">
                  <c:v>0.50099052567703828</c:v>
                </c:pt>
                <c:pt idx="2">
                  <c:v>0.51842658090944704</c:v>
                </c:pt>
                <c:pt idx="3">
                  <c:v>0.51797150748436527</c:v>
                </c:pt>
                <c:pt idx="4">
                  <c:v>0.5157598235957298</c:v>
                </c:pt>
              </c:numCache>
            </c:numRef>
          </c:val>
          <c:extLst xmlns:c16r2="http://schemas.microsoft.com/office/drawing/2015/06/chart">
            <c:ext xmlns:c16="http://schemas.microsoft.com/office/drawing/2014/chart" uri="{C3380CC4-5D6E-409C-BE32-E72D297353CC}">
              <c16:uniqueId val="{00000000-17B3-468F-8D08-78650A446874}"/>
            </c:ext>
          </c:extLst>
        </c:ser>
        <c:dLbls>
          <c:showLegendKey val="0"/>
          <c:showVal val="0"/>
          <c:showCatName val="0"/>
          <c:showSerName val="0"/>
          <c:showPercent val="0"/>
          <c:showBubbleSize val="0"/>
        </c:dLbls>
        <c:gapWidth val="182"/>
        <c:axId val="210806272"/>
        <c:axId val="210807808"/>
      </c:barChart>
      <c:catAx>
        <c:axId val="210806272"/>
        <c:scaling>
          <c:orientation val="minMax"/>
        </c:scaling>
        <c:delete val="0"/>
        <c:axPos val="l"/>
        <c:numFmt formatCode="0&quot;A&quot;"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210807808"/>
        <c:crosses val="autoZero"/>
        <c:auto val="1"/>
        <c:lblAlgn val="ctr"/>
        <c:lblOffset val="100"/>
        <c:noMultiLvlLbl val="0"/>
      </c:catAx>
      <c:valAx>
        <c:axId val="210807808"/>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210806272"/>
        <c:crosses val="autoZero"/>
        <c:crossBetween val="between"/>
        <c:majorUnit val="0.1"/>
        <c:minorUnit val="1.0000000000000002E-3"/>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000" b="1" i="0" u="none" strike="noStrike" kern="1200" spc="0" baseline="0">
                <a:solidFill>
                  <a:sysClr val="windowText" lastClr="000000"/>
                </a:solidFill>
                <a:latin typeface="+mn-lt"/>
                <a:ea typeface="+mn-ea"/>
                <a:cs typeface="+mn-cs"/>
              </a:defRPr>
            </a:pPr>
            <a:r>
              <a:rPr lang="en-US" sz="1000" b="1">
                <a:solidFill>
                  <a:sysClr val="windowText" lastClr="000000"/>
                </a:solidFill>
              </a:rPr>
              <a:t>Tax</a:t>
            </a:r>
            <a:r>
              <a:rPr lang="en-US" sz="1000" b="1" baseline="0">
                <a:solidFill>
                  <a:sysClr val="windowText" lastClr="000000"/>
                </a:solidFill>
              </a:rPr>
              <a:t> Burden vs. </a:t>
            </a:r>
            <a:r>
              <a:rPr lang="en-US" sz="1000" b="1">
                <a:solidFill>
                  <a:sysClr val="windowText" lastClr="000000"/>
                </a:solidFill>
              </a:rPr>
              <a:t>Interest Burden (%)</a:t>
            </a:r>
          </a:p>
        </c:rich>
      </c:tx>
      <c:overlay val="0"/>
      <c:spPr>
        <a:noFill/>
        <a:ln>
          <a:noFill/>
        </a:ln>
        <a:effectLst/>
      </c:spPr>
    </c:title>
    <c:autoTitleDeleted val="0"/>
    <c:plotArea>
      <c:layout/>
      <c:barChart>
        <c:barDir val="col"/>
        <c:grouping val="stacked"/>
        <c:varyColors val="0"/>
        <c:ser>
          <c:idx val="0"/>
          <c:order val="0"/>
          <c:tx>
            <c:strRef>
              <c:f>DuPont!$B$12</c:f>
              <c:strCache>
                <c:ptCount val="1"/>
                <c:pt idx="0">
                  <c:v>Interest Burden</c:v>
                </c:pt>
              </c:strCache>
            </c:strRef>
          </c:tx>
          <c:spPr>
            <a:solidFill>
              <a:schemeClr val="accent2">
                <a:shade val="76000"/>
              </a:schemeClr>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DuPont!$C$7:$G$7</c:f>
              <c:numCache>
                <c:formatCode>0"A"</c:formatCode>
                <c:ptCount val="5"/>
                <c:pt idx="0">
                  <c:v>2012</c:v>
                </c:pt>
                <c:pt idx="1">
                  <c:v>2013</c:v>
                </c:pt>
                <c:pt idx="2">
                  <c:v>2014</c:v>
                </c:pt>
                <c:pt idx="3">
                  <c:v>2015</c:v>
                </c:pt>
                <c:pt idx="4">
                  <c:v>2016</c:v>
                </c:pt>
              </c:numCache>
            </c:numRef>
          </c:cat>
          <c:val>
            <c:numRef>
              <c:f>DuPont!$C$12:$G$12</c:f>
              <c:numCache>
                <c:formatCode>0.0_)\x;\(0.0\)\x</c:formatCode>
                <c:ptCount val="5"/>
                <c:pt idx="0">
                  <c:v>1.0404976164631614</c:v>
                </c:pt>
                <c:pt idx="1">
                  <c:v>1.0433450392463117</c:v>
                </c:pt>
                <c:pt idx="2">
                  <c:v>1.0312498654693076</c:v>
                </c:pt>
                <c:pt idx="3">
                  <c:v>1.0220165283966816</c:v>
                </c:pt>
                <c:pt idx="4">
                  <c:v>0.95423332222407375</c:v>
                </c:pt>
              </c:numCache>
            </c:numRef>
          </c:val>
          <c:extLst xmlns:c16r2="http://schemas.microsoft.com/office/drawing/2015/06/chart">
            <c:ext xmlns:c16="http://schemas.microsoft.com/office/drawing/2014/chart" uri="{C3380CC4-5D6E-409C-BE32-E72D297353CC}">
              <c16:uniqueId val="{00000000-085F-494E-87F6-3D60CE07D01C}"/>
            </c:ext>
          </c:extLst>
        </c:ser>
        <c:ser>
          <c:idx val="1"/>
          <c:order val="1"/>
          <c:tx>
            <c:strRef>
              <c:f>DuPont!$B$11</c:f>
              <c:strCache>
                <c:ptCount val="1"/>
                <c:pt idx="0">
                  <c:v>Tax Burden</c:v>
                </c:pt>
              </c:strCache>
            </c:strRef>
          </c:tx>
          <c:spPr>
            <a:solidFill>
              <a:schemeClr val="accent2">
                <a:tint val="77000"/>
              </a:schemeClr>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DuPont!$C$7:$G$7</c:f>
              <c:numCache>
                <c:formatCode>0"A"</c:formatCode>
                <c:ptCount val="5"/>
                <c:pt idx="0">
                  <c:v>2012</c:v>
                </c:pt>
                <c:pt idx="1">
                  <c:v>2013</c:v>
                </c:pt>
                <c:pt idx="2">
                  <c:v>2014</c:v>
                </c:pt>
                <c:pt idx="3">
                  <c:v>2015</c:v>
                </c:pt>
                <c:pt idx="4">
                  <c:v>2016</c:v>
                </c:pt>
              </c:numCache>
            </c:numRef>
          </c:cat>
          <c:val>
            <c:numRef>
              <c:f>DuPont!$C$11:$G$11</c:f>
              <c:numCache>
                <c:formatCode>0.0_)\x;\(0.0\)\x</c:formatCode>
                <c:ptCount val="5"/>
                <c:pt idx="0">
                  <c:v>0.70490219173208857</c:v>
                </c:pt>
                <c:pt idx="1">
                  <c:v>0.7161028261947443</c:v>
                </c:pt>
                <c:pt idx="2">
                  <c:v>0.74428507021557266</c:v>
                </c:pt>
                <c:pt idx="3">
                  <c:v>0.70529319211892072</c:v>
                </c:pt>
                <c:pt idx="4">
                  <c:v>0.72531970239935972</c:v>
                </c:pt>
              </c:numCache>
            </c:numRef>
          </c:val>
          <c:extLst xmlns:c16r2="http://schemas.microsoft.com/office/drawing/2015/06/chart">
            <c:ext xmlns:c16="http://schemas.microsoft.com/office/drawing/2014/chart" uri="{C3380CC4-5D6E-409C-BE32-E72D297353CC}">
              <c16:uniqueId val="{00000001-085F-494E-87F6-3D60CE07D01C}"/>
            </c:ext>
          </c:extLst>
        </c:ser>
        <c:dLbls>
          <c:dLblPos val="ctr"/>
          <c:showLegendKey val="0"/>
          <c:showVal val="1"/>
          <c:showCatName val="0"/>
          <c:showSerName val="0"/>
          <c:showPercent val="0"/>
          <c:showBubbleSize val="0"/>
        </c:dLbls>
        <c:gapWidth val="150"/>
        <c:overlap val="100"/>
        <c:axId val="210998400"/>
        <c:axId val="210999936"/>
      </c:barChart>
      <c:catAx>
        <c:axId val="210998400"/>
        <c:scaling>
          <c:orientation val="minMax"/>
        </c:scaling>
        <c:delete val="0"/>
        <c:axPos val="b"/>
        <c:numFmt formatCode="0&quot;A&quot;"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210999936"/>
        <c:crosses val="autoZero"/>
        <c:auto val="1"/>
        <c:lblAlgn val="ctr"/>
        <c:lblOffset val="100"/>
        <c:noMultiLvlLbl val="0"/>
      </c:catAx>
      <c:valAx>
        <c:axId val="210999936"/>
        <c:scaling>
          <c:orientation val="minMax"/>
        </c:scaling>
        <c:delete val="1"/>
        <c:axPos val="l"/>
        <c:majorGridlines>
          <c:spPr>
            <a:ln w="9525" cap="flat" cmpd="sng" algn="ctr">
              <a:solidFill>
                <a:schemeClr val="tx1">
                  <a:lumMod val="15000"/>
                  <a:lumOff val="85000"/>
                </a:schemeClr>
              </a:solidFill>
              <a:round/>
            </a:ln>
            <a:effectLst/>
          </c:spPr>
        </c:majorGridlines>
        <c:numFmt formatCode="0.0_)\x;\(0.0\)\x" sourceLinked="1"/>
        <c:majorTickMark val="none"/>
        <c:minorTickMark val="none"/>
        <c:tickLblPos val="nextTo"/>
        <c:crossAx val="210998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000" b="1" i="0" u="none" strike="noStrike" kern="1200" spc="0" baseline="0">
                <a:solidFill>
                  <a:sysClr val="windowText" lastClr="000000"/>
                </a:solidFill>
                <a:latin typeface="+mn-lt"/>
                <a:ea typeface="+mn-ea"/>
                <a:cs typeface="+mn-cs"/>
              </a:defRPr>
            </a:pPr>
            <a:r>
              <a:rPr lang="en-US" sz="1000" b="1">
                <a:solidFill>
                  <a:sysClr val="windowText" lastClr="000000"/>
                </a:solidFill>
              </a:rPr>
              <a:t>Current</a:t>
            </a:r>
            <a:r>
              <a:rPr lang="en-US" sz="1000" b="1" baseline="0">
                <a:solidFill>
                  <a:sysClr val="windowText" lastClr="000000"/>
                </a:solidFill>
              </a:rPr>
              <a:t> Ratio vs. Acid Test vs. Debt to Total Assets</a:t>
            </a:r>
            <a:endParaRPr lang="en-US" sz="1000" b="1">
              <a:solidFill>
                <a:sysClr val="windowText" lastClr="000000"/>
              </a:solidFill>
            </a:endParaRPr>
          </a:p>
        </c:rich>
      </c:tx>
      <c:overlay val="0"/>
      <c:spPr>
        <a:noFill/>
        <a:ln>
          <a:noFill/>
        </a:ln>
        <a:effectLst/>
      </c:spPr>
    </c:title>
    <c:autoTitleDeleted val="0"/>
    <c:plotArea>
      <c:layout/>
      <c:barChart>
        <c:barDir val="col"/>
        <c:grouping val="stacked"/>
        <c:varyColors val="0"/>
        <c:ser>
          <c:idx val="0"/>
          <c:order val="0"/>
          <c:tx>
            <c:strRef>
              <c:f>DuPont!$B$35</c:f>
              <c:strCache>
                <c:ptCount val="1"/>
                <c:pt idx="0">
                  <c:v>Current Ratio</c:v>
                </c:pt>
              </c:strCache>
            </c:strRef>
          </c:tx>
          <c:spPr>
            <a:solidFill>
              <a:schemeClr val="accent2">
                <a:shade val="6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DuPont!$C$19:$G$19</c:f>
              <c:numCache>
                <c:formatCode>0"A"</c:formatCode>
                <c:ptCount val="5"/>
                <c:pt idx="0">
                  <c:v>2012</c:v>
                </c:pt>
                <c:pt idx="1">
                  <c:v>2013</c:v>
                </c:pt>
                <c:pt idx="2">
                  <c:v>2014</c:v>
                </c:pt>
                <c:pt idx="3">
                  <c:v>2015</c:v>
                </c:pt>
                <c:pt idx="4">
                  <c:v>2016</c:v>
                </c:pt>
              </c:numCache>
            </c:numRef>
          </c:cat>
          <c:val>
            <c:numRef>
              <c:f>DuPont!$C$35:$G$35</c:f>
              <c:numCache>
                <c:formatCode>0.0_)\x;\(0.0\)\x</c:formatCode>
                <c:ptCount val="5"/>
                <c:pt idx="0">
                  <c:v>1.4780922298666956</c:v>
                </c:pt>
                <c:pt idx="1">
                  <c:v>1.3885891619458828</c:v>
                </c:pt>
                <c:pt idx="2">
                  <c:v>1.3685229155307181</c:v>
                </c:pt>
                <c:pt idx="3">
                  <c:v>1.476175027646828</c:v>
                </c:pt>
                <c:pt idx="4">
                  <c:v>1.2009111217007433</c:v>
                </c:pt>
              </c:numCache>
            </c:numRef>
          </c:val>
          <c:extLst xmlns:c16r2="http://schemas.microsoft.com/office/drawing/2015/06/chart">
            <c:ext xmlns:c16="http://schemas.microsoft.com/office/drawing/2014/chart" uri="{C3380CC4-5D6E-409C-BE32-E72D297353CC}">
              <c16:uniqueId val="{00000000-3587-4833-B09F-4FE2EEA25CC0}"/>
            </c:ext>
          </c:extLst>
        </c:ser>
        <c:ser>
          <c:idx val="1"/>
          <c:order val="1"/>
          <c:tx>
            <c:strRef>
              <c:f>DuPont!$B$36</c:f>
              <c:strCache>
                <c:ptCount val="1"/>
                <c:pt idx="0">
                  <c:v>Acid Test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DuPont!$C$19:$G$19</c:f>
              <c:numCache>
                <c:formatCode>0"A"</c:formatCode>
                <c:ptCount val="5"/>
                <c:pt idx="0">
                  <c:v>2012</c:v>
                </c:pt>
                <c:pt idx="1">
                  <c:v>2013</c:v>
                </c:pt>
                <c:pt idx="2">
                  <c:v>2014</c:v>
                </c:pt>
                <c:pt idx="3">
                  <c:v>2015</c:v>
                </c:pt>
                <c:pt idx="4">
                  <c:v>2016</c:v>
                </c:pt>
              </c:numCache>
            </c:numRef>
          </c:cat>
          <c:val>
            <c:numRef>
              <c:f>DuPont!$C$36:$G$36</c:f>
              <c:numCache>
                <c:formatCode>0.0_)\x;\(0.0\)\x</c:formatCode>
                <c:ptCount val="5"/>
                <c:pt idx="0">
                  <c:v>1.4780922298666956</c:v>
                </c:pt>
                <c:pt idx="1">
                  <c:v>1.3885891619458828</c:v>
                </c:pt>
                <c:pt idx="2">
                  <c:v>1.3685229155307181</c:v>
                </c:pt>
                <c:pt idx="3">
                  <c:v>1.476175027646828</c:v>
                </c:pt>
                <c:pt idx="4">
                  <c:v>1.2009111217007433</c:v>
                </c:pt>
              </c:numCache>
            </c:numRef>
          </c:val>
          <c:extLst xmlns:c16r2="http://schemas.microsoft.com/office/drawing/2015/06/chart">
            <c:ext xmlns:c16="http://schemas.microsoft.com/office/drawing/2014/chart" uri="{C3380CC4-5D6E-409C-BE32-E72D297353CC}">
              <c16:uniqueId val="{00000001-3587-4833-B09F-4FE2EEA25CC0}"/>
            </c:ext>
          </c:extLst>
        </c:ser>
        <c:ser>
          <c:idx val="2"/>
          <c:order val="2"/>
          <c:tx>
            <c:strRef>
              <c:f>DuPont!$B$24</c:f>
              <c:strCache>
                <c:ptCount val="1"/>
                <c:pt idx="0">
                  <c:v>Debt to Total Assets</c:v>
                </c:pt>
              </c:strCache>
            </c:strRef>
          </c:tx>
          <c:spPr>
            <a:solidFill>
              <a:schemeClr val="accent2">
                <a:tint val="6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DuPont!$C$19:$G$19</c:f>
              <c:numCache>
                <c:formatCode>0"A"</c:formatCode>
                <c:ptCount val="5"/>
                <c:pt idx="0">
                  <c:v>2012</c:v>
                </c:pt>
                <c:pt idx="1">
                  <c:v>2013</c:v>
                </c:pt>
                <c:pt idx="2">
                  <c:v>2014</c:v>
                </c:pt>
                <c:pt idx="3">
                  <c:v>2015</c:v>
                </c:pt>
                <c:pt idx="4">
                  <c:v>2016</c:v>
                </c:pt>
              </c:numCache>
            </c:numRef>
          </c:cat>
          <c:val>
            <c:numRef>
              <c:f>DuPont!$C$24:$G$24</c:f>
              <c:numCache>
                <c:formatCode>0.0_)\x;\(0.0\)\x</c:formatCode>
                <c:ptCount val="5"/>
                <c:pt idx="0">
                  <c:v>0.43847394262532319</c:v>
                </c:pt>
                <c:pt idx="1">
                  <c:v>0.45972114612284354</c:v>
                </c:pt>
                <c:pt idx="2">
                  <c:v>0.50069030029108819</c:v>
                </c:pt>
                <c:pt idx="3">
                  <c:v>0.66122979711989394</c:v>
                </c:pt>
                <c:pt idx="4">
                  <c:v>0.67884471585394235</c:v>
                </c:pt>
              </c:numCache>
            </c:numRef>
          </c:val>
          <c:extLst xmlns:c16r2="http://schemas.microsoft.com/office/drawing/2015/06/chart">
            <c:ext xmlns:c16="http://schemas.microsoft.com/office/drawing/2014/chart" uri="{C3380CC4-5D6E-409C-BE32-E72D297353CC}">
              <c16:uniqueId val="{00000002-3587-4833-B09F-4FE2EEA25CC0}"/>
            </c:ext>
          </c:extLst>
        </c:ser>
        <c:dLbls>
          <c:dLblPos val="ctr"/>
          <c:showLegendKey val="0"/>
          <c:showVal val="1"/>
          <c:showCatName val="0"/>
          <c:showSerName val="0"/>
          <c:showPercent val="0"/>
          <c:showBubbleSize val="0"/>
        </c:dLbls>
        <c:gapWidth val="150"/>
        <c:overlap val="100"/>
        <c:axId val="211126912"/>
        <c:axId val="211128704"/>
      </c:barChart>
      <c:catAx>
        <c:axId val="211126912"/>
        <c:scaling>
          <c:orientation val="minMax"/>
        </c:scaling>
        <c:delete val="0"/>
        <c:axPos val="b"/>
        <c:numFmt formatCode="0&quot;A&quot;"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211128704"/>
        <c:crosses val="autoZero"/>
        <c:auto val="1"/>
        <c:lblAlgn val="ctr"/>
        <c:lblOffset val="100"/>
        <c:noMultiLvlLbl val="0"/>
      </c:catAx>
      <c:valAx>
        <c:axId val="211128704"/>
        <c:scaling>
          <c:orientation val="minMax"/>
        </c:scaling>
        <c:delete val="1"/>
        <c:axPos val="l"/>
        <c:majorGridlines>
          <c:spPr>
            <a:ln w="9525" cap="flat" cmpd="sng" algn="ctr">
              <a:solidFill>
                <a:schemeClr val="tx1">
                  <a:lumMod val="15000"/>
                  <a:lumOff val="85000"/>
                </a:schemeClr>
              </a:solidFill>
              <a:round/>
            </a:ln>
            <a:effectLst/>
          </c:spPr>
        </c:majorGridlines>
        <c:numFmt formatCode="0.0_)\x;\(0.0\)\x" sourceLinked="1"/>
        <c:majorTickMark val="none"/>
        <c:minorTickMark val="none"/>
        <c:tickLblPos val="nextTo"/>
        <c:crossAx val="211126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overlay val="0"/>
      <c:spPr>
        <a:noFill/>
        <a:ln>
          <a:noFill/>
        </a:ln>
        <a:effectLst/>
      </c:spPr>
      <c:txPr>
        <a:bodyPr rot="0" spcFirstLastPara="1" vertOverflow="ellipsis" vert="horz" wrap="square" anchor="ctr" anchorCtr="1"/>
        <a:lstStyle/>
        <a:p>
          <a:pPr>
            <a:defRPr sz="1000" b="1" i="0" u="none" strike="noStrike" kern="1200" spc="0" baseline="0">
              <a:solidFill>
                <a:sysClr val="windowText" lastClr="000000"/>
              </a:solidFill>
              <a:latin typeface="+mn-lt"/>
              <a:ea typeface="+mn-ea"/>
              <a:cs typeface="+mn-cs"/>
            </a:defRPr>
          </a:pPr>
          <a:endParaRPr lang="en-US"/>
        </a:p>
      </c:txPr>
    </c:title>
    <c:autoTitleDeleted val="0"/>
    <c:plotArea>
      <c:layout/>
      <c:barChart>
        <c:barDir val="col"/>
        <c:grouping val="clustered"/>
        <c:varyColors val="0"/>
        <c:ser>
          <c:idx val="0"/>
          <c:order val="0"/>
          <c:tx>
            <c:strRef>
              <c:f>DuPont!$B$26</c:f>
              <c:strCache>
                <c:ptCount val="1"/>
                <c:pt idx="0">
                  <c:v>Times Interest Earned (TIE)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tx1"/>
                </a:solidFill>
                <a:prstDash val="sysDot"/>
              </a:ln>
              <a:effectLst/>
            </c:spPr>
            <c:trendlineType val="movingAvg"/>
            <c:period val="2"/>
            <c:dispRSqr val="0"/>
            <c:dispEq val="0"/>
          </c:trendline>
          <c:cat>
            <c:numRef>
              <c:f>DuPont!$C$19:$G$19</c:f>
              <c:numCache>
                <c:formatCode>0"A"</c:formatCode>
                <c:ptCount val="5"/>
                <c:pt idx="0">
                  <c:v>2012</c:v>
                </c:pt>
                <c:pt idx="1">
                  <c:v>2013</c:v>
                </c:pt>
                <c:pt idx="2">
                  <c:v>2014</c:v>
                </c:pt>
                <c:pt idx="3">
                  <c:v>2015</c:v>
                </c:pt>
                <c:pt idx="4">
                  <c:v>2016</c:v>
                </c:pt>
              </c:numCache>
            </c:numRef>
          </c:cat>
          <c:val>
            <c:numRef>
              <c:f>DuPont!$C$26:$G$26</c:f>
              <c:numCache>
                <c:formatCode>0.0_)\x;\(0.0\)\x</c:formatCode>
                <c:ptCount val="5"/>
                <c:pt idx="0">
                  <c:v>0</c:v>
                </c:pt>
                <c:pt idx="1">
                  <c:v>0</c:v>
                </c:pt>
                <c:pt idx="2">
                  <c:v>0</c:v>
                </c:pt>
                <c:pt idx="3">
                  <c:v>26.612092825207579</c:v>
                </c:pt>
                <c:pt idx="4">
                  <c:v>12.458284676268327</c:v>
                </c:pt>
              </c:numCache>
            </c:numRef>
          </c:val>
          <c:extLst xmlns:c16r2="http://schemas.microsoft.com/office/drawing/2015/06/chart">
            <c:ext xmlns:c16="http://schemas.microsoft.com/office/drawing/2014/chart" uri="{C3380CC4-5D6E-409C-BE32-E72D297353CC}">
              <c16:uniqueId val="{00000000-EED9-4656-BBED-49BB74BCB2BE}"/>
            </c:ext>
          </c:extLst>
        </c:ser>
        <c:dLbls>
          <c:dLblPos val="outEnd"/>
          <c:showLegendKey val="0"/>
          <c:showVal val="1"/>
          <c:showCatName val="0"/>
          <c:showSerName val="0"/>
          <c:showPercent val="0"/>
          <c:showBubbleSize val="0"/>
        </c:dLbls>
        <c:gapWidth val="182"/>
        <c:axId val="211044224"/>
        <c:axId val="211045760"/>
      </c:barChart>
      <c:catAx>
        <c:axId val="211044224"/>
        <c:scaling>
          <c:orientation val="minMax"/>
        </c:scaling>
        <c:delete val="0"/>
        <c:axPos val="b"/>
        <c:numFmt formatCode="0&quot;A&quot;"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211045760"/>
        <c:crosses val="autoZero"/>
        <c:auto val="1"/>
        <c:lblAlgn val="ctr"/>
        <c:lblOffset val="100"/>
        <c:noMultiLvlLbl val="0"/>
      </c:catAx>
      <c:valAx>
        <c:axId val="211045760"/>
        <c:scaling>
          <c:orientation val="minMax"/>
        </c:scaling>
        <c:delete val="1"/>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crossAx val="211044224"/>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000" b="1" i="0" u="none" strike="noStrike" kern="1200" spc="0" baseline="0">
                <a:solidFill>
                  <a:sysClr val="windowText" lastClr="000000"/>
                </a:solidFill>
                <a:latin typeface="+mn-lt"/>
                <a:ea typeface="+mn-ea"/>
                <a:cs typeface="+mn-cs"/>
              </a:defRPr>
            </a:pPr>
            <a:r>
              <a:rPr lang="en-US" sz="1000" b="1">
                <a:solidFill>
                  <a:sysClr val="windowText" lastClr="000000"/>
                </a:solidFill>
              </a:rPr>
              <a:t>Gross</a:t>
            </a:r>
            <a:r>
              <a:rPr lang="en-US" sz="1000" b="1" baseline="0">
                <a:solidFill>
                  <a:sysClr val="windowText" lastClr="000000"/>
                </a:solidFill>
              </a:rPr>
              <a:t> Margin vs. Profit Margin vs. Operating Margin </a:t>
            </a:r>
            <a:r>
              <a:rPr lang="en-US" sz="1000" b="1">
                <a:solidFill>
                  <a:sysClr val="windowText" lastClr="000000"/>
                </a:solidFill>
              </a:rPr>
              <a:t>(%)</a:t>
            </a:r>
          </a:p>
        </c:rich>
      </c:tx>
      <c:overlay val="0"/>
      <c:spPr>
        <a:noFill/>
        <a:ln>
          <a:noFill/>
        </a:ln>
        <a:effectLst/>
      </c:spPr>
    </c:title>
    <c:autoTitleDeleted val="0"/>
    <c:plotArea>
      <c:layout/>
      <c:barChart>
        <c:barDir val="col"/>
        <c:grouping val="stacked"/>
        <c:varyColors val="0"/>
        <c:ser>
          <c:idx val="0"/>
          <c:order val="0"/>
          <c:tx>
            <c:strRef>
              <c:f>DuPont!$B$20</c:f>
              <c:strCache>
                <c:ptCount val="1"/>
                <c:pt idx="0">
                  <c:v>Gross Margin</c:v>
                </c:pt>
              </c:strCache>
            </c:strRef>
          </c:tx>
          <c:spPr>
            <a:solidFill>
              <a:schemeClr val="accent2">
                <a:shade val="65000"/>
              </a:schemeClr>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DuPont!$C$19:$G$19</c:f>
              <c:numCache>
                <c:formatCode>0"A"</c:formatCode>
                <c:ptCount val="5"/>
                <c:pt idx="0">
                  <c:v>2012</c:v>
                </c:pt>
                <c:pt idx="1">
                  <c:v>2013</c:v>
                </c:pt>
                <c:pt idx="2">
                  <c:v>2014</c:v>
                </c:pt>
                <c:pt idx="3">
                  <c:v>2015</c:v>
                </c:pt>
                <c:pt idx="4">
                  <c:v>2016</c:v>
                </c:pt>
              </c:numCache>
            </c:numRef>
          </c:cat>
          <c:val>
            <c:numRef>
              <c:f>DuPont!$C$20:$G$20</c:f>
              <c:numCache>
                <c:formatCode>#0.0_)%;\(#0.0\)%</c:formatCode>
                <c:ptCount val="5"/>
                <c:pt idx="0">
                  <c:v>0.84242562238384333</c:v>
                </c:pt>
                <c:pt idx="1">
                  <c:v>0.84903865618817342</c:v>
                </c:pt>
                <c:pt idx="2">
                  <c:v>0.84843103970702749</c:v>
                </c:pt>
                <c:pt idx="3">
                  <c:v>0.8473312772528917</c:v>
                </c:pt>
                <c:pt idx="4">
                  <c:v>0.84912558533887528</c:v>
                </c:pt>
              </c:numCache>
            </c:numRef>
          </c:val>
          <c:extLst xmlns:c16r2="http://schemas.microsoft.com/office/drawing/2015/06/chart">
            <c:ext xmlns:c16="http://schemas.microsoft.com/office/drawing/2014/chart" uri="{C3380CC4-5D6E-409C-BE32-E72D297353CC}">
              <c16:uniqueId val="{00000000-5622-4D6B-8F8A-8A609E65EC31}"/>
            </c:ext>
          </c:extLst>
        </c:ser>
        <c:ser>
          <c:idx val="2"/>
          <c:order val="1"/>
          <c:tx>
            <c:strRef>
              <c:f>DuPont!$B$22</c:f>
              <c:strCache>
                <c:ptCount val="1"/>
                <c:pt idx="0">
                  <c:v>Operating Margin</c:v>
                </c:pt>
              </c:strCache>
            </c:strRef>
          </c:tx>
          <c:spPr>
            <a:solidFill>
              <a:schemeClr val="accent2">
                <a:tint val="65000"/>
              </a:schemeClr>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DuPont!$C$19:$G$19</c:f>
              <c:numCache>
                <c:formatCode>0"A"</c:formatCode>
                <c:ptCount val="5"/>
                <c:pt idx="0">
                  <c:v>2012</c:v>
                </c:pt>
                <c:pt idx="1">
                  <c:v>2013</c:v>
                </c:pt>
                <c:pt idx="2">
                  <c:v>2014</c:v>
                </c:pt>
                <c:pt idx="3">
                  <c:v>2015</c:v>
                </c:pt>
                <c:pt idx="4">
                  <c:v>2016</c:v>
                </c:pt>
              </c:numCache>
            </c:numRef>
          </c:cat>
          <c:val>
            <c:numRef>
              <c:f>DuPont!$C$22:$G$22</c:f>
              <c:numCache>
                <c:formatCode>#0.0_)%;\(#0.0\)%</c:formatCode>
                <c:ptCount val="5"/>
                <c:pt idx="0">
                  <c:v>0.18357466179155824</c:v>
                </c:pt>
                <c:pt idx="1">
                  <c:v>0.15784867291733926</c:v>
                </c:pt>
                <c:pt idx="2">
                  <c:v>0.15609648022468176</c:v>
                </c:pt>
                <c:pt idx="3">
                  <c:v>0.1427770721138828</c:v>
                </c:pt>
                <c:pt idx="4">
                  <c:v>0.13393479288383855</c:v>
                </c:pt>
              </c:numCache>
            </c:numRef>
          </c:val>
          <c:extLst xmlns:c16r2="http://schemas.microsoft.com/office/drawing/2015/06/chart">
            <c:ext xmlns:c16="http://schemas.microsoft.com/office/drawing/2014/chart" uri="{C3380CC4-5D6E-409C-BE32-E72D297353CC}">
              <c16:uniqueId val="{00000002-5622-4D6B-8F8A-8A609E65EC31}"/>
            </c:ext>
          </c:extLst>
        </c:ser>
        <c:ser>
          <c:idx val="1"/>
          <c:order val="2"/>
          <c:tx>
            <c:strRef>
              <c:f>DuPont!$B$21</c:f>
              <c:strCache>
                <c:ptCount val="1"/>
                <c:pt idx="0">
                  <c:v>Profit Margin</c:v>
                </c:pt>
              </c:strCache>
            </c:strRef>
          </c:tx>
          <c:spPr>
            <a:solidFill>
              <a:schemeClr val="accent2"/>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DuPont!$C$19:$G$19</c:f>
              <c:numCache>
                <c:formatCode>0"A"</c:formatCode>
                <c:ptCount val="5"/>
                <c:pt idx="0">
                  <c:v>2012</c:v>
                </c:pt>
                <c:pt idx="1">
                  <c:v>2013</c:v>
                </c:pt>
                <c:pt idx="2">
                  <c:v>2014</c:v>
                </c:pt>
                <c:pt idx="3">
                  <c:v>2015</c:v>
                </c:pt>
                <c:pt idx="4">
                  <c:v>2016</c:v>
                </c:pt>
              </c:numCache>
            </c:numRef>
          </c:cat>
          <c:val>
            <c:numRef>
              <c:f>DuPont!$C$21:$G$21</c:f>
              <c:numCache>
                <c:formatCode>#0.0_)%;\(#0.0\)%</c:formatCode>
                <c:ptCount val="5"/>
                <c:pt idx="0">
                  <c:v>0.12940218144334628</c:v>
                </c:pt>
                <c:pt idx="1">
                  <c:v>0.11303588078719642</c:v>
                </c:pt>
                <c:pt idx="2">
                  <c:v>0.11618027974443101</c:v>
                </c:pt>
                <c:pt idx="3">
                  <c:v>0.10069969695259373</c:v>
                </c:pt>
                <c:pt idx="4">
                  <c:v>9.7145544115425655E-2</c:v>
                </c:pt>
              </c:numCache>
            </c:numRef>
          </c:val>
          <c:extLst xmlns:c16r2="http://schemas.microsoft.com/office/drawing/2015/06/chart">
            <c:ext xmlns:c16="http://schemas.microsoft.com/office/drawing/2014/chart" uri="{C3380CC4-5D6E-409C-BE32-E72D297353CC}">
              <c16:uniqueId val="{00000001-5622-4D6B-8F8A-8A609E65EC31}"/>
            </c:ext>
          </c:extLst>
        </c:ser>
        <c:dLbls>
          <c:dLblPos val="ctr"/>
          <c:showLegendKey val="0"/>
          <c:showVal val="1"/>
          <c:showCatName val="0"/>
          <c:showSerName val="0"/>
          <c:showPercent val="0"/>
          <c:showBubbleSize val="0"/>
        </c:dLbls>
        <c:gapWidth val="100"/>
        <c:overlap val="100"/>
        <c:axId val="211090432"/>
        <c:axId val="211165952"/>
      </c:barChart>
      <c:catAx>
        <c:axId val="211090432"/>
        <c:scaling>
          <c:orientation val="minMax"/>
        </c:scaling>
        <c:delete val="0"/>
        <c:axPos val="b"/>
        <c:numFmt formatCode="0&quot;A&quot;"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211165952"/>
        <c:crosses val="autoZero"/>
        <c:auto val="1"/>
        <c:lblAlgn val="ctr"/>
        <c:lblOffset val="100"/>
        <c:noMultiLvlLbl val="0"/>
      </c:catAx>
      <c:valAx>
        <c:axId val="211165952"/>
        <c:scaling>
          <c:orientation val="minMax"/>
        </c:scaling>
        <c:delete val="1"/>
        <c:axPos val="l"/>
        <c:majorGridlines>
          <c:spPr>
            <a:ln w="9525" cap="flat" cmpd="sng" algn="ctr">
              <a:solidFill>
                <a:schemeClr val="tx1">
                  <a:lumMod val="15000"/>
                  <a:lumOff val="85000"/>
                </a:schemeClr>
              </a:solidFill>
              <a:round/>
            </a:ln>
            <a:effectLst/>
          </c:spPr>
        </c:majorGridlines>
        <c:numFmt formatCode="#0.0_)%;\(#0.0\)%" sourceLinked="1"/>
        <c:majorTickMark val="none"/>
        <c:minorTickMark val="none"/>
        <c:tickLblPos val="nextTo"/>
        <c:crossAx val="211090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000" b="1" i="0" u="none" strike="noStrike" kern="1200" spc="0" baseline="0">
                <a:solidFill>
                  <a:sysClr val="windowText" lastClr="000000"/>
                </a:solidFill>
                <a:latin typeface="+mn-lt"/>
                <a:ea typeface="+mn-ea"/>
                <a:cs typeface="+mn-cs"/>
              </a:defRPr>
            </a:pPr>
            <a:r>
              <a:rPr lang="en-US" sz="1000" b="1">
                <a:solidFill>
                  <a:sysClr val="windowText" lastClr="000000"/>
                </a:solidFill>
              </a:rPr>
              <a:t>Leverage</a:t>
            </a:r>
            <a:r>
              <a:rPr lang="en-US" sz="1000" b="1" baseline="0">
                <a:solidFill>
                  <a:sysClr val="windowText" lastClr="000000"/>
                </a:solidFill>
              </a:rPr>
              <a:t> Ratio</a:t>
            </a:r>
            <a:endParaRPr lang="en-US" sz="1000" b="1">
              <a:solidFill>
                <a:sysClr val="windowText" lastClr="000000"/>
              </a:solidFill>
            </a:endParaRPr>
          </a:p>
        </c:rich>
      </c:tx>
      <c:overlay val="0"/>
      <c:spPr>
        <a:noFill/>
        <a:ln>
          <a:noFill/>
        </a:ln>
        <a:effectLst/>
      </c:spPr>
    </c:title>
    <c:autoTitleDeleted val="0"/>
    <c:plotArea>
      <c:layout/>
      <c:barChart>
        <c:barDir val="col"/>
        <c:grouping val="clustered"/>
        <c:varyColors val="0"/>
        <c:ser>
          <c:idx val="0"/>
          <c:order val="0"/>
          <c:tx>
            <c:strRef>
              <c:f>DuPont!$B$15</c:f>
              <c:strCache>
                <c:ptCount val="1"/>
                <c:pt idx="0">
                  <c:v>Leverage Ratio</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tx1"/>
                </a:solidFill>
                <a:prstDash val="sysDot"/>
              </a:ln>
              <a:effectLst/>
            </c:spPr>
            <c:trendlineType val="movingAvg"/>
            <c:period val="2"/>
            <c:dispRSqr val="0"/>
            <c:dispEq val="0"/>
          </c:trendline>
          <c:cat>
            <c:numRef>
              <c:f>DuPont!$C$7:$G$7</c:f>
              <c:numCache>
                <c:formatCode>0"A"</c:formatCode>
                <c:ptCount val="5"/>
                <c:pt idx="0">
                  <c:v>2012</c:v>
                </c:pt>
                <c:pt idx="1">
                  <c:v>2013</c:v>
                </c:pt>
                <c:pt idx="2">
                  <c:v>2014</c:v>
                </c:pt>
                <c:pt idx="3">
                  <c:v>2015</c:v>
                </c:pt>
                <c:pt idx="4">
                  <c:v>2016</c:v>
                </c:pt>
              </c:numCache>
            </c:numRef>
          </c:cat>
          <c:val>
            <c:numRef>
              <c:f>DuPont!$C$15:$G$15</c:f>
              <c:numCache>
                <c:formatCode>0.0_)\x;\(0.0\)\x</c:formatCode>
                <c:ptCount val="5"/>
                <c:pt idx="0">
                  <c:v>1.7808612563330299</c:v>
                </c:pt>
                <c:pt idx="1">
                  <c:v>1.8508960564045518</c:v>
                </c:pt>
                <c:pt idx="2">
                  <c:v>2.0027650185505732</c:v>
                </c:pt>
                <c:pt idx="3">
                  <c:v>2.9518534732345083</c:v>
                </c:pt>
                <c:pt idx="4">
                  <c:v>3.1137585129853003</c:v>
                </c:pt>
              </c:numCache>
            </c:numRef>
          </c:val>
          <c:extLst xmlns:c16r2="http://schemas.microsoft.com/office/drawing/2015/06/chart">
            <c:ext xmlns:c16="http://schemas.microsoft.com/office/drawing/2014/chart" uri="{C3380CC4-5D6E-409C-BE32-E72D297353CC}">
              <c16:uniqueId val="{00000000-16A1-4F57-A8C3-27BE7084A238}"/>
            </c:ext>
          </c:extLst>
        </c:ser>
        <c:dLbls>
          <c:dLblPos val="outEnd"/>
          <c:showLegendKey val="0"/>
          <c:showVal val="1"/>
          <c:showCatName val="0"/>
          <c:showSerName val="0"/>
          <c:showPercent val="0"/>
          <c:showBubbleSize val="0"/>
        </c:dLbls>
        <c:gapWidth val="182"/>
        <c:axId val="211204352"/>
        <c:axId val="211210240"/>
      </c:barChart>
      <c:catAx>
        <c:axId val="211204352"/>
        <c:scaling>
          <c:orientation val="minMax"/>
        </c:scaling>
        <c:delete val="0"/>
        <c:axPos val="b"/>
        <c:numFmt formatCode="0&quot;A&quot;"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211210240"/>
        <c:crosses val="autoZero"/>
        <c:auto val="1"/>
        <c:lblAlgn val="ctr"/>
        <c:lblOffset val="100"/>
        <c:noMultiLvlLbl val="0"/>
      </c:catAx>
      <c:valAx>
        <c:axId val="211210240"/>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crossAx val="211204352"/>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000" b="1" i="0" u="none" strike="noStrike" kern="1200" spc="0" baseline="0">
                <a:solidFill>
                  <a:sysClr val="windowText" lastClr="000000"/>
                </a:solidFill>
                <a:latin typeface="+mn-lt"/>
                <a:ea typeface="+mn-ea"/>
                <a:cs typeface="+mn-cs"/>
              </a:defRPr>
            </a:pPr>
            <a:r>
              <a:rPr lang="en-US" sz="1000" b="1">
                <a:solidFill>
                  <a:sysClr val="windowText" lastClr="000000"/>
                </a:solidFill>
              </a:rPr>
              <a:t>Operating</a:t>
            </a:r>
            <a:r>
              <a:rPr lang="en-US" sz="1000" b="1" baseline="0">
                <a:solidFill>
                  <a:sysClr val="windowText" lastClr="000000"/>
                </a:solidFill>
              </a:rPr>
              <a:t> Margin</a:t>
            </a:r>
            <a:endParaRPr lang="en-US" sz="1000" b="1">
              <a:solidFill>
                <a:sysClr val="windowText" lastClr="000000"/>
              </a:solidFill>
            </a:endParaRPr>
          </a:p>
        </c:rich>
      </c:tx>
      <c:overlay val="0"/>
      <c:spPr>
        <a:noFill/>
        <a:ln>
          <a:noFill/>
        </a:ln>
        <a:effectLst/>
      </c:spPr>
    </c:title>
    <c:autoTitleDeleted val="0"/>
    <c:plotArea>
      <c:layout/>
      <c:barChart>
        <c:barDir val="col"/>
        <c:grouping val="clustered"/>
        <c:varyColors val="0"/>
        <c:ser>
          <c:idx val="0"/>
          <c:order val="0"/>
          <c:tx>
            <c:strRef>
              <c:f>DuPont!$B$22</c:f>
              <c:strCache>
                <c:ptCount val="1"/>
                <c:pt idx="0">
                  <c:v>Operating Margin</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tx1"/>
                </a:solidFill>
                <a:prstDash val="sysDot"/>
              </a:ln>
              <a:effectLst/>
            </c:spPr>
            <c:trendlineType val="movingAvg"/>
            <c:period val="2"/>
            <c:dispRSqr val="0"/>
            <c:dispEq val="0"/>
          </c:trendline>
          <c:cat>
            <c:numRef>
              <c:f>DuPont!$C$7:$G$7</c:f>
              <c:numCache>
                <c:formatCode>0"A"</c:formatCode>
                <c:ptCount val="5"/>
                <c:pt idx="0">
                  <c:v>2012</c:v>
                </c:pt>
                <c:pt idx="1">
                  <c:v>2013</c:v>
                </c:pt>
                <c:pt idx="2">
                  <c:v>2014</c:v>
                </c:pt>
                <c:pt idx="3">
                  <c:v>2015</c:v>
                </c:pt>
                <c:pt idx="4">
                  <c:v>2016</c:v>
                </c:pt>
              </c:numCache>
            </c:numRef>
          </c:cat>
          <c:val>
            <c:numRef>
              <c:f>DuPont!$C$22:$G$22</c:f>
              <c:numCache>
                <c:formatCode>#0.0_)%;\(#0.0\)%</c:formatCode>
                <c:ptCount val="5"/>
                <c:pt idx="0">
                  <c:v>0.18357466179155824</c:v>
                </c:pt>
                <c:pt idx="1">
                  <c:v>0.15784867291733926</c:v>
                </c:pt>
                <c:pt idx="2">
                  <c:v>0.15609648022468176</c:v>
                </c:pt>
                <c:pt idx="3">
                  <c:v>0.1427770721138828</c:v>
                </c:pt>
                <c:pt idx="4">
                  <c:v>0.13393479288383855</c:v>
                </c:pt>
              </c:numCache>
            </c:numRef>
          </c:val>
          <c:extLst xmlns:c16r2="http://schemas.microsoft.com/office/drawing/2015/06/chart">
            <c:ext xmlns:c16="http://schemas.microsoft.com/office/drawing/2014/chart" uri="{C3380CC4-5D6E-409C-BE32-E72D297353CC}">
              <c16:uniqueId val="{00000000-69AE-4DFE-910E-D3DBA8478058}"/>
            </c:ext>
          </c:extLst>
        </c:ser>
        <c:dLbls>
          <c:dLblPos val="outEnd"/>
          <c:showLegendKey val="0"/>
          <c:showVal val="1"/>
          <c:showCatName val="0"/>
          <c:showSerName val="0"/>
          <c:showPercent val="0"/>
          <c:showBubbleSize val="0"/>
        </c:dLbls>
        <c:gapWidth val="182"/>
        <c:axId val="210535552"/>
        <c:axId val="210537088"/>
      </c:barChart>
      <c:catAx>
        <c:axId val="210535552"/>
        <c:scaling>
          <c:orientation val="minMax"/>
        </c:scaling>
        <c:delete val="0"/>
        <c:axPos val="b"/>
        <c:numFmt formatCode="0&quot;A&quot;"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210537088"/>
        <c:crosses val="autoZero"/>
        <c:auto val="1"/>
        <c:lblAlgn val="ctr"/>
        <c:lblOffset val="100"/>
        <c:noMultiLvlLbl val="0"/>
      </c:catAx>
      <c:valAx>
        <c:axId val="210537088"/>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crossAx val="210535552"/>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chart" Target="../charts/chart7.xml"/><Relationship Id="rId7" Type="http://schemas.openxmlformats.org/officeDocument/2006/relationships/chart" Target="../charts/chart11.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4.xml"/><Relationship Id="rId7" Type="http://schemas.openxmlformats.org/officeDocument/2006/relationships/chart" Target="../charts/chart18.xml"/><Relationship Id="rId2" Type="http://schemas.openxmlformats.org/officeDocument/2006/relationships/chart" Target="../charts/chart13.xml"/><Relationship Id="rId1" Type="http://schemas.openxmlformats.org/officeDocument/2006/relationships/chart" Target="../charts/chart12.xml"/><Relationship Id="rId6" Type="http://schemas.openxmlformats.org/officeDocument/2006/relationships/chart" Target="../charts/chart17.xml"/><Relationship Id="rId5" Type="http://schemas.openxmlformats.org/officeDocument/2006/relationships/chart" Target="../charts/chart16.xml"/><Relationship Id="rId4" Type="http://schemas.openxmlformats.org/officeDocument/2006/relationships/chart" Target="../charts/chart15.xml"/></Relationships>
</file>

<file path=xl/drawings/_rels/drawing7.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s>
</file>

<file path=xl/drawings/_rels/drawing8.xml.rels><?xml version="1.0" encoding="UTF-8" standalone="yes"?>
<Relationships xmlns="http://schemas.openxmlformats.org/package/2006/relationships"><Relationship Id="rId8" Type="http://schemas.openxmlformats.org/officeDocument/2006/relationships/chart" Target="../charts/chart29.xml"/><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drawing1.xml><?xml version="1.0" encoding="utf-8"?>
<xdr:wsDr xmlns:xdr="http://schemas.openxmlformats.org/drawingml/2006/spreadsheetDrawing" xmlns:a="http://schemas.openxmlformats.org/drawingml/2006/main">
  <xdr:twoCellAnchor>
    <xdr:from>
      <xdr:col>9</xdr:col>
      <xdr:colOff>0</xdr:colOff>
      <xdr:row>5</xdr:row>
      <xdr:rowOff>0</xdr:rowOff>
    </xdr:from>
    <xdr:to>
      <xdr:col>16</xdr:col>
      <xdr:colOff>438150</xdr:colOff>
      <xdr:row>21</xdr:row>
      <xdr:rowOff>76200</xdr:rowOff>
    </xdr:to>
    <xdr:graphicFrame macro="">
      <xdr:nvGraphicFramePr>
        <xdr:cNvPr id="4" name="Chart 3">
          <a:extLst>
            <a:ext uri="{FF2B5EF4-FFF2-40B4-BE49-F238E27FC236}">
              <a16:creationId xmlns=""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22</xdr:row>
      <xdr:rowOff>0</xdr:rowOff>
    </xdr:from>
    <xdr:to>
      <xdr:col>16</xdr:col>
      <xdr:colOff>438150</xdr:colOff>
      <xdr:row>36</xdr:row>
      <xdr:rowOff>76200</xdr:rowOff>
    </xdr:to>
    <xdr:graphicFrame macro="">
      <xdr:nvGraphicFramePr>
        <xdr:cNvPr id="9" name="Chart 8">
          <a:extLst>
            <a:ext uri="{FF2B5EF4-FFF2-40B4-BE49-F238E27FC236}">
              <a16:creationId xmlns=""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0</xdr:colOff>
          <xdr:row>22</xdr:row>
          <xdr:rowOff>0</xdr:rowOff>
        </xdr:from>
        <xdr:to>
          <xdr:col>29</xdr:col>
          <xdr:colOff>391583</xdr:colOff>
          <xdr:row>37</xdr:row>
          <xdr:rowOff>55034</xdr:rowOff>
        </xdr:to>
        <xdr:grpSp>
          <xdr:nvGrpSpPr>
            <xdr:cNvPr id="9" name="Group 8">
              <a:extLst>
                <a:ext uri="{FF2B5EF4-FFF2-40B4-BE49-F238E27FC236}">
                  <a16:creationId xmlns="" xmlns:a16="http://schemas.microsoft.com/office/drawing/2014/main" id="{00000000-0008-0000-0200-000009000000}"/>
                </a:ext>
              </a:extLst>
            </xdr:cNvPr>
            <xdr:cNvGrpSpPr/>
          </xdr:nvGrpSpPr>
          <xdr:grpSpPr>
            <a:xfrm>
              <a:off x="17850097" y="4045032"/>
              <a:ext cx="3422265" cy="2838314"/>
              <a:chOff x="21346583" y="3894667"/>
              <a:chExt cx="4572000" cy="2743200"/>
            </a:xfrm>
          </xdr:grpSpPr>
        </xdr:grp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16</xdr:col>
      <xdr:colOff>166695</xdr:colOff>
      <xdr:row>6</xdr:row>
      <xdr:rowOff>33337</xdr:rowOff>
    </xdr:from>
    <xdr:to>
      <xdr:col>23</xdr:col>
      <xdr:colOff>464352</xdr:colOff>
      <xdr:row>20</xdr:row>
      <xdr:rowOff>109537</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15</xdr:col>
      <xdr:colOff>0</xdr:colOff>
      <xdr:row>5</xdr:row>
      <xdr:rowOff>0</xdr:rowOff>
    </xdr:from>
    <xdr:to>
      <xdr:col>22</xdr:col>
      <xdr:colOff>304800</xdr:colOff>
      <xdr:row>19</xdr:row>
      <xdr:rowOff>76200</xdr:rowOff>
    </xdr:to>
    <xdr:graphicFrame macro="">
      <xdr:nvGraphicFramePr>
        <xdr:cNvPr id="3" name="Chart 2">
          <a:extLst>
            <a:ext uri="{FF2B5EF4-FFF2-40B4-BE49-F238E27FC236}">
              <a16:creationId xmlns=""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31</xdr:row>
      <xdr:rowOff>0</xdr:rowOff>
    </xdr:from>
    <xdr:to>
      <xdr:col>4</xdr:col>
      <xdr:colOff>0</xdr:colOff>
      <xdr:row>45</xdr:row>
      <xdr:rowOff>76200</xdr:rowOff>
    </xdr:to>
    <xdr:graphicFrame macro="">
      <xdr:nvGraphicFramePr>
        <xdr:cNvPr id="10" name="Chart 9">
          <a:extLst>
            <a:ext uri="{FF2B5EF4-FFF2-40B4-BE49-F238E27FC236}">
              <a16:creationId xmlns=""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46</xdr:row>
      <xdr:rowOff>0</xdr:rowOff>
    </xdr:from>
    <xdr:to>
      <xdr:col>4</xdr:col>
      <xdr:colOff>0</xdr:colOff>
      <xdr:row>60</xdr:row>
      <xdr:rowOff>76200</xdr:rowOff>
    </xdr:to>
    <xdr:graphicFrame macro="">
      <xdr:nvGraphicFramePr>
        <xdr:cNvPr id="12" name="Chart 11">
          <a:extLst>
            <a:ext uri="{FF2B5EF4-FFF2-40B4-BE49-F238E27FC236}">
              <a16:creationId xmlns=""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0</xdr:colOff>
      <xdr:row>46</xdr:row>
      <xdr:rowOff>0</xdr:rowOff>
    </xdr:from>
    <xdr:to>
      <xdr:col>9</xdr:col>
      <xdr:colOff>19050</xdr:colOff>
      <xdr:row>60</xdr:row>
      <xdr:rowOff>76200</xdr:rowOff>
    </xdr:to>
    <xdr:graphicFrame macro="">
      <xdr:nvGraphicFramePr>
        <xdr:cNvPr id="13" name="Chart 12">
          <a:extLst>
            <a:ext uri="{FF2B5EF4-FFF2-40B4-BE49-F238E27FC236}">
              <a16:creationId xmlns=""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61</xdr:row>
      <xdr:rowOff>0</xdr:rowOff>
    </xdr:from>
    <xdr:to>
      <xdr:col>4</xdr:col>
      <xdr:colOff>0</xdr:colOff>
      <xdr:row>75</xdr:row>
      <xdr:rowOff>76200</xdr:rowOff>
    </xdr:to>
    <xdr:graphicFrame macro="">
      <xdr:nvGraphicFramePr>
        <xdr:cNvPr id="14" name="Chart 13">
          <a:extLst>
            <a:ext uri="{FF2B5EF4-FFF2-40B4-BE49-F238E27FC236}">
              <a16:creationId xmlns=""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0</xdr:colOff>
      <xdr:row>61</xdr:row>
      <xdr:rowOff>0</xdr:rowOff>
    </xdr:from>
    <xdr:to>
      <xdr:col>9</xdr:col>
      <xdr:colOff>19050</xdr:colOff>
      <xdr:row>75</xdr:row>
      <xdr:rowOff>76200</xdr:rowOff>
    </xdr:to>
    <xdr:graphicFrame macro="">
      <xdr:nvGraphicFramePr>
        <xdr:cNvPr id="15" name="Chart 14">
          <a:extLst>
            <a:ext uri="{FF2B5EF4-FFF2-40B4-BE49-F238E27FC236}">
              <a16:creationId xmlns=""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35719</xdr:colOff>
      <xdr:row>30</xdr:row>
      <xdr:rowOff>178594</xdr:rowOff>
    </xdr:from>
    <xdr:to>
      <xdr:col>9</xdr:col>
      <xdr:colOff>54769</xdr:colOff>
      <xdr:row>45</xdr:row>
      <xdr:rowOff>64294</xdr:rowOff>
    </xdr:to>
    <xdr:graphicFrame macro="">
      <xdr:nvGraphicFramePr>
        <xdr:cNvPr id="8" name="Chart 7">
          <a:extLst>
            <a:ext uri="{FF2B5EF4-FFF2-40B4-BE49-F238E27FC236}">
              <a16:creationId xmlns=""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619125</xdr:colOff>
      <xdr:row>31</xdr:row>
      <xdr:rowOff>0</xdr:rowOff>
    </xdr:from>
    <xdr:to>
      <xdr:col>15</xdr:col>
      <xdr:colOff>973932</xdr:colOff>
      <xdr:row>45</xdr:row>
      <xdr:rowOff>76200</xdr:rowOff>
    </xdr:to>
    <xdr:graphicFrame macro="">
      <xdr:nvGraphicFramePr>
        <xdr:cNvPr id="9" name="Chart 8">
          <a:extLst>
            <a:ext uri="{FF2B5EF4-FFF2-40B4-BE49-F238E27FC236}">
              <a16:creationId xmlns=""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31</xdr:row>
      <xdr:rowOff>0</xdr:rowOff>
    </xdr:from>
    <xdr:to>
      <xdr:col>4</xdr:col>
      <xdr:colOff>0</xdr:colOff>
      <xdr:row>45</xdr:row>
      <xdr:rowOff>76200</xdr:rowOff>
    </xdr:to>
    <xdr:graphicFrame macro="">
      <xdr:nvGraphicFramePr>
        <xdr:cNvPr id="2" name="Chart 1">
          <a:extLst>
            <a:ext uri="{FF2B5EF4-FFF2-40B4-BE49-F238E27FC236}">
              <a16:creationId xmlns:a16="http://schemas.microsoft.com/office/drawing/2014/main" xmlns=""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46</xdr:row>
      <xdr:rowOff>0</xdr:rowOff>
    </xdr:from>
    <xdr:to>
      <xdr:col>4</xdr:col>
      <xdr:colOff>0</xdr:colOff>
      <xdr:row>60</xdr:row>
      <xdr:rowOff>76200</xdr:rowOff>
    </xdr:to>
    <xdr:graphicFrame macro="">
      <xdr:nvGraphicFramePr>
        <xdr:cNvPr id="3" name="Chart 2">
          <a:extLst>
            <a:ext uri="{FF2B5EF4-FFF2-40B4-BE49-F238E27FC236}">
              <a16:creationId xmlns:a16="http://schemas.microsoft.com/office/drawing/2014/main" xmlns=""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0</xdr:colOff>
      <xdr:row>46</xdr:row>
      <xdr:rowOff>0</xdr:rowOff>
    </xdr:from>
    <xdr:to>
      <xdr:col>9</xdr:col>
      <xdr:colOff>19050</xdr:colOff>
      <xdr:row>60</xdr:row>
      <xdr:rowOff>76200</xdr:rowOff>
    </xdr:to>
    <xdr:graphicFrame macro="">
      <xdr:nvGraphicFramePr>
        <xdr:cNvPr id="4" name="Chart 3">
          <a:extLst>
            <a:ext uri="{FF2B5EF4-FFF2-40B4-BE49-F238E27FC236}">
              <a16:creationId xmlns:a16="http://schemas.microsoft.com/office/drawing/2014/main" xmlns=""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61</xdr:row>
      <xdr:rowOff>0</xdr:rowOff>
    </xdr:from>
    <xdr:to>
      <xdr:col>4</xdr:col>
      <xdr:colOff>0</xdr:colOff>
      <xdr:row>75</xdr:row>
      <xdr:rowOff>76200</xdr:rowOff>
    </xdr:to>
    <xdr:graphicFrame macro="">
      <xdr:nvGraphicFramePr>
        <xdr:cNvPr id="5" name="Chart 4">
          <a:extLst>
            <a:ext uri="{FF2B5EF4-FFF2-40B4-BE49-F238E27FC236}">
              <a16:creationId xmlns:a16="http://schemas.microsoft.com/office/drawing/2014/main" xmlns=""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0</xdr:colOff>
      <xdr:row>61</xdr:row>
      <xdr:rowOff>0</xdr:rowOff>
    </xdr:from>
    <xdr:to>
      <xdr:col>9</xdr:col>
      <xdr:colOff>19050</xdr:colOff>
      <xdr:row>75</xdr:row>
      <xdr:rowOff>76200</xdr:rowOff>
    </xdr:to>
    <xdr:graphicFrame macro="">
      <xdr:nvGraphicFramePr>
        <xdr:cNvPr id="6" name="Chart 5">
          <a:extLst>
            <a:ext uri="{FF2B5EF4-FFF2-40B4-BE49-F238E27FC236}">
              <a16:creationId xmlns:a16="http://schemas.microsoft.com/office/drawing/2014/main" xmlns=""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11906</xdr:colOff>
      <xdr:row>31</xdr:row>
      <xdr:rowOff>23813</xdr:rowOff>
    </xdr:from>
    <xdr:to>
      <xdr:col>9</xdr:col>
      <xdr:colOff>30956</xdr:colOff>
      <xdr:row>45</xdr:row>
      <xdr:rowOff>100013</xdr:rowOff>
    </xdr:to>
    <xdr:graphicFrame macro="">
      <xdr:nvGraphicFramePr>
        <xdr:cNvPr id="7" name="Chart 6">
          <a:extLst>
            <a:ext uri="{FF2B5EF4-FFF2-40B4-BE49-F238E27FC236}">
              <a16:creationId xmlns:a16="http://schemas.microsoft.com/office/drawing/2014/main" xmlns=""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107156</xdr:colOff>
      <xdr:row>31</xdr:row>
      <xdr:rowOff>130970</xdr:rowOff>
    </xdr:from>
    <xdr:to>
      <xdr:col>15</xdr:col>
      <xdr:colOff>390525</xdr:colOff>
      <xdr:row>46</xdr:row>
      <xdr:rowOff>16670</xdr:rowOff>
    </xdr:to>
    <xdr:graphicFrame macro="">
      <xdr:nvGraphicFramePr>
        <xdr:cNvPr id="8" name="Chart 7">
          <a:extLst>
            <a:ext uri="{FF2B5EF4-FFF2-40B4-BE49-F238E27FC236}">
              <a16:creationId xmlns:a16="http://schemas.microsoft.com/office/drawing/2014/main" xmlns=""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7</xdr:col>
      <xdr:colOff>9524</xdr:colOff>
      <xdr:row>18</xdr:row>
      <xdr:rowOff>9525</xdr:rowOff>
    </xdr:from>
    <xdr:to>
      <xdr:col>10</xdr:col>
      <xdr:colOff>342899</xdr:colOff>
      <xdr:row>34</xdr:row>
      <xdr:rowOff>76200</xdr:rowOff>
    </xdr:to>
    <xdr:graphicFrame macro="">
      <xdr:nvGraphicFramePr>
        <xdr:cNvPr id="2" name="Chart 1">
          <a:extLst>
            <a:ext uri="{FF2B5EF4-FFF2-40B4-BE49-F238E27FC236}">
              <a16:creationId xmlns=""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18</xdr:row>
      <xdr:rowOff>0</xdr:rowOff>
    </xdr:from>
    <xdr:to>
      <xdr:col>20</xdr:col>
      <xdr:colOff>314325</xdr:colOff>
      <xdr:row>34</xdr:row>
      <xdr:rowOff>66675</xdr:rowOff>
    </xdr:to>
    <xdr:graphicFrame macro="">
      <xdr:nvGraphicFramePr>
        <xdr:cNvPr id="3" name="Chart 2">
          <a:extLst>
            <a:ext uri="{FF2B5EF4-FFF2-40B4-BE49-F238E27FC236}">
              <a16:creationId xmlns=""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0</xdr:colOff>
      <xdr:row>18</xdr:row>
      <xdr:rowOff>0</xdr:rowOff>
    </xdr:from>
    <xdr:to>
      <xdr:col>30</xdr:col>
      <xdr:colOff>314325</xdr:colOff>
      <xdr:row>34</xdr:row>
      <xdr:rowOff>66675</xdr:rowOff>
    </xdr:to>
    <xdr:graphicFrame macro="">
      <xdr:nvGraphicFramePr>
        <xdr:cNvPr id="4" name="Chart 3">
          <a:extLst>
            <a:ext uri="{FF2B5EF4-FFF2-40B4-BE49-F238E27FC236}">
              <a16:creationId xmlns=""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9</xdr:col>
      <xdr:colOff>0</xdr:colOff>
      <xdr:row>3</xdr:row>
      <xdr:rowOff>190499</xdr:rowOff>
    </xdr:from>
    <xdr:to>
      <xdr:col>14</xdr:col>
      <xdr:colOff>571500</xdr:colOff>
      <xdr:row>18</xdr:row>
      <xdr:rowOff>76199</xdr:rowOff>
    </xdr:to>
    <xdr:graphicFrame macro="">
      <xdr:nvGraphicFramePr>
        <xdr:cNvPr id="17" name="Chart 16">
          <a:extLst>
            <a:ext uri="{FF2B5EF4-FFF2-40B4-BE49-F238E27FC236}">
              <a16:creationId xmlns=""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19</xdr:row>
      <xdr:rowOff>0</xdr:rowOff>
    </xdr:from>
    <xdr:to>
      <xdr:col>14</xdr:col>
      <xdr:colOff>571500</xdr:colOff>
      <xdr:row>34</xdr:row>
      <xdr:rowOff>76200</xdr:rowOff>
    </xdr:to>
    <xdr:graphicFrame macro="">
      <xdr:nvGraphicFramePr>
        <xdr:cNvPr id="18" name="Chart 17">
          <a:extLst>
            <a:ext uri="{FF2B5EF4-FFF2-40B4-BE49-F238E27FC236}">
              <a16:creationId xmlns=""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0</xdr:colOff>
      <xdr:row>3</xdr:row>
      <xdr:rowOff>190499</xdr:rowOff>
    </xdr:from>
    <xdr:to>
      <xdr:col>22</xdr:col>
      <xdr:colOff>0</xdr:colOff>
      <xdr:row>18</xdr:row>
      <xdr:rowOff>76199</xdr:rowOff>
    </xdr:to>
    <xdr:graphicFrame macro="">
      <xdr:nvGraphicFramePr>
        <xdr:cNvPr id="25" name="Chart 24">
          <a:extLst>
            <a:ext uri="{FF2B5EF4-FFF2-40B4-BE49-F238E27FC236}">
              <a16:creationId xmlns=""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0</xdr:colOff>
      <xdr:row>19</xdr:row>
      <xdr:rowOff>0</xdr:rowOff>
    </xdr:from>
    <xdr:to>
      <xdr:col>22</xdr:col>
      <xdr:colOff>0</xdr:colOff>
      <xdr:row>34</xdr:row>
      <xdr:rowOff>76200</xdr:rowOff>
    </xdr:to>
    <xdr:graphicFrame macro="">
      <xdr:nvGraphicFramePr>
        <xdr:cNvPr id="26" name="Chart 25">
          <a:extLst>
            <a:ext uri="{FF2B5EF4-FFF2-40B4-BE49-F238E27FC236}">
              <a16:creationId xmlns=""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0</xdr:colOff>
      <xdr:row>35</xdr:row>
      <xdr:rowOff>0</xdr:rowOff>
    </xdr:from>
    <xdr:to>
      <xdr:col>14</xdr:col>
      <xdr:colOff>571500</xdr:colOff>
      <xdr:row>49</xdr:row>
      <xdr:rowOff>76200</xdr:rowOff>
    </xdr:to>
    <xdr:graphicFrame macro="">
      <xdr:nvGraphicFramePr>
        <xdr:cNvPr id="10" name="Chart 9">
          <a:extLst>
            <a:ext uri="{FF2B5EF4-FFF2-40B4-BE49-F238E27FC236}">
              <a16:creationId xmlns=""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0</xdr:colOff>
      <xdr:row>35</xdr:row>
      <xdr:rowOff>0</xdr:rowOff>
    </xdr:from>
    <xdr:to>
      <xdr:col>22</xdr:col>
      <xdr:colOff>0</xdr:colOff>
      <xdr:row>49</xdr:row>
      <xdr:rowOff>76200</xdr:rowOff>
    </xdr:to>
    <xdr:graphicFrame macro="">
      <xdr:nvGraphicFramePr>
        <xdr:cNvPr id="12" name="Chart 11">
          <a:extLst>
            <a:ext uri="{FF2B5EF4-FFF2-40B4-BE49-F238E27FC236}">
              <a16:creationId xmlns=""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0</xdr:colOff>
      <xdr:row>50</xdr:row>
      <xdr:rowOff>0</xdr:rowOff>
    </xdr:from>
    <xdr:to>
      <xdr:col>14</xdr:col>
      <xdr:colOff>571500</xdr:colOff>
      <xdr:row>64</xdr:row>
      <xdr:rowOff>76200</xdr:rowOff>
    </xdr:to>
    <xdr:graphicFrame macro="">
      <xdr:nvGraphicFramePr>
        <xdr:cNvPr id="13" name="Chart 12">
          <a:extLst>
            <a:ext uri="{FF2B5EF4-FFF2-40B4-BE49-F238E27FC236}">
              <a16:creationId xmlns=""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50</xdr:row>
      <xdr:rowOff>0</xdr:rowOff>
    </xdr:from>
    <xdr:to>
      <xdr:col>22</xdr:col>
      <xdr:colOff>0</xdr:colOff>
      <xdr:row>64</xdr:row>
      <xdr:rowOff>76200</xdr:rowOff>
    </xdr:to>
    <xdr:graphicFrame macro="">
      <xdr:nvGraphicFramePr>
        <xdr:cNvPr id="14" name="Chart 13">
          <a:extLst>
            <a:ext uri="{FF2B5EF4-FFF2-40B4-BE49-F238E27FC236}">
              <a16:creationId xmlns=""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HT%20v2%20(1)%20Correct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luation"/>
      <sheetName val="BS"/>
      <sheetName val="IS"/>
      <sheetName val="CF"/>
      <sheetName val="DCF"/>
      <sheetName val="DCF Growth Rates"/>
      <sheetName val="RIM"/>
      <sheetName val="Historical PE"/>
      <sheetName val="Comparable - Vanilla"/>
      <sheetName val="Comparable - EV sales"/>
      <sheetName val="Beta"/>
      <sheetName val="Bottom-Up Beta"/>
      <sheetName val="Obligations"/>
      <sheetName val="Dividend Growth Model"/>
      <sheetName val="DuPont"/>
    </sheetNames>
    <sheetDataSet>
      <sheetData sheetId="0">
        <row r="1">
          <cell r="B1" t="str">
            <v>RHT</v>
          </cell>
        </row>
        <row r="2">
          <cell r="B2" t="str">
            <v>Red Hat .Inc</v>
          </cell>
        </row>
        <row r="12">
          <cell r="C12">
            <v>77.180000000000007</v>
          </cell>
        </row>
      </sheetData>
      <sheetData sheetId="1">
        <row r="37">
          <cell r="G37">
            <v>723942</v>
          </cell>
        </row>
        <row r="50">
          <cell r="G50">
            <v>1334432</v>
          </cell>
        </row>
      </sheetData>
      <sheetData sheetId="2"/>
      <sheetData sheetId="3"/>
      <sheetData sheetId="4">
        <row r="6">
          <cell r="L6">
            <v>0.25</v>
          </cell>
        </row>
        <row r="9">
          <cell r="L9">
            <v>2380162.9299999997</v>
          </cell>
        </row>
        <row r="19">
          <cell r="L19">
            <v>415370.38899079862</v>
          </cell>
        </row>
        <row r="28">
          <cell r="L28">
            <v>263696.25624727074</v>
          </cell>
        </row>
        <row r="30">
          <cell r="L30">
            <v>1.4553978323110122</v>
          </cell>
        </row>
        <row r="50">
          <cell r="C50">
            <v>916678</v>
          </cell>
        </row>
        <row r="53">
          <cell r="C53">
            <v>181185</v>
          </cell>
          <cell r="J53">
            <v>0.10907120364572212</v>
          </cell>
        </row>
      </sheetData>
      <sheetData sheetId="5">
        <row r="118">
          <cell r="J118">
            <v>6.7945119831074458E-2</v>
          </cell>
        </row>
      </sheetData>
      <sheetData sheetId="6"/>
      <sheetData sheetId="7"/>
      <sheetData sheetId="8"/>
      <sheetData sheetId="9"/>
      <sheetData sheetId="10"/>
      <sheetData sheetId="11"/>
      <sheetData sheetId="12"/>
      <sheetData sheetId="13"/>
      <sheetData sheetId="1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sheetPr>
  <dimension ref="A1:T39"/>
  <sheetViews>
    <sheetView showGridLines="0" tabSelected="1" topLeftCell="C1" zoomScale="85" zoomScaleNormal="85" workbookViewId="0">
      <selection activeCell="D22" sqref="D22"/>
    </sheetView>
  </sheetViews>
  <sheetFormatPr defaultColWidth="8.85546875" defaultRowHeight="15"/>
  <cols>
    <col min="1" max="1" width="1.7109375" style="82" customWidth="1"/>
    <col min="2" max="2" width="24.5703125" style="82" bestFit="1" customWidth="1"/>
    <col min="3" max="3" width="20.140625" style="82" bestFit="1" customWidth="1"/>
    <col min="4" max="4" width="15.7109375" style="82" bestFit="1" customWidth="1"/>
    <col min="5" max="5" width="9.28515625" style="82" bestFit="1" customWidth="1"/>
    <col min="6" max="6" width="1.7109375" style="82" customWidth="1"/>
    <col min="7" max="7" width="34.42578125" style="82" bestFit="1" customWidth="1"/>
    <col min="8" max="8" width="8" style="82" bestFit="1" customWidth="1"/>
    <col min="9" max="9" width="1.7109375" style="82" customWidth="1"/>
    <col min="10" max="16384" width="8.85546875" style="82"/>
  </cols>
  <sheetData>
    <row r="1" spans="1:20" ht="23.25">
      <c r="A1" s="83"/>
      <c r="B1" s="114" t="s">
        <v>314</v>
      </c>
      <c r="C1" s="113"/>
      <c r="D1" s="113"/>
      <c r="E1" s="113"/>
      <c r="F1" s="113"/>
      <c r="G1" s="83"/>
      <c r="H1" s="83"/>
      <c r="I1" s="83"/>
      <c r="J1" s="83"/>
      <c r="K1" s="83"/>
      <c r="L1" s="83"/>
      <c r="M1" s="83"/>
      <c r="N1" s="83"/>
      <c r="O1" s="83"/>
      <c r="P1" s="83"/>
      <c r="Q1" s="83"/>
      <c r="R1" s="83"/>
      <c r="S1" s="83"/>
      <c r="T1" s="83"/>
    </row>
    <row r="2" spans="1:20">
      <c r="A2" s="83"/>
      <c r="B2" s="115" t="s">
        <v>315</v>
      </c>
      <c r="C2" s="83"/>
      <c r="D2" s="83"/>
      <c r="E2" s="113"/>
      <c r="F2" s="83"/>
      <c r="G2" s="83"/>
      <c r="H2" s="83"/>
      <c r="I2" s="83"/>
      <c r="J2" s="83"/>
      <c r="K2" s="83"/>
      <c r="L2" s="83"/>
      <c r="M2" s="83"/>
      <c r="N2" s="83"/>
      <c r="O2" s="83"/>
      <c r="P2" s="83"/>
      <c r="Q2" s="83"/>
      <c r="R2" s="83"/>
      <c r="S2" s="83"/>
      <c r="T2" s="83"/>
    </row>
    <row r="3" spans="1:20" ht="3" customHeight="1">
      <c r="A3" s="83"/>
      <c r="B3" s="7"/>
      <c r="C3" s="7"/>
      <c r="D3" s="7"/>
      <c r="E3" s="7"/>
      <c r="F3" s="7"/>
      <c r="G3" s="7"/>
      <c r="H3" s="7"/>
      <c r="I3" s="7"/>
      <c r="J3" s="7"/>
      <c r="K3" s="7"/>
      <c r="L3" s="7"/>
      <c r="M3" s="7"/>
      <c r="N3" s="7"/>
      <c r="O3" s="7"/>
      <c r="P3" s="7"/>
      <c r="Q3" s="7"/>
      <c r="R3" s="83"/>
      <c r="S3" s="83"/>
      <c r="T3" s="83"/>
    </row>
    <row r="4" spans="1:20">
      <c r="A4" s="83"/>
      <c r="B4" s="116" t="s">
        <v>0</v>
      </c>
      <c r="C4" s="83"/>
      <c r="D4" s="83"/>
      <c r="E4" s="113"/>
      <c r="F4" s="83"/>
      <c r="G4" s="83"/>
      <c r="H4" s="83"/>
      <c r="I4" s="83"/>
      <c r="J4" s="83"/>
      <c r="K4" s="83"/>
      <c r="L4" s="83"/>
      <c r="M4" s="83"/>
      <c r="N4" s="83"/>
      <c r="O4" s="83"/>
      <c r="P4" s="83"/>
      <c r="Q4" s="83"/>
      <c r="R4" s="83"/>
      <c r="S4" s="83"/>
      <c r="T4" s="83"/>
    </row>
    <row r="5" spans="1:20">
      <c r="A5" s="83"/>
      <c r="B5" s="83"/>
      <c r="C5" s="83"/>
      <c r="D5" s="83"/>
      <c r="E5" s="83"/>
      <c r="F5" s="83"/>
      <c r="G5" s="83"/>
      <c r="H5" s="83"/>
      <c r="I5" s="83"/>
      <c r="J5" s="83"/>
      <c r="K5" s="83"/>
      <c r="L5" s="83"/>
      <c r="M5" s="83"/>
      <c r="N5" s="83"/>
      <c r="O5" s="83"/>
      <c r="P5" s="83"/>
      <c r="Q5" s="83"/>
      <c r="R5" s="83"/>
      <c r="S5" s="83"/>
      <c r="T5" s="83"/>
    </row>
    <row r="6" spans="1:20">
      <c r="A6" s="83"/>
      <c r="B6" s="117" t="s">
        <v>185</v>
      </c>
      <c r="C6" s="117" t="s">
        <v>157</v>
      </c>
      <c r="D6" s="117" t="s">
        <v>166</v>
      </c>
      <c r="E6" s="117" t="s">
        <v>141</v>
      </c>
      <c r="F6" s="44"/>
      <c r="G6" s="118" t="s">
        <v>183</v>
      </c>
      <c r="H6" s="54"/>
      <c r="I6" s="83"/>
      <c r="J6" s="83"/>
      <c r="K6" s="83"/>
      <c r="L6" s="83"/>
      <c r="M6" s="83"/>
      <c r="N6" s="83"/>
      <c r="O6" s="83"/>
      <c r="P6" s="83"/>
      <c r="Q6" s="83"/>
      <c r="R6" s="83"/>
      <c r="S6" s="83"/>
      <c r="T6" s="83"/>
    </row>
    <row r="7" spans="1:20">
      <c r="A7" s="83"/>
      <c r="B7" s="119" t="s">
        <v>180</v>
      </c>
      <c r="C7" s="90">
        <f>DCF!D54</f>
        <v>80.171115899220169</v>
      </c>
      <c r="D7" s="87">
        <f>(C7-$C$12)/$C$12</f>
        <v>-2.9405376522758177E-2</v>
      </c>
      <c r="E7" s="120">
        <v>0.3</v>
      </c>
      <c r="F7" s="83"/>
      <c r="G7" s="119" t="s">
        <v>168</v>
      </c>
      <c r="H7" s="121">
        <v>70</v>
      </c>
      <c r="I7" s="83"/>
      <c r="J7" s="83"/>
      <c r="K7" s="83"/>
      <c r="L7" s="83"/>
      <c r="M7" s="83"/>
      <c r="N7" s="83"/>
      <c r="O7" s="83"/>
      <c r="P7" s="83"/>
      <c r="Q7" s="83"/>
      <c r="R7" s="83"/>
      <c r="S7" s="83"/>
      <c r="T7" s="83"/>
    </row>
    <row r="8" spans="1:20">
      <c r="A8" s="83"/>
      <c r="B8" s="119" t="s">
        <v>1</v>
      </c>
      <c r="C8" s="90" t="s">
        <v>381</v>
      </c>
      <c r="D8" s="87" t="s">
        <v>381</v>
      </c>
      <c r="E8" s="120">
        <v>0</v>
      </c>
      <c r="F8" s="83"/>
      <c r="G8" s="119" t="s">
        <v>169</v>
      </c>
      <c r="H8" s="121">
        <v>86</v>
      </c>
      <c r="I8" s="83"/>
      <c r="J8" s="83"/>
      <c r="K8" s="83"/>
      <c r="L8" s="83"/>
      <c r="M8" s="83"/>
      <c r="N8" s="83"/>
      <c r="O8" s="83"/>
      <c r="P8" s="83"/>
      <c r="Q8" s="83"/>
      <c r="R8" s="83"/>
      <c r="S8" s="83"/>
      <c r="T8" s="83"/>
    </row>
    <row r="9" spans="1:20">
      <c r="A9" s="83"/>
      <c r="B9" s="119" t="s">
        <v>2</v>
      </c>
      <c r="C9" s="90">
        <f>'Comparable - changed weights'!N29</f>
        <v>110.38140050695353</v>
      </c>
      <c r="D9" s="87">
        <f>(C9-$C$12)/$C$12</f>
        <v>0.33633656788079336</v>
      </c>
      <c r="E9" s="120">
        <v>0.3</v>
      </c>
      <c r="F9" s="83"/>
      <c r="G9" s="119" t="s">
        <v>167</v>
      </c>
      <c r="H9" s="121">
        <v>105</v>
      </c>
      <c r="I9" s="83"/>
      <c r="J9" s="83"/>
      <c r="K9" s="83"/>
      <c r="L9" s="83"/>
      <c r="M9" s="83"/>
      <c r="N9" s="83"/>
      <c r="O9" s="83"/>
      <c r="P9" s="83"/>
      <c r="Q9" s="83"/>
      <c r="R9" s="83"/>
      <c r="S9" s="83"/>
      <c r="T9" s="83"/>
    </row>
    <row r="10" spans="1:20">
      <c r="A10" s="83"/>
      <c r="B10" s="119" t="s">
        <v>3</v>
      </c>
      <c r="C10" s="90">
        <f>'Historical PE'!C21</f>
        <v>94.056300656073148</v>
      </c>
      <c r="D10" s="87">
        <f>(C10-$C$12)/$C$12</f>
        <v>0.13869613385076457</v>
      </c>
      <c r="E10" s="120">
        <v>0.4</v>
      </c>
      <c r="F10" s="83"/>
      <c r="G10" s="83"/>
      <c r="H10" s="83"/>
      <c r="I10" s="83"/>
      <c r="J10" s="83"/>
      <c r="K10" s="83"/>
      <c r="L10" s="83"/>
      <c r="M10" s="83"/>
      <c r="N10" s="83"/>
      <c r="O10" s="83"/>
      <c r="P10" s="83"/>
      <c r="Q10" s="83"/>
      <c r="R10" s="83"/>
      <c r="S10" s="83"/>
      <c r="T10" s="83"/>
    </row>
    <row r="11" spans="1:20">
      <c r="A11" s="83"/>
      <c r="B11" s="122" t="s">
        <v>147</v>
      </c>
      <c r="C11" s="92">
        <f>SUMPRODUCT(C7:C10,E7:E10)</f>
        <v>94.78827518428136</v>
      </c>
      <c r="D11" s="88">
        <f>(C11-$C$12)/$C$12</f>
        <v>0.14755781094771631</v>
      </c>
      <c r="E11" s="86">
        <f>SUM(E7:E10)</f>
        <v>1</v>
      </c>
      <c r="F11" s="83"/>
      <c r="G11" s="83"/>
      <c r="H11" s="83"/>
      <c r="I11" s="83"/>
      <c r="J11" s="83"/>
      <c r="K11" s="83"/>
      <c r="L11" s="83"/>
      <c r="M11" s="83"/>
      <c r="N11" s="83"/>
      <c r="O11" s="83"/>
      <c r="P11" s="83"/>
      <c r="Q11" s="83"/>
      <c r="R11" s="83"/>
      <c r="S11" s="83"/>
      <c r="T11" s="83"/>
    </row>
    <row r="12" spans="1:20">
      <c r="A12" s="83"/>
      <c r="B12" s="123" t="s">
        <v>238</v>
      </c>
      <c r="C12" s="124">
        <v>82.6</v>
      </c>
      <c r="D12" s="77"/>
      <c r="E12" s="27"/>
      <c r="F12" s="83"/>
      <c r="G12" s="83"/>
      <c r="H12" s="83"/>
      <c r="I12" s="83"/>
      <c r="J12" s="83"/>
      <c r="K12" s="83"/>
      <c r="L12" s="83"/>
      <c r="M12" s="83"/>
      <c r="N12" s="83"/>
      <c r="O12" s="83"/>
      <c r="P12" s="83"/>
      <c r="Q12" s="83"/>
      <c r="R12" s="83"/>
      <c r="S12" s="83"/>
      <c r="T12" s="83"/>
    </row>
    <row r="13" spans="1:20">
      <c r="A13" s="83"/>
      <c r="B13" s="83"/>
      <c r="C13" s="83"/>
      <c r="D13" s="83"/>
      <c r="E13" s="83"/>
      <c r="F13" s="83"/>
      <c r="G13" s="83"/>
      <c r="H13" s="83"/>
      <c r="I13" s="83"/>
      <c r="J13" s="83"/>
      <c r="K13" s="83"/>
      <c r="L13" s="83"/>
      <c r="M13" s="83"/>
      <c r="N13" s="83"/>
      <c r="O13" s="83"/>
      <c r="P13" s="83"/>
      <c r="Q13" s="83"/>
      <c r="R13" s="83"/>
      <c r="S13" s="83"/>
      <c r="T13" s="83"/>
    </row>
    <row r="14" spans="1:20">
      <c r="A14" s="83"/>
      <c r="B14" s="117" t="s">
        <v>149</v>
      </c>
      <c r="C14" s="54"/>
      <c r="D14" s="83"/>
      <c r="E14" s="125" t="s">
        <v>206</v>
      </c>
      <c r="F14" s="40"/>
      <c r="G14" s="71"/>
      <c r="H14" s="40"/>
      <c r="I14" s="83"/>
      <c r="J14" s="83"/>
      <c r="K14" s="83"/>
      <c r="L14" s="83"/>
      <c r="M14" s="83"/>
      <c r="N14" s="83"/>
      <c r="O14" s="83"/>
      <c r="P14" s="83"/>
      <c r="Q14" s="83"/>
      <c r="R14" s="83"/>
      <c r="S14" s="83"/>
      <c r="T14" s="83"/>
    </row>
    <row r="15" spans="1:20">
      <c r="A15" s="83"/>
      <c r="B15" s="119" t="s">
        <v>150</v>
      </c>
      <c r="C15" s="115" t="s">
        <v>316</v>
      </c>
      <c r="D15" s="83"/>
      <c r="E15" s="483" t="s">
        <v>386</v>
      </c>
      <c r="F15" s="483"/>
      <c r="G15" s="483"/>
      <c r="H15" s="483"/>
      <c r="I15" s="83"/>
      <c r="J15" s="83"/>
      <c r="K15" s="83"/>
      <c r="L15" s="83"/>
      <c r="M15" s="83"/>
      <c r="N15" s="83"/>
      <c r="O15" s="83"/>
      <c r="P15" s="83"/>
      <c r="Q15" s="83"/>
      <c r="R15" s="83"/>
      <c r="S15" s="83"/>
      <c r="T15" s="83"/>
    </row>
    <row r="16" spans="1:20">
      <c r="A16" s="83"/>
      <c r="B16" s="119" t="s">
        <v>182</v>
      </c>
      <c r="C16" s="188">
        <v>42776</v>
      </c>
      <c r="D16" s="4"/>
      <c r="E16" s="483"/>
      <c r="F16" s="483"/>
      <c r="G16" s="483"/>
      <c r="H16" s="483"/>
      <c r="I16" s="83"/>
      <c r="J16" s="8"/>
      <c r="K16" s="8"/>
      <c r="L16" s="8"/>
      <c r="M16" s="83"/>
      <c r="N16" s="83"/>
      <c r="O16" s="83"/>
      <c r="P16" s="83"/>
      <c r="Q16" s="83"/>
      <c r="R16" s="83"/>
      <c r="S16" s="83"/>
      <c r="T16" s="83"/>
    </row>
    <row r="17" spans="1:20">
      <c r="A17" s="83"/>
      <c r="B17" s="119" t="s">
        <v>151</v>
      </c>
      <c r="C17" s="115" t="s">
        <v>317</v>
      </c>
      <c r="D17" s="4"/>
      <c r="E17" s="483"/>
      <c r="F17" s="483"/>
      <c r="G17" s="483"/>
      <c r="H17" s="483"/>
      <c r="I17" s="83"/>
      <c r="J17" s="8"/>
      <c r="K17" s="8"/>
      <c r="L17" s="8"/>
      <c r="M17" s="83"/>
      <c r="N17" s="83"/>
      <c r="O17" s="83"/>
      <c r="P17" s="83"/>
      <c r="Q17" s="83"/>
      <c r="R17" s="83"/>
      <c r="S17" s="83"/>
      <c r="T17" s="83"/>
    </row>
    <row r="18" spans="1:20">
      <c r="A18" s="83"/>
      <c r="B18" s="119" t="s">
        <v>232</v>
      </c>
      <c r="C18" s="115" t="s">
        <v>320</v>
      </c>
      <c r="D18" s="4"/>
      <c r="E18" s="483"/>
      <c r="F18" s="483"/>
      <c r="G18" s="483"/>
      <c r="H18" s="483"/>
      <c r="I18" s="83"/>
      <c r="J18" s="8"/>
      <c r="K18" s="8"/>
      <c r="L18" s="8"/>
      <c r="M18" s="83"/>
      <c r="N18" s="83"/>
      <c r="O18" s="83"/>
      <c r="P18" s="83"/>
      <c r="Q18" s="83"/>
      <c r="R18" s="83"/>
      <c r="S18" s="83"/>
      <c r="T18" s="83"/>
    </row>
    <row r="19" spans="1:20">
      <c r="A19" s="83"/>
      <c r="B19" s="119" t="s">
        <v>207</v>
      </c>
      <c r="C19" s="115" t="s">
        <v>318</v>
      </c>
      <c r="D19" s="4"/>
      <c r="E19" s="483"/>
      <c r="F19" s="483"/>
      <c r="G19" s="483"/>
      <c r="H19" s="483"/>
      <c r="I19" s="83"/>
      <c r="J19" s="8"/>
      <c r="K19" s="8"/>
      <c r="L19" s="8"/>
      <c r="M19" s="83"/>
      <c r="N19" s="83"/>
      <c r="O19" s="83"/>
      <c r="P19" s="83"/>
      <c r="Q19" s="83"/>
      <c r="R19" s="83"/>
      <c r="S19" s="83"/>
      <c r="T19" s="83"/>
    </row>
    <row r="20" spans="1:20">
      <c r="A20" s="83"/>
      <c r="B20" s="119" t="s">
        <v>215</v>
      </c>
      <c r="C20" s="80" t="s">
        <v>319</v>
      </c>
      <c r="D20" s="9"/>
      <c r="E20" s="483"/>
      <c r="F20" s="483"/>
      <c r="G20" s="483"/>
      <c r="H20" s="483"/>
      <c r="I20" s="83"/>
      <c r="J20" s="8"/>
      <c r="K20" s="8"/>
      <c r="L20" s="8"/>
      <c r="M20" s="83"/>
      <c r="N20" s="83"/>
      <c r="O20" s="83"/>
      <c r="P20" s="83"/>
      <c r="Q20" s="83"/>
      <c r="R20" s="83"/>
      <c r="S20" s="83"/>
      <c r="T20" s="83"/>
    </row>
    <row r="21" spans="1:20">
      <c r="A21" s="83"/>
      <c r="B21" s="83"/>
      <c r="C21" s="83"/>
      <c r="D21" s="4"/>
      <c r="E21" s="483"/>
      <c r="F21" s="483"/>
      <c r="G21" s="483"/>
      <c r="H21" s="483"/>
      <c r="I21" s="83"/>
      <c r="J21" s="8"/>
      <c r="K21" s="8"/>
      <c r="L21" s="8"/>
      <c r="M21" s="83"/>
      <c r="N21" s="83"/>
      <c r="O21" s="83"/>
      <c r="P21" s="83"/>
      <c r="Q21" s="83"/>
      <c r="R21" s="83"/>
      <c r="S21" s="83"/>
      <c r="T21" s="83"/>
    </row>
    <row r="22" spans="1:20">
      <c r="A22" s="83"/>
      <c r="B22" s="117" t="s">
        <v>152</v>
      </c>
      <c r="C22" s="68"/>
      <c r="D22" s="83"/>
      <c r="E22" s="483"/>
      <c r="F22" s="483"/>
      <c r="G22" s="483"/>
      <c r="H22" s="483"/>
      <c r="I22" s="83"/>
      <c r="J22" s="8"/>
      <c r="K22" s="8"/>
      <c r="L22" s="8"/>
      <c r="M22" s="83"/>
      <c r="N22" s="83"/>
      <c r="O22" s="83"/>
      <c r="P22" s="83"/>
      <c r="Q22" s="83"/>
      <c r="R22" s="83"/>
      <c r="S22" s="83"/>
      <c r="T22" s="83"/>
    </row>
    <row r="23" spans="1:20">
      <c r="A23" s="83"/>
      <c r="B23" s="119" t="s">
        <v>153</v>
      </c>
      <c r="C23" s="119" t="s">
        <v>154</v>
      </c>
      <c r="D23" s="10"/>
      <c r="E23" s="483"/>
      <c r="F23" s="483"/>
      <c r="G23" s="483"/>
      <c r="H23" s="483"/>
      <c r="I23" s="83"/>
      <c r="J23" s="8"/>
      <c r="K23" s="8"/>
      <c r="L23" s="8"/>
      <c r="M23" s="83"/>
      <c r="N23" s="83"/>
      <c r="O23" s="83"/>
      <c r="P23" s="83"/>
      <c r="Q23" s="83"/>
      <c r="R23" s="83"/>
      <c r="S23" s="83"/>
      <c r="T23" s="83"/>
    </row>
    <row r="24" spans="1:20">
      <c r="A24" s="83"/>
      <c r="B24" s="69" t="str">
        <f>B26</f>
        <v>Green</v>
      </c>
      <c r="C24" s="69" t="str">
        <f>C26</f>
        <v>Link</v>
      </c>
      <c r="D24" s="10"/>
      <c r="E24" s="483"/>
      <c r="F24" s="483"/>
      <c r="G24" s="483"/>
      <c r="H24" s="483"/>
      <c r="I24" s="83"/>
      <c r="J24" s="8"/>
      <c r="K24" s="8"/>
      <c r="L24" s="8"/>
      <c r="M24" s="83"/>
      <c r="N24" s="83"/>
      <c r="O24" s="83"/>
      <c r="P24" s="83"/>
      <c r="Q24" s="83"/>
      <c r="R24" s="83"/>
      <c r="S24" s="83"/>
      <c r="T24" s="83"/>
    </row>
    <row r="25" spans="1:20">
      <c r="A25" s="83"/>
      <c r="B25" s="76" t="str">
        <f>"Black"</f>
        <v>Black</v>
      </c>
      <c r="C25" s="76" t="str">
        <f>"Equation"</f>
        <v>Equation</v>
      </c>
      <c r="D25" s="4"/>
      <c r="E25" s="483"/>
      <c r="F25" s="483"/>
      <c r="G25" s="483"/>
      <c r="H25" s="483"/>
      <c r="I25" s="83"/>
      <c r="J25" s="8"/>
      <c r="K25" s="8"/>
      <c r="L25" s="8"/>
      <c r="M25" s="83"/>
      <c r="N25" s="83"/>
      <c r="O25" s="83"/>
      <c r="P25" s="83"/>
      <c r="Q25" s="83"/>
      <c r="R25" s="83"/>
      <c r="S25" s="83"/>
      <c r="T25" s="83"/>
    </row>
    <row r="26" spans="1:20" hidden="1">
      <c r="A26" s="83"/>
      <c r="B26" s="126" t="s">
        <v>155</v>
      </c>
      <c r="C26" s="126" t="s">
        <v>156</v>
      </c>
      <c r="D26" s="4"/>
      <c r="E26" s="483"/>
      <c r="F26" s="483"/>
      <c r="G26" s="483"/>
      <c r="H26" s="483"/>
      <c r="I26" s="83"/>
      <c r="J26" s="8"/>
      <c r="K26" s="8"/>
      <c r="L26" s="8"/>
      <c r="M26" s="83"/>
      <c r="N26" s="83"/>
      <c r="O26" s="83"/>
      <c r="P26" s="83"/>
      <c r="Q26" s="83"/>
      <c r="R26" s="83"/>
      <c r="S26" s="83"/>
      <c r="T26" s="83"/>
    </row>
    <row r="27" spans="1:20">
      <c r="A27" s="83"/>
      <c r="B27" s="83"/>
      <c r="C27" s="83"/>
      <c r="D27" s="4"/>
      <c r="E27" s="483"/>
      <c r="F27" s="483"/>
      <c r="G27" s="483"/>
      <c r="H27" s="483"/>
      <c r="I27" s="83"/>
      <c r="J27" s="8"/>
      <c r="K27" s="8"/>
      <c r="L27" s="8"/>
      <c r="M27" s="83"/>
      <c r="N27" s="83"/>
      <c r="O27" s="83"/>
      <c r="P27" s="83"/>
      <c r="Q27" s="83"/>
      <c r="R27" s="83"/>
      <c r="S27" s="83"/>
      <c r="T27" s="83"/>
    </row>
    <row r="28" spans="1:20">
      <c r="A28" s="83"/>
      <c r="B28" s="127" t="s">
        <v>70</v>
      </c>
      <c r="C28" s="81">
        <f>C11</f>
        <v>94.78827518428136</v>
      </c>
      <c r="D28" s="83"/>
      <c r="E28" s="483"/>
      <c r="F28" s="483"/>
      <c r="G28" s="483"/>
      <c r="H28" s="483"/>
      <c r="I28" s="83"/>
      <c r="J28" s="8"/>
      <c r="K28" s="8"/>
      <c r="L28" s="8"/>
      <c r="M28" s="83"/>
      <c r="N28" s="83"/>
      <c r="O28" s="83"/>
      <c r="P28" s="83"/>
      <c r="Q28" s="83"/>
      <c r="R28" s="83"/>
      <c r="S28" s="83"/>
      <c r="T28" s="83"/>
    </row>
    <row r="29" spans="1:20">
      <c r="A29" s="83"/>
      <c r="B29" s="93">
        <f t="shared" ref="B29:B30" si="0">B30-5</f>
        <v>62.180000000000007</v>
      </c>
      <c r="C29" s="93">
        <f t="dataTable" ref="C29:C35" dt2D="0" dtr="0" r1="C12"/>
        <v>94.901704095439456</v>
      </c>
      <c r="D29" s="83"/>
      <c r="E29" s="483"/>
      <c r="F29" s="483"/>
      <c r="G29" s="483"/>
      <c r="H29" s="483"/>
      <c r="I29" s="83"/>
      <c r="J29" s="8"/>
      <c r="K29" s="8"/>
      <c r="L29" s="8"/>
      <c r="M29" s="83"/>
      <c r="N29" s="83"/>
      <c r="O29" s="83"/>
      <c r="P29" s="83"/>
      <c r="Q29" s="83"/>
      <c r="R29" s="83"/>
      <c r="S29" s="83"/>
      <c r="T29" s="83"/>
    </row>
    <row r="30" spans="1:20">
      <c r="A30" s="83"/>
      <c r="B30" s="93">
        <f t="shared" si="0"/>
        <v>67.180000000000007</v>
      </c>
      <c r="C30" s="93">
        <v>94.867912915164482</v>
      </c>
      <c r="D30" s="11"/>
      <c r="E30" s="483"/>
      <c r="F30" s="483"/>
      <c r="G30" s="483"/>
      <c r="H30" s="483"/>
      <c r="I30" s="83"/>
      <c r="J30" s="8"/>
      <c r="K30" s="8"/>
      <c r="L30" s="8"/>
      <c r="M30" s="83"/>
      <c r="N30" s="83"/>
      <c r="O30" s="83"/>
      <c r="P30" s="83"/>
      <c r="Q30" s="83"/>
      <c r="R30" s="83"/>
      <c r="S30" s="83"/>
      <c r="T30" s="83"/>
    </row>
    <row r="31" spans="1:20">
      <c r="A31" s="83"/>
      <c r="B31" s="93">
        <f>B32-5</f>
        <v>72.180000000000007</v>
      </c>
      <c r="C31" s="93">
        <v>94.838557713146315</v>
      </c>
      <c r="D31" s="83"/>
      <c r="E31" s="483"/>
      <c r="F31" s="483"/>
      <c r="G31" s="483"/>
      <c r="H31" s="483"/>
      <c r="I31" s="83"/>
      <c r="J31" s="8"/>
      <c r="K31" s="8"/>
      <c r="L31" s="8"/>
      <c r="M31" s="83"/>
      <c r="N31" s="83"/>
      <c r="O31" s="83"/>
      <c r="P31" s="83"/>
      <c r="Q31" s="83"/>
      <c r="R31" s="83"/>
      <c r="S31" s="83"/>
      <c r="T31" s="83"/>
    </row>
    <row r="32" spans="1:20">
      <c r="A32" s="83"/>
      <c r="B32" s="121">
        <v>77.180000000000007</v>
      </c>
      <c r="C32" s="94">
        <v>94.812818805437942</v>
      </c>
      <c r="D32" s="83"/>
      <c r="E32" s="483"/>
      <c r="F32" s="483"/>
      <c r="G32" s="483"/>
      <c r="H32" s="483"/>
      <c r="I32" s="83"/>
      <c r="J32" s="8"/>
      <c r="K32" s="8"/>
      <c r="L32" s="8"/>
      <c r="M32" s="83"/>
      <c r="N32" s="83"/>
      <c r="O32" s="83"/>
      <c r="P32" s="83"/>
      <c r="Q32" s="83"/>
      <c r="R32" s="83"/>
      <c r="S32" s="83"/>
      <c r="T32" s="83"/>
    </row>
    <row r="33" spans="1:20">
      <c r="A33" s="83"/>
      <c r="B33" s="93">
        <f>B32+5</f>
        <v>82.18</v>
      </c>
      <c r="C33" s="93">
        <v>94.790066736164434</v>
      </c>
      <c r="D33" s="83"/>
      <c r="E33" s="483"/>
      <c r="F33" s="483"/>
      <c r="G33" s="483"/>
      <c r="H33" s="483"/>
      <c r="I33" s="83"/>
      <c r="J33" s="8"/>
      <c r="K33" s="8"/>
      <c r="L33" s="8"/>
      <c r="M33" s="83"/>
      <c r="N33" s="83"/>
      <c r="O33" s="83"/>
      <c r="P33" s="83"/>
      <c r="Q33" s="83"/>
      <c r="R33" s="83"/>
      <c r="S33" s="83"/>
      <c r="T33" s="83"/>
    </row>
    <row r="34" spans="1:20">
      <c r="A34" s="83"/>
      <c r="B34" s="93">
        <f t="shared" ref="B34:B35" si="1">B33+5</f>
        <v>87.18</v>
      </c>
      <c r="C34" s="93">
        <v>94.769810120689641</v>
      </c>
      <c r="D34" s="83"/>
      <c r="E34" s="483"/>
      <c r="F34" s="483"/>
      <c r="G34" s="483"/>
      <c r="H34" s="483"/>
      <c r="I34" s="83"/>
      <c r="J34" s="8"/>
      <c r="K34" s="8"/>
      <c r="L34" s="8"/>
      <c r="M34" s="83"/>
      <c r="N34" s="83"/>
      <c r="O34" s="83"/>
      <c r="P34" s="83"/>
      <c r="Q34" s="83"/>
      <c r="R34" s="83"/>
      <c r="S34" s="83"/>
      <c r="T34" s="83"/>
    </row>
    <row r="35" spans="1:20">
      <c r="A35" s="83"/>
      <c r="B35" s="93">
        <f t="shared" si="1"/>
        <v>92.18</v>
      </c>
      <c r="C35" s="93">
        <v>94.75165975687942</v>
      </c>
      <c r="D35" s="83"/>
      <c r="E35" s="484"/>
      <c r="F35" s="484"/>
      <c r="G35" s="484"/>
      <c r="H35" s="484"/>
      <c r="I35" s="83"/>
      <c r="J35" s="8"/>
      <c r="K35" s="8"/>
      <c r="L35" s="8"/>
      <c r="M35" s="83"/>
      <c r="N35" s="83"/>
      <c r="O35" s="83"/>
      <c r="P35" s="83"/>
      <c r="Q35" s="83"/>
      <c r="R35" s="83"/>
      <c r="S35" s="83"/>
      <c r="T35" s="83"/>
    </row>
    <row r="36" spans="1:20">
      <c r="A36" s="83"/>
      <c r="B36" s="83"/>
      <c r="C36" s="83"/>
      <c r="D36" s="83"/>
      <c r="E36" s="324"/>
      <c r="F36" s="83"/>
      <c r="G36" s="83"/>
      <c r="H36" s="83"/>
      <c r="I36" s="83"/>
      <c r="J36" s="8"/>
      <c r="K36" s="8"/>
      <c r="L36" s="8"/>
      <c r="M36" s="83"/>
      <c r="N36" s="83"/>
      <c r="O36" s="83"/>
      <c r="P36" s="83"/>
      <c r="Q36" s="83"/>
      <c r="R36" s="83"/>
      <c r="S36" s="83"/>
      <c r="T36" s="83"/>
    </row>
    <row r="37" spans="1:20">
      <c r="A37" s="83"/>
      <c r="B37" s="83"/>
      <c r="C37" s="83"/>
      <c r="D37" s="83"/>
      <c r="E37" s="83"/>
      <c r="F37" s="83"/>
      <c r="G37" s="83"/>
      <c r="H37" s="83"/>
      <c r="I37" s="83"/>
      <c r="J37" s="8"/>
      <c r="K37" s="8"/>
      <c r="L37" s="8"/>
      <c r="M37" s="83"/>
      <c r="N37" s="83"/>
      <c r="O37" s="83"/>
      <c r="P37" s="83"/>
      <c r="Q37" s="83"/>
      <c r="R37" s="83"/>
      <c r="S37" s="83"/>
      <c r="T37" s="83"/>
    </row>
    <row r="38" spans="1:20">
      <c r="A38" s="83"/>
      <c r="B38" s="83"/>
      <c r="C38" s="83"/>
      <c r="D38" s="83"/>
      <c r="E38" s="83"/>
      <c r="F38" s="83"/>
      <c r="G38" s="83"/>
      <c r="H38" s="83"/>
      <c r="I38" s="83"/>
      <c r="J38" s="8"/>
      <c r="K38" s="8"/>
      <c r="L38" s="8"/>
      <c r="M38" s="83"/>
      <c r="N38" s="83"/>
      <c r="O38" s="83"/>
      <c r="P38" s="83"/>
      <c r="Q38" s="83"/>
      <c r="R38" s="83"/>
      <c r="S38" s="83"/>
      <c r="T38" s="83"/>
    </row>
    <row r="39" spans="1:20">
      <c r="A39" s="83"/>
      <c r="B39" s="83"/>
      <c r="C39" s="83"/>
      <c r="D39" s="83"/>
      <c r="E39" s="8"/>
      <c r="F39" s="8"/>
      <c r="G39" s="8"/>
      <c r="H39" s="8"/>
      <c r="I39" s="8"/>
      <c r="J39" s="8"/>
      <c r="K39" s="8"/>
      <c r="L39" s="8"/>
      <c r="M39" s="83"/>
      <c r="N39" s="83"/>
      <c r="O39" s="83"/>
      <c r="P39" s="83"/>
      <c r="Q39" s="83"/>
      <c r="R39" s="83"/>
      <c r="S39" s="83"/>
      <c r="T39" s="83"/>
    </row>
  </sheetData>
  <scenarios current="2" show="2" sqref="J6">
    <scenario name="Minimal M-M Growth DCF" locked="1" count="3" user="Francis Thelen" comment="Created by Francis Thelen on 5/21/2016_x000a__x000a_Modified by Francis Thelen on 5/24/2016">
      <inputCells r="E7" val="0.3" numFmtId="10"/>
      <inputCells r="E9" val="0.15" numFmtId="10"/>
      <inputCells r="E10" val="0.15" numFmtId="10"/>
    </scenario>
    <scenario name="Normal" locked="1" count="3" user="Francis Thelen" comment="Created by Francis Thelen on 5/21/2016">
      <inputCells r="E7" val="0.2" numFmtId="10"/>
      <inputCells r="E9" val="0.2" numFmtId="10"/>
      <inputCells r="E10" val="0.2" numFmtId="10"/>
    </scenario>
    <scenario name="Equal" locked="1" count="3" user="Francis Thelen" comment="Created by Francis Thelen on 5/21/2016">
      <inputCells r="E7" val="0.2" numFmtId="10"/>
      <inputCells r="E9" val="0.2" numFmtId="10"/>
      <inputCells r="E10" val="0.2" numFmtId="10"/>
    </scenario>
  </scenarios>
  <mergeCells count="1">
    <mergeCell ref="E15:H35"/>
  </mergeCells>
  <conditionalFormatting sqref="B7:D10 B23:C26 B11:C11 B12 D12:E12">
    <cfRule type="expression" dxfId="28" priority="16">
      <formula>MOD(ROW(),2)=0</formula>
    </cfRule>
  </conditionalFormatting>
  <conditionalFormatting sqref="G7:G9">
    <cfRule type="expression" dxfId="27" priority="9">
      <formula>MOD(ROW(),2)=0</formula>
    </cfRule>
  </conditionalFormatting>
  <conditionalFormatting sqref="B15:B20">
    <cfRule type="expression" dxfId="26" priority="8">
      <formula>MOD(ROW(),2)=0</formula>
    </cfRule>
  </conditionalFormatting>
  <conditionalFormatting sqref="B29:C31 B33:C35">
    <cfRule type="expression" dxfId="25" priority="6">
      <formula>MOD(ROW(),2)=0</formula>
    </cfRule>
  </conditionalFormatting>
  <pageMargins left="0.7" right="0.7" top="0.75" bottom="0.75" header="0.3" footer="0.3"/>
  <pageSetup fitToWidth="0" fitToHeight="0"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9" tint="0.39997558519241921"/>
  </sheetPr>
  <dimension ref="A1:Q52"/>
  <sheetViews>
    <sheetView showGridLines="0" zoomScale="77" zoomScaleNormal="77" workbookViewId="0">
      <pane xSplit="2" ySplit="6" topLeftCell="C7" activePane="bottomRight" state="frozen"/>
      <selection pane="topRight" activeCell="C1" sqref="C1"/>
      <selection pane="bottomLeft" activeCell="A7" sqref="A7"/>
      <selection pane="bottomRight" activeCell="J53" sqref="J53"/>
    </sheetView>
  </sheetViews>
  <sheetFormatPr defaultRowHeight="15"/>
  <cols>
    <col min="1" max="1" width="1.7109375" customWidth="1"/>
    <col min="2" max="2" width="39.7109375" customWidth="1"/>
    <col min="3" max="4" width="11.85546875" bestFit="1" customWidth="1"/>
    <col min="5" max="7" width="12.42578125" bestFit="1" customWidth="1"/>
    <col min="8" max="8" width="1.7109375" customWidth="1"/>
    <col min="9" max="10" width="13.140625" bestFit="1" customWidth="1"/>
    <col min="11" max="12" width="12.42578125" bestFit="1" customWidth="1"/>
    <col min="13" max="13" width="1.7109375" customWidth="1"/>
    <col min="14" max="14" width="13.140625" bestFit="1" customWidth="1"/>
    <col min="15" max="16" width="12.42578125" bestFit="1" customWidth="1"/>
  </cols>
  <sheetData>
    <row r="1" spans="1:17" s="1" customFormat="1" ht="23.25">
      <c r="A1" s="324"/>
      <c r="B1" s="268" t="str">
        <f>Valuation!B1</f>
        <v>RHT</v>
      </c>
      <c r="C1" s="450"/>
      <c r="D1" s="450"/>
      <c r="E1" s="450"/>
      <c r="F1" s="450"/>
      <c r="G1" s="450"/>
      <c r="H1" s="324"/>
      <c r="I1" s="450"/>
      <c r="J1" s="450"/>
      <c r="K1" s="450"/>
      <c r="L1" s="450"/>
      <c r="M1" s="324"/>
      <c r="N1" s="450"/>
      <c r="O1" s="450"/>
      <c r="P1" s="324"/>
      <c r="Q1" s="324"/>
    </row>
    <row r="2" spans="1:17" s="1" customFormat="1">
      <c r="A2" s="324"/>
      <c r="B2" s="269" t="str">
        <f>Valuation!B2</f>
        <v>Red Hat .Inc</v>
      </c>
      <c r="C2" s="324"/>
      <c r="D2" s="450"/>
      <c r="E2" s="324"/>
      <c r="F2" s="324"/>
      <c r="G2" s="324"/>
      <c r="H2" s="324"/>
      <c r="I2" s="324"/>
      <c r="J2" s="324"/>
      <c r="K2" s="324"/>
      <c r="L2" s="324"/>
      <c r="M2" s="324"/>
      <c r="N2" s="324"/>
      <c r="O2" s="324"/>
      <c r="P2" s="324"/>
      <c r="Q2" s="324"/>
    </row>
    <row r="3" spans="1:17" s="1" customFormat="1" ht="3" customHeight="1">
      <c r="A3" s="324"/>
      <c r="B3" s="242"/>
      <c r="C3" s="242"/>
      <c r="D3" s="242"/>
      <c r="E3" s="242"/>
      <c r="F3" s="242"/>
      <c r="G3" s="242"/>
      <c r="H3" s="242"/>
      <c r="I3" s="242"/>
      <c r="J3" s="242"/>
      <c r="K3" s="242"/>
      <c r="L3" s="242"/>
      <c r="M3" s="242"/>
      <c r="N3" s="242"/>
      <c r="O3" s="242"/>
      <c r="P3" s="242"/>
      <c r="Q3" s="324"/>
    </row>
    <row r="4" spans="1:17" s="1" customFormat="1">
      <c r="A4" s="324"/>
      <c r="B4" s="198" t="s">
        <v>235</v>
      </c>
      <c r="C4" s="324"/>
      <c r="D4" s="450"/>
      <c r="E4" s="324"/>
      <c r="F4" s="324"/>
      <c r="G4" s="324"/>
      <c r="H4" s="324"/>
      <c r="I4" s="324"/>
      <c r="J4" s="324"/>
      <c r="K4" s="324"/>
      <c r="L4" s="324"/>
      <c r="M4" s="324"/>
      <c r="N4" s="324"/>
      <c r="O4" s="324"/>
      <c r="P4" s="324"/>
      <c r="Q4" s="324"/>
    </row>
    <row r="5" spans="1:17" s="1" customFormat="1">
      <c r="A5" s="324"/>
      <c r="B5" s="324"/>
      <c r="C5" s="324"/>
      <c r="D5" s="450"/>
      <c r="E5" s="324"/>
      <c r="F5" s="324"/>
      <c r="G5" s="324"/>
      <c r="H5" s="324"/>
      <c r="I5" s="324"/>
      <c r="J5" s="324"/>
      <c r="K5" s="324"/>
      <c r="L5" s="324"/>
      <c r="M5" s="324"/>
      <c r="N5" s="324"/>
      <c r="O5" s="324"/>
      <c r="P5" s="324"/>
      <c r="Q5" s="324"/>
    </row>
    <row r="6" spans="1:17" s="1" customFormat="1">
      <c r="A6" s="324"/>
      <c r="B6" s="128" t="s">
        <v>17</v>
      </c>
      <c r="C6" s="285">
        <f>CF!C6</f>
        <v>2012</v>
      </c>
      <c r="D6" s="285">
        <f>CF!D6</f>
        <v>2013</v>
      </c>
      <c r="E6" s="285">
        <f>CF!E6</f>
        <v>2014</v>
      </c>
      <c r="F6" s="285">
        <f>CF!F6</f>
        <v>2015</v>
      </c>
      <c r="G6" s="285">
        <f>CF!G6</f>
        <v>2016</v>
      </c>
      <c r="H6" s="324"/>
      <c r="I6" s="293" t="str">
        <f>"FY"&amp;G6&amp;"Q1"</f>
        <v>FY2016Q1</v>
      </c>
      <c r="J6" s="293" t="str">
        <f>"FY"&amp;G6&amp;"Q2"</f>
        <v>FY2016Q2</v>
      </c>
      <c r="K6" s="293" t="str">
        <f>"FY"&amp;G6&amp;"Q3"</f>
        <v>FY2016Q3</v>
      </c>
      <c r="L6" s="293" t="str">
        <f>"FY"&amp;G6&amp;"Q4"</f>
        <v>FY2016Q4</v>
      </c>
      <c r="M6" s="324"/>
      <c r="N6" s="293" t="str">
        <f>"FY"&amp;G6+1&amp;"Q1"</f>
        <v>FY2017Q1</v>
      </c>
      <c r="O6" s="293" t="str">
        <f>"FY"&amp;G6+1&amp;"Q2"</f>
        <v>FY2017Q2</v>
      </c>
      <c r="P6" s="293" t="str">
        <f>"FY"&amp;G6+1&amp;"Q3"</f>
        <v>FY2017Q3</v>
      </c>
      <c r="Q6" s="324"/>
    </row>
    <row r="7" spans="1:17">
      <c r="A7" s="324"/>
      <c r="B7" s="198" t="s">
        <v>4</v>
      </c>
      <c r="C7" s="399">
        <v>549217</v>
      </c>
      <c r="D7" s="399">
        <v>487084</v>
      </c>
      <c r="E7" s="399">
        <v>646742</v>
      </c>
      <c r="F7" s="399">
        <v>1047473</v>
      </c>
      <c r="G7" s="399">
        <v>927778</v>
      </c>
      <c r="H7" s="380"/>
      <c r="I7" s="400">
        <v>990922</v>
      </c>
      <c r="J7" s="400">
        <v>991607</v>
      </c>
      <c r="K7" s="399">
        <v>942037</v>
      </c>
      <c r="L7" s="399">
        <v>927778</v>
      </c>
      <c r="M7" s="380"/>
      <c r="N7" s="401">
        <v>1031565</v>
      </c>
      <c r="O7" s="399">
        <v>970569</v>
      </c>
      <c r="P7" s="399">
        <v>916678</v>
      </c>
      <c r="Q7" s="324"/>
    </row>
    <row r="8" spans="1:17" s="189" customFormat="1">
      <c r="A8" s="186"/>
      <c r="B8" s="384" t="s">
        <v>275</v>
      </c>
      <c r="C8" s="402">
        <v>264298</v>
      </c>
      <c r="D8" s="402">
        <v>392381</v>
      </c>
      <c r="E8" s="402">
        <v>335387</v>
      </c>
      <c r="F8" s="402">
        <v>215254</v>
      </c>
      <c r="G8" s="402">
        <v>281142</v>
      </c>
      <c r="H8" s="403"/>
      <c r="I8" s="404">
        <v>192818</v>
      </c>
      <c r="J8" s="404">
        <v>180806</v>
      </c>
      <c r="K8" s="402">
        <v>193993</v>
      </c>
      <c r="L8" s="402">
        <v>281142</v>
      </c>
      <c r="M8" s="403"/>
      <c r="N8" s="404">
        <v>364850</v>
      </c>
      <c r="O8" s="402">
        <v>365128</v>
      </c>
      <c r="P8" s="402">
        <v>378189</v>
      </c>
      <c r="Q8" s="186"/>
    </row>
    <row r="9" spans="1:17">
      <c r="A9" s="324"/>
      <c r="B9" s="198" t="s">
        <v>276</v>
      </c>
      <c r="C9" s="399">
        <v>813515</v>
      </c>
      <c r="D9" s="399">
        <v>879465</v>
      </c>
      <c r="E9" s="399">
        <v>982129</v>
      </c>
      <c r="F9" s="399">
        <v>1262727</v>
      </c>
      <c r="G9" s="399">
        <v>1208920</v>
      </c>
      <c r="H9" s="380"/>
      <c r="I9" s="400">
        <v>1183740</v>
      </c>
      <c r="J9" s="400">
        <v>1172413</v>
      </c>
      <c r="K9" s="399">
        <v>1136030</v>
      </c>
      <c r="L9" s="399">
        <v>1208920</v>
      </c>
      <c r="M9" s="380"/>
      <c r="N9" s="401">
        <v>1396415</v>
      </c>
      <c r="O9" s="399">
        <v>1335697</v>
      </c>
      <c r="P9" s="399">
        <v>1294867</v>
      </c>
      <c r="Q9" s="324"/>
    </row>
    <row r="10" spans="1:17" s="189" customFormat="1">
      <c r="A10" s="186"/>
      <c r="B10" s="384" t="s">
        <v>277</v>
      </c>
      <c r="C10" s="402">
        <v>255180</v>
      </c>
      <c r="D10" s="402">
        <v>302942</v>
      </c>
      <c r="E10" s="402">
        <v>360594</v>
      </c>
      <c r="F10" s="402">
        <v>468021</v>
      </c>
      <c r="G10" s="402">
        <v>509715</v>
      </c>
      <c r="H10" s="403"/>
      <c r="I10" s="404">
        <v>284582</v>
      </c>
      <c r="J10" s="404">
        <v>302098</v>
      </c>
      <c r="K10" s="402">
        <v>396545</v>
      </c>
      <c r="L10" s="402">
        <v>509715</v>
      </c>
      <c r="M10" s="403"/>
      <c r="N10" s="404">
        <v>326334</v>
      </c>
      <c r="O10" s="402">
        <v>359893</v>
      </c>
      <c r="P10" s="402">
        <v>427436</v>
      </c>
      <c r="Q10" s="186"/>
    </row>
    <row r="11" spans="1:17">
      <c r="A11" s="324"/>
      <c r="B11" s="198" t="s">
        <v>244</v>
      </c>
      <c r="C11" s="399">
        <v>69765</v>
      </c>
      <c r="D11" s="399">
        <v>88765</v>
      </c>
      <c r="E11" s="399">
        <v>108264</v>
      </c>
      <c r="F11" s="399">
        <v>86796</v>
      </c>
      <c r="G11" s="380"/>
      <c r="H11" s="380"/>
      <c r="I11" s="405"/>
      <c r="J11" s="405"/>
      <c r="K11" s="399">
        <v>104869</v>
      </c>
      <c r="L11" s="380"/>
      <c r="M11" s="380"/>
      <c r="N11" s="406"/>
      <c r="O11" s="380"/>
      <c r="P11" s="380"/>
      <c r="Q11" s="324"/>
    </row>
    <row r="12" spans="1:17" s="189" customFormat="1">
      <c r="A12" s="186"/>
      <c r="B12" s="384" t="s">
        <v>247</v>
      </c>
      <c r="C12" s="402">
        <v>81266</v>
      </c>
      <c r="D12" s="402">
        <v>94421</v>
      </c>
      <c r="E12" s="402">
        <v>118387</v>
      </c>
      <c r="F12" s="402">
        <v>150715</v>
      </c>
      <c r="G12" s="402">
        <v>32804</v>
      </c>
      <c r="H12" s="403"/>
      <c r="I12" s="404">
        <v>81782</v>
      </c>
      <c r="J12" s="404">
        <v>99184</v>
      </c>
      <c r="K12" s="402">
        <v>135402</v>
      </c>
      <c r="L12" s="402">
        <v>32804</v>
      </c>
      <c r="M12" s="403"/>
      <c r="N12" s="404">
        <v>159829</v>
      </c>
      <c r="O12" s="402">
        <v>149226</v>
      </c>
      <c r="P12" s="402">
        <v>156603</v>
      </c>
      <c r="Q12" s="186"/>
    </row>
    <row r="13" spans="1:17">
      <c r="A13" s="324"/>
      <c r="B13" s="198" t="s">
        <v>278</v>
      </c>
      <c r="C13" s="399">
        <v>1629</v>
      </c>
      <c r="D13" s="399">
        <v>3156</v>
      </c>
      <c r="E13" s="399">
        <v>1808</v>
      </c>
      <c r="F13" s="399">
        <v>1980</v>
      </c>
      <c r="G13" s="399">
        <v>120994</v>
      </c>
      <c r="H13" s="380"/>
      <c r="I13" s="400">
        <v>149163</v>
      </c>
      <c r="J13" s="400">
        <v>130413</v>
      </c>
      <c r="K13" s="399">
        <v>1095</v>
      </c>
      <c r="L13" s="399">
        <v>120994</v>
      </c>
      <c r="M13" s="380"/>
      <c r="N13" s="401">
        <v>1375</v>
      </c>
      <c r="O13" s="399">
        <v>3404</v>
      </c>
      <c r="P13" s="399">
        <v>1666</v>
      </c>
      <c r="Q13" s="324"/>
    </row>
    <row r="14" spans="1:17" s="189" customFormat="1">
      <c r="A14" s="186"/>
      <c r="B14" s="384" t="s">
        <v>279</v>
      </c>
      <c r="C14" s="402">
        <v>1221355</v>
      </c>
      <c r="D14" s="402">
        <v>1368749</v>
      </c>
      <c r="E14" s="402">
        <v>1571182</v>
      </c>
      <c r="F14" s="402">
        <v>1970239</v>
      </c>
      <c r="G14" s="402">
        <v>1872433</v>
      </c>
      <c r="H14" s="403"/>
      <c r="I14" s="404">
        <v>1647</v>
      </c>
      <c r="J14" s="404">
        <v>1853</v>
      </c>
      <c r="K14" s="402">
        <v>1773941</v>
      </c>
      <c r="L14" s="402">
        <v>1872433</v>
      </c>
      <c r="M14" s="403"/>
      <c r="N14" s="404">
        <v>1883953</v>
      </c>
      <c r="O14" s="402">
        <v>1848220</v>
      </c>
      <c r="P14" s="402">
        <v>1880572</v>
      </c>
      <c r="Q14" s="186"/>
    </row>
    <row r="15" spans="1:17">
      <c r="A15" s="324"/>
      <c r="B15" s="198" t="s">
        <v>280</v>
      </c>
      <c r="C15" s="380"/>
      <c r="D15" s="380"/>
      <c r="E15" s="380"/>
      <c r="F15" s="380"/>
      <c r="G15" s="380"/>
      <c r="H15" s="380"/>
      <c r="I15" s="406"/>
      <c r="J15" s="406"/>
      <c r="K15" s="380"/>
      <c r="L15" s="380"/>
      <c r="M15" s="380"/>
      <c r="N15" s="406"/>
      <c r="O15" s="380"/>
      <c r="P15" s="380"/>
      <c r="Q15" s="324"/>
    </row>
    <row r="16" spans="1:17" s="189" customFormat="1">
      <c r="A16" s="186"/>
      <c r="B16" s="384" t="s">
        <v>281</v>
      </c>
      <c r="C16" s="403"/>
      <c r="D16" s="403"/>
      <c r="E16" s="403"/>
      <c r="F16" s="403"/>
      <c r="G16" s="403"/>
      <c r="H16" s="403"/>
      <c r="I16" s="407"/>
      <c r="J16" s="407"/>
      <c r="K16" s="403"/>
      <c r="L16" s="403"/>
      <c r="M16" s="403"/>
      <c r="N16" s="407"/>
      <c r="O16" s="403"/>
      <c r="P16" s="403"/>
      <c r="Q16" s="186"/>
    </row>
    <row r="17" spans="1:17">
      <c r="A17" s="324"/>
      <c r="B17" s="198" t="s">
        <v>282</v>
      </c>
      <c r="C17" s="399">
        <v>255957</v>
      </c>
      <c r="D17" s="399">
        <v>331571</v>
      </c>
      <c r="E17" s="399">
        <v>383212</v>
      </c>
      <c r="F17" s="399">
        <v>362265</v>
      </c>
      <c r="G17" s="399">
        <v>361705</v>
      </c>
      <c r="H17" s="380"/>
      <c r="I17" s="406"/>
      <c r="J17" s="406"/>
      <c r="K17" s="399">
        <v>357285</v>
      </c>
      <c r="L17" s="399">
        <v>361705</v>
      </c>
      <c r="M17" s="380"/>
      <c r="N17" s="401">
        <v>376466</v>
      </c>
      <c r="O17" s="399">
        <v>393676</v>
      </c>
      <c r="P17" s="399">
        <v>402992</v>
      </c>
      <c r="Q17" s="324"/>
    </row>
    <row r="18" spans="1:17" s="189" customFormat="1">
      <c r="A18" s="186"/>
      <c r="B18" s="384" t="s">
        <v>283</v>
      </c>
      <c r="C18" s="402">
        <v>-163892</v>
      </c>
      <c r="D18" s="402">
        <v>-189985</v>
      </c>
      <c r="E18" s="402">
        <v>-209295</v>
      </c>
      <c r="F18" s="402">
        <v>-190114</v>
      </c>
      <c r="G18" s="402">
        <v>-194819</v>
      </c>
      <c r="H18" s="403"/>
      <c r="I18" s="407"/>
      <c r="J18" s="407"/>
      <c r="K18" s="402">
        <v>-196270</v>
      </c>
      <c r="L18" s="402">
        <v>-194819</v>
      </c>
      <c r="M18" s="403"/>
      <c r="N18" s="404">
        <v>-208451</v>
      </c>
      <c r="O18" s="402">
        <v>-221364</v>
      </c>
      <c r="P18" s="402">
        <v>-228542</v>
      </c>
      <c r="Q18" s="186"/>
    </row>
    <row r="19" spans="1:17">
      <c r="A19" s="324"/>
      <c r="B19" s="198" t="s">
        <v>284</v>
      </c>
      <c r="C19" s="399">
        <v>92065</v>
      </c>
      <c r="D19" s="399">
        <v>141586</v>
      </c>
      <c r="E19" s="399">
        <v>173917</v>
      </c>
      <c r="F19" s="399">
        <v>172151</v>
      </c>
      <c r="G19" s="399">
        <v>166886</v>
      </c>
      <c r="H19" s="380"/>
      <c r="I19" s="400">
        <v>1700914</v>
      </c>
      <c r="J19" s="400">
        <v>1705961</v>
      </c>
      <c r="K19" s="399">
        <v>161015</v>
      </c>
      <c r="L19" s="399">
        <v>166886</v>
      </c>
      <c r="M19" s="380"/>
      <c r="N19" s="401">
        <v>168015</v>
      </c>
      <c r="O19" s="399">
        <v>172312</v>
      </c>
      <c r="P19" s="399">
        <v>174450</v>
      </c>
      <c r="Q19" s="324"/>
    </row>
    <row r="20" spans="1:17" s="189" customFormat="1">
      <c r="A20" s="186"/>
      <c r="B20" s="384" t="s">
        <v>285</v>
      </c>
      <c r="C20" s="402">
        <v>446838</v>
      </c>
      <c r="D20" s="402">
        <v>438908</v>
      </c>
      <c r="E20" s="402">
        <v>505300</v>
      </c>
      <c r="F20" s="402">
        <v>574170</v>
      </c>
      <c r="G20" s="402">
        <v>802549</v>
      </c>
      <c r="H20" s="403"/>
      <c r="I20" s="404">
        <v>130722</v>
      </c>
      <c r="J20" s="404">
        <v>127888</v>
      </c>
      <c r="K20" s="402">
        <v>735426</v>
      </c>
      <c r="L20" s="402">
        <v>802549</v>
      </c>
      <c r="M20" s="403"/>
      <c r="N20" s="404">
        <v>723461</v>
      </c>
      <c r="O20" s="402">
        <v>706948</v>
      </c>
      <c r="P20" s="402">
        <v>676503</v>
      </c>
      <c r="Q20" s="186"/>
    </row>
    <row r="21" spans="1:17">
      <c r="A21" s="324"/>
      <c r="B21" s="198" t="s">
        <v>286</v>
      </c>
      <c r="C21" s="399">
        <v>591563</v>
      </c>
      <c r="D21" s="399">
        <v>690911</v>
      </c>
      <c r="E21" s="399">
        <v>687430</v>
      </c>
      <c r="F21" s="399">
        <v>927060</v>
      </c>
      <c r="G21" s="399">
        <v>1027277</v>
      </c>
      <c r="H21" s="380"/>
      <c r="I21" s="401">
        <v>168391</v>
      </c>
      <c r="J21" s="401">
        <v>164718</v>
      </c>
      <c r="K21" s="399">
        <v>1013202</v>
      </c>
      <c r="L21" s="399">
        <v>1027277</v>
      </c>
      <c r="M21" s="380"/>
      <c r="N21" s="401">
        <v>1029636</v>
      </c>
      <c r="O21" s="399">
        <v>1053872</v>
      </c>
      <c r="P21" s="399">
        <v>1042396</v>
      </c>
      <c r="Q21" s="324"/>
    </row>
    <row r="22" spans="1:17" s="189" customFormat="1">
      <c r="A22" s="186"/>
      <c r="B22" s="384" t="s">
        <v>287</v>
      </c>
      <c r="C22" s="402">
        <v>100638</v>
      </c>
      <c r="D22" s="402">
        <v>142243</v>
      </c>
      <c r="E22" s="402">
        <v>133399</v>
      </c>
      <c r="F22" s="402">
        <v>134276</v>
      </c>
      <c r="G22" s="402">
        <v>146071</v>
      </c>
      <c r="H22" s="403"/>
      <c r="I22" s="404">
        <v>924735</v>
      </c>
      <c r="J22" s="404">
        <v>928178</v>
      </c>
      <c r="K22" s="402">
        <v>164134</v>
      </c>
      <c r="L22" s="402">
        <v>146071</v>
      </c>
      <c r="M22" s="403"/>
      <c r="N22" s="404">
        <v>140704</v>
      </c>
      <c r="O22" s="402">
        <v>142794</v>
      </c>
      <c r="P22" s="402">
        <v>142425</v>
      </c>
      <c r="Q22" s="186"/>
    </row>
    <row r="23" spans="1:17">
      <c r="A23" s="324"/>
      <c r="B23" s="198" t="s">
        <v>244</v>
      </c>
      <c r="C23" s="380"/>
      <c r="D23" s="380"/>
      <c r="E23" s="380"/>
      <c r="F23" s="399">
        <v>18049</v>
      </c>
      <c r="G23" s="399">
        <v>111456</v>
      </c>
      <c r="H23" s="380"/>
      <c r="I23" s="401">
        <v>50784</v>
      </c>
      <c r="J23" s="401">
        <v>51309</v>
      </c>
      <c r="K23" s="380"/>
      <c r="L23" s="399">
        <v>111456</v>
      </c>
      <c r="M23" s="380"/>
      <c r="N23" s="401">
        <v>116393</v>
      </c>
      <c r="O23" s="399">
        <v>122131</v>
      </c>
      <c r="P23" s="399">
        <v>108955</v>
      </c>
      <c r="Q23" s="324"/>
    </row>
    <row r="24" spans="1:17" s="189" customFormat="1">
      <c r="A24" s="186"/>
      <c r="B24" s="384" t="s">
        <v>288</v>
      </c>
      <c r="C24" s="402">
        <v>38640</v>
      </c>
      <c r="D24" s="402">
        <v>31263</v>
      </c>
      <c r="E24" s="402">
        <v>35391</v>
      </c>
      <c r="F24" s="402">
        <v>7040</v>
      </c>
      <c r="G24" s="402">
        <v>28427</v>
      </c>
      <c r="H24" s="403"/>
      <c r="I24" s="404">
        <v>50784</v>
      </c>
      <c r="J24" s="404">
        <v>51309</v>
      </c>
      <c r="K24" s="402">
        <v>51487</v>
      </c>
      <c r="L24" s="402">
        <v>28427</v>
      </c>
      <c r="M24" s="403"/>
      <c r="N24" s="404">
        <v>50119</v>
      </c>
      <c r="O24" s="402">
        <v>54479</v>
      </c>
      <c r="P24" s="402">
        <v>59792</v>
      </c>
      <c r="Q24" s="186"/>
    </row>
    <row r="25" spans="1:17">
      <c r="A25" s="324"/>
      <c r="B25" s="198" t="s">
        <v>289</v>
      </c>
      <c r="C25" s="399">
        <v>1269744</v>
      </c>
      <c r="D25" s="399">
        <v>1444911</v>
      </c>
      <c r="E25" s="399">
        <v>1535437</v>
      </c>
      <c r="F25" s="399">
        <v>1832746</v>
      </c>
      <c r="G25" s="399">
        <v>2282666</v>
      </c>
      <c r="H25" s="380"/>
      <c r="I25" s="401">
        <v>3760280</v>
      </c>
      <c r="J25" s="401">
        <v>3801471</v>
      </c>
      <c r="K25" s="399">
        <v>2125264</v>
      </c>
      <c r="L25" s="399">
        <v>2282666</v>
      </c>
      <c r="M25" s="380"/>
      <c r="N25" s="401">
        <v>2228328</v>
      </c>
      <c r="O25" s="399">
        <v>2252536</v>
      </c>
      <c r="P25" s="399">
        <v>2204521</v>
      </c>
      <c r="Q25" s="324"/>
    </row>
    <row r="26" spans="1:17" s="189" customFormat="1">
      <c r="A26" s="186"/>
      <c r="B26" s="384" t="s">
        <v>290</v>
      </c>
      <c r="C26" s="402">
        <v>2491099</v>
      </c>
      <c r="D26" s="402">
        <v>2813660</v>
      </c>
      <c r="E26" s="402">
        <v>3106619</v>
      </c>
      <c r="F26" s="402">
        <v>3802985</v>
      </c>
      <c r="G26" s="402">
        <v>4155099</v>
      </c>
      <c r="H26" s="403"/>
      <c r="I26" s="404">
        <v>3760280</v>
      </c>
      <c r="J26" s="404">
        <v>3801471</v>
      </c>
      <c r="K26" s="402">
        <v>3899205</v>
      </c>
      <c r="L26" s="402">
        <v>4155099</v>
      </c>
      <c r="M26" s="403"/>
      <c r="N26" s="404">
        <v>4112281</v>
      </c>
      <c r="O26" s="402">
        <v>4100756</v>
      </c>
      <c r="P26" s="402">
        <v>4085093</v>
      </c>
      <c r="Q26" s="186"/>
    </row>
    <row r="27" spans="1:17">
      <c r="A27" s="324"/>
      <c r="B27" s="198" t="s">
        <v>291</v>
      </c>
      <c r="C27" s="380"/>
      <c r="D27" s="380"/>
      <c r="E27" s="380"/>
      <c r="F27" s="380"/>
      <c r="G27" s="380"/>
      <c r="H27" s="380"/>
      <c r="I27" s="406"/>
      <c r="J27" s="406"/>
      <c r="K27" s="380"/>
      <c r="L27" s="380"/>
      <c r="M27" s="380"/>
      <c r="N27" s="406"/>
      <c r="O27" s="380"/>
      <c r="P27" s="380"/>
      <c r="Q27" s="324"/>
    </row>
    <row r="28" spans="1:17" s="189" customFormat="1">
      <c r="A28" s="186"/>
      <c r="B28" s="384" t="s">
        <v>292</v>
      </c>
      <c r="C28" s="403"/>
      <c r="D28" s="403"/>
      <c r="E28" s="403"/>
      <c r="F28" s="403"/>
      <c r="G28" s="403"/>
      <c r="H28" s="403"/>
      <c r="I28" s="407"/>
      <c r="J28" s="407"/>
      <c r="K28" s="403"/>
      <c r="L28" s="403"/>
      <c r="M28" s="403"/>
      <c r="N28" s="407"/>
      <c r="O28" s="403"/>
      <c r="P28" s="403"/>
      <c r="Q28" s="186"/>
    </row>
    <row r="29" spans="1:17">
      <c r="A29" s="324"/>
      <c r="B29" s="198" t="s">
        <v>293</v>
      </c>
      <c r="C29" s="380"/>
      <c r="D29" s="380"/>
      <c r="E29" s="380"/>
      <c r="F29" s="380"/>
      <c r="G29" s="380"/>
      <c r="H29" s="380"/>
      <c r="I29" s="406"/>
      <c r="J29" s="406"/>
      <c r="K29" s="380"/>
      <c r="L29" s="380"/>
      <c r="M29" s="380"/>
      <c r="N29" s="406"/>
      <c r="O29" s="380"/>
      <c r="P29" s="380"/>
      <c r="Q29" s="324"/>
    </row>
    <row r="30" spans="1:17" s="189" customFormat="1">
      <c r="A30" s="186"/>
      <c r="B30" s="384" t="s">
        <v>294</v>
      </c>
      <c r="C30" s="402">
        <v>30646</v>
      </c>
      <c r="D30" s="402">
        <v>65691</v>
      </c>
      <c r="E30" s="402">
        <v>59324</v>
      </c>
      <c r="F30" s="402">
        <v>31017</v>
      </c>
      <c r="G30" s="402">
        <v>109053</v>
      </c>
      <c r="H30" s="403"/>
      <c r="I30" s="407"/>
      <c r="J30" s="407"/>
      <c r="K30" s="403"/>
      <c r="L30" s="402">
        <v>109053</v>
      </c>
      <c r="M30" s="403"/>
      <c r="N30" s="407"/>
      <c r="O30" s="403"/>
      <c r="P30" s="403"/>
      <c r="Q30" s="186"/>
    </row>
    <row r="31" spans="1:17">
      <c r="A31" s="324"/>
      <c r="B31" s="198" t="s">
        <v>295</v>
      </c>
      <c r="C31" s="399">
        <v>10189</v>
      </c>
      <c r="D31" s="399">
        <v>15111</v>
      </c>
      <c r="E31" s="399">
        <v>19253</v>
      </c>
      <c r="F31" s="399">
        <v>39596</v>
      </c>
      <c r="G31" s="399">
        <v>37069</v>
      </c>
      <c r="H31" s="380"/>
      <c r="I31" s="406"/>
      <c r="J31" s="406"/>
      <c r="K31" s="380"/>
      <c r="L31" s="399">
        <v>37069</v>
      </c>
      <c r="M31" s="380"/>
      <c r="N31" s="406"/>
      <c r="O31" s="380"/>
      <c r="P31" s="380"/>
      <c r="Q31" s="324"/>
    </row>
    <row r="32" spans="1:17" s="189" customFormat="1">
      <c r="A32" s="186"/>
      <c r="B32" s="384" t="s">
        <v>296</v>
      </c>
      <c r="C32" s="402">
        <v>73243</v>
      </c>
      <c r="D32" s="402">
        <v>73400</v>
      </c>
      <c r="E32" s="402">
        <v>100891</v>
      </c>
      <c r="F32" s="402">
        <v>126720</v>
      </c>
      <c r="G32" s="402">
        <v>138680</v>
      </c>
      <c r="H32" s="403"/>
      <c r="I32" s="407"/>
      <c r="J32" s="407"/>
      <c r="K32" s="403"/>
      <c r="L32" s="402">
        <v>138680</v>
      </c>
      <c r="M32" s="403"/>
      <c r="N32" s="407"/>
      <c r="O32" s="403"/>
      <c r="P32" s="403"/>
      <c r="Q32" s="186"/>
    </row>
    <row r="33" spans="1:17">
      <c r="A33" s="324"/>
      <c r="B33" s="198" t="s">
        <v>297</v>
      </c>
      <c r="C33" s="399">
        <v>711408</v>
      </c>
      <c r="D33" s="399">
        <v>830486</v>
      </c>
      <c r="E33" s="399">
        <v>966832</v>
      </c>
      <c r="F33" s="399">
        <v>1095115</v>
      </c>
      <c r="G33" s="399">
        <v>1272908</v>
      </c>
      <c r="H33" s="380"/>
      <c r="I33" s="401">
        <v>1066254</v>
      </c>
      <c r="J33" s="401">
        <v>1047732</v>
      </c>
      <c r="K33" s="399">
        <v>1080572</v>
      </c>
      <c r="L33" s="399">
        <v>1272908</v>
      </c>
      <c r="M33" s="380"/>
      <c r="N33" s="401">
        <v>1251096</v>
      </c>
      <c r="O33" s="399">
        <v>1233762</v>
      </c>
      <c r="P33" s="399">
        <v>1225421</v>
      </c>
      <c r="Q33" s="324"/>
    </row>
    <row r="34" spans="1:17" s="189" customFormat="1">
      <c r="A34" s="186"/>
      <c r="B34" s="384" t="s">
        <v>298</v>
      </c>
      <c r="C34" s="402">
        <v>819</v>
      </c>
      <c r="D34" s="402">
        <v>1024</v>
      </c>
      <c r="E34" s="402">
        <v>1786</v>
      </c>
      <c r="F34" s="402">
        <v>42244</v>
      </c>
      <c r="G34" s="402">
        <v>1467</v>
      </c>
      <c r="H34" s="403"/>
      <c r="I34" s="404">
        <v>178732</v>
      </c>
      <c r="J34" s="404">
        <v>214667</v>
      </c>
      <c r="K34" s="402">
        <v>230962</v>
      </c>
      <c r="L34" s="402">
        <v>1467</v>
      </c>
      <c r="M34" s="403"/>
      <c r="N34" s="404">
        <v>253381</v>
      </c>
      <c r="O34" s="402">
        <v>275518</v>
      </c>
      <c r="P34" s="402">
        <v>272517</v>
      </c>
      <c r="Q34" s="186"/>
    </row>
    <row r="35" spans="1:17">
      <c r="A35" s="324"/>
      <c r="B35" s="198" t="s">
        <v>299</v>
      </c>
      <c r="C35" s="399">
        <v>826305</v>
      </c>
      <c r="D35" s="399">
        <v>985712</v>
      </c>
      <c r="E35" s="399">
        <v>1148086</v>
      </c>
      <c r="F35" s="399">
        <v>1334692</v>
      </c>
      <c r="G35" s="399">
        <v>1559177</v>
      </c>
      <c r="H35" s="380"/>
      <c r="I35" s="401">
        <v>1244986</v>
      </c>
      <c r="J35" s="401">
        <v>1262399</v>
      </c>
      <c r="K35" s="399">
        <v>1311534</v>
      </c>
      <c r="L35" s="399">
        <v>1559177</v>
      </c>
      <c r="M35" s="380"/>
      <c r="N35" s="401">
        <v>1504477</v>
      </c>
      <c r="O35" s="399">
        <v>1509280</v>
      </c>
      <c r="P35" s="399">
        <v>1497938</v>
      </c>
      <c r="Q35" s="324"/>
    </row>
    <row r="36" spans="1:17" s="189" customFormat="1">
      <c r="A36" s="186"/>
      <c r="B36" s="384" t="s">
        <v>300</v>
      </c>
      <c r="C36" s="403"/>
      <c r="D36" s="403"/>
      <c r="E36" s="403"/>
      <c r="F36" s="403"/>
      <c r="G36" s="403"/>
      <c r="H36" s="403"/>
      <c r="I36" s="407"/>
      <c r="J36" s="407"/>
      <c r="K36" s="403"/>
      <c r="L36" s="403"/>
      <c r="M36" s="403"/>
      <c r="N36" s="407"/>
      <c r="O36" s="403"/>
      <c r="P36" s="403"/>
      <c r="Q36" s="186"/>
    </row>
    <row r="37" spans="1:17">
      <c r="A37" s="324"/>
      <c r="B37" s="198" t="s">
        <v>5</v>
      </c>
      <c r="C37" s="380"/>
      <c r="D37" s="380"/>
      <c r="E37" s="380"/>
      <c r="F37" s="399">
        <v>715402</v>
      </c>
      <c r="G37" s="399">
        <v>723942</v>
      </c>
      <c r="H37" s="380"/>
      <c r="I37" s="401">
        <v>720001</v>
      </c>
      <c r="J37" s="401">
        <v>724621</v>
      </c>
      <c r="K37" s="399">
        <v>729285</v>
      </c>
      <c r="L37" s="399">
        <v>723942</v>
      </c>
      <c r="M37" s="380"/>
      <c r="N37" s="401">
        <v>729307</v>
      </c>
      <c r="O37" s="399">
        <v>734700</v>
      </c>
      <c r="P37" s="399">
        <v>740153</v>
      </c>
      <c r="Q37" s="324"/>
    </row>
    <row r="38" spans="1:17" s="189" customFormat="1">
      <c r="A38" s="186"/>
      <c r="B38" s="384" t="s">
        <v>301</v>
      </c>
      <c r="C38" s="403"/>
      <c r="D38" s="402">
        <v>48321</v>
      </c>
      <c r="E38" s="403"/>
      <c r="F38" s="403"/>
      <c r="G38" s="403"/>
      <c r="H38" s="403"/>
      <c r="I38" s="407"/>
      <c r="J38" s="407"/>
      <c r="K38" s="403"/>
      <c r="L38" s="403"/>
      <c r="M38" s="403"/>
      <c r="N38" s="407"/>
      <c r="O38" s="403"/>
      <c r="P38" s="403"/>
      <c r="Q38" s="186"/>
    </row>
    <row r="39" spans="1:17">
      <c r="A39" s="324"/>
      <c r="B39" s="198" t="s">
        <v>302</v>
      </c>
      <c r="C39" s="380"/>
      <c r="D39" s="380"/>
      <c r="E39" s="380"/>
      <c r="F39" s="399">
        <v>6109</v>
      </c>
      <c r="G39" s="399">
        <v>169</v>
      </c>
      <c r="H39" s="380"/>
      <c r="I39" s="406"/>
      <c r="J39" s="406"/>
      <c r="K39" s="408"/>
      <c r="L39" s="409">
        <v>169</v>
      </c>
      <c r="M39" s="408"/>
      <c r="N39" s="406"/>
      <c r="O39" s="408"/>
      <c r="P39" s="408"/>
      <c r="Q39" s="324"/>
    </row>
    <row r="40" spans="1:17" s="189" customFormat="1">
      <c r="A40" s="186"/>
      <c r="B40" s="384" t="s">
        <v>297</v>
      </c>
      <c r="C40" s="402">
        <v>235328</v>
      </c>
      <c r="D40" s="402">
        <v>259466</v>
      </c>
      <c r="E40" s="402">
        <v>322365</v>
      </c>
      <c r="F40" s="402">
        <v>387213</v>
      </c>
      <c r="G40" s="402">
        <v>462833</v>
      </c>
      <c r="H40" s="403"/>
      <c r="I40" s="404">
        <v>369865</v>
      </c>
      <c r="J40" s="404">
        <v>365708</v>
      </c>
      <c r="K40" s="402">
        <v>406562</v>
      </c>
      <c r="L40" s="402">
        <v>462833</v>
      </c>
      <c r="M40" s="403"/>
      <c r="N40" s="404">
        <v>441060</v>
      </c>
      <c r="O40" s="402">
        <v>446890</v>
      </c>
      <c r="P40" s="402">
        <v>482557</v>
      </c>
      <c r="Q40" s="186"/>
    </row>
    <row r="41" spans="1:17">
      <c r="A41" s="324"/>
      <c r="B41" s="198" t="s">
        <v>303</v>
      </c>
      <c r="C41" s="399">
        <v>30649</v>
      </c>
      <c r="D41" s="380"/>
      <c r="E41" s="399">
        <v>85003</v>
      </c>
      <c r="F41" s="399">
        <v>71231</v>
      </c>
      <c r="G41" s="399">
        <v>74546</v>
      </c>
      <c r="H41" s="380"/>
      <c r="I41" s="401">
        <v>76005</v>
      </c>
      <c r="J41" s="401">
        <v>80693</v>
      </c>
      <c r="K41" s="399">
        <v>107031</v>
      </c>
      <c r="L41" s="399">
        <v>74546</v>
      </c>
      <c r="M41" s="380"/>
      <c r="N41" s="401">
        <v>88102</v>
      </c>
      <c r="O41" s="399">
        <v>91490</v>
      </c>
      <c r="P41" s="399">
        <v>92643</v>
      </c>
      <c r="Q41" s="324"/>
    </row>
    <row r="42" spans="1:17" s="189" customFormat="1">
      <c r="A42" s="186"/>
      <c r="B42" s="384" t="s">
        <v>304</v>
      </c>
      <c r="C42" s="402">
        <v>265977</v>
      </c>
      <c r="D42" s="402">
        <v>307787</v>
      </c>
      <c r="E42" s="402">
        <v>407368</v>
      </c>
      <c r="F42" s="402">
        <v>1179955</v>
      </c>
      <c r="G42" s="402">
        <v>1261490</v>
      </c>
      <c r="H42" s="403"/>
      <c r="I42" s="404">
        <v>1165871</v>
      </c>
      <c r="J42" s="404">
        <v>1171022</v>
      </c>
      <c r="K42" s="402">
        <v>1242878</v>
      </c>
      <c r="L42" s="402">
        <v>1261490</v>
      </c>
      <c r="M42" s="403"/>
      <c r="N42" s="404">
        <v>1258469</v>
      </c>
      <c r="O42" s="402">
        <v>1273080</v>
      </c>
      <c r="P42" s="402">
        <v>1315353</v>
      </c>
      <c r="Q42" s="186"/>
    </row>
    <row r="43" spans="1:17">
      <c r="A43" s="324"/>
      <c r="B43" s="198" t="s">
        <v>305</v>
      </c>
      <c r="C43" s="399">
        <v>1092282</v>
      </c>
      <c r="D43" s="399">
        <v>1293499</v>
      </c>
      <c r="E43" s="399">
        <v>1555454</v>
      </c>
      <c r="F43" s="399">
        <v>2514647</v>
      </c>
      <c r="G43" s="399">
        <v>2820667</v>
      </c>
      <c r="H43" s="380"/>
      <c r="I43" s="401">
        <v>2410857</v>
      </c>
      <c r="J43" s="401">
        <v>2433421</v>
      </c>
      <c r="K43" s="399">
        <v>2554412</v>
      </c>
      <c r="L43" s="399">
        <v>2820667</v>
      </c>
      <c r="M43" s="380"/>
      <c r="N43" s="401">
        <v>2762946</v>
      </c>
      <c r="O43" s="399">
        <v>2782360</v>
      </c>
      <c r="P43" s="399">
        <v>2813291</v>
      </c>
      <c r="Q43" s="324"/>
    </row>
    <row r="44" spans="1:17" s="189" customFormat="1">
      <c r="A44" s="186"/>
      <c r="B44" s="384" t="s">
        <v>306</v>
      </c>
      <c r="C44" s="403"/>
      <c r="D44" s="403"/>
      <c r="E44" s="403"/>
      <c r="F44" s="403"/>
      <c r="G44" s="403"/>
      <c r="H44" s="403"/>
      <c r="I44" s="407"/>
      <c r="J44" s="407"/>
      <c r="K44" s="403"/>
      <c r="L44" s="403"/>
      <c r="M44" s="403"/>
      <c r="N44" s="407"/>
      <c r="O44" s="403"/>
      <c r="P44" s="403"/>
      <c r="Q44" s="186"/>
    </row>
    <row r="45" spans="1:17">
      <c r="A45" s="324"/>
      <c r="B45" s="198" t="s">
        <v>307</v>
      </c>
      <c r="C45" s="399">
        <v>23</v>
      </c>
      <c r="D45" s="399">
        <v>23</v>
      </c>
      <c r="E45" s="399">
        <v>23</v>
      </c>
      <c r="F45" s="399">
        <v>23</v>
      </c>
      <c r="G45" s="399">
        <v>23</v>
      </c>
      <c r="H45" s="380"/>
      <c r="I45" s="401">
        <v>23</v>
      </c>
      <c r="J45" s="401">
        <v>23</v>
      </c>
      <c r="K45" s="399">
        <v>23</v>
      </c>
      <c r="L45" s="399">
        <v>23</v>
      </c>
      <c r="M45" s="380"/>
      <c r="N45" s="401">
        <v>24</v>
      </c>
      <c r="O45" s="399">
        <v>24</v>
      </c>
      <c r="P45" s="399">
        <v>24</v>
      </c>
      <c r="Q45" s="324"/>
    </row>
    <row r="46" spans="1:17" s="189" customFormat="1">
      <c r="A46" s="186"/>
      <c r="B46" s="384" t="s">
        <v>308</v>
      </c>
      <c r="C46" s="402">
        <v>1709082</v>
      </c>
      <c r="D46" s="402">
        <v>1802899</v>
      </c>
      <c r="E46" s="402">
        <v>1891848</v>
      </c>
      <c r="F46" s="402">
        <v>1963851</v>
      </c>
      <c r="G46" s="402">
        <v>2162264</v>
      </c>
      <c r="H46" s="403"/>
      <c r="I46" s="404">
        <v>2058046</v>
      </c>
      <c r="J46" s="404">
        <v>2094202</v>
      </c>
      <c r="K46" s="402">
        <v>2119426</v>
      </c>
      <c r="L46" s="402">
        <v>2162264</v>
      </c>
      <c r="M46" s="403"/>
      <c r="N46" s="404">
        <v>2176208</v>
      </c>
      <c r="O46" s="402">
        <v>2215856</v>
      </c>
      <c r="P46" s="402">
        <v>2246034</v>
      </c>
      <c r="Q46" s="186"/>
    </row>
    <row r="47" spans="1:17">
      <c r="A47" s="324"/>
      <c r="B47" s="198" t="s">
        <v>309</v>
      </c>
      <c r="C47" s="399">
        <v>391676</v>
      </c>
      <c r="D47" s="399">
        <v>541880</v>
      </c>
      <c r="E47" s="399">
        <v>720172</v>
      </c>
      <c r="F47" s="399">
        <v>900373</v>
      </c>
      <c r="G47" s="399">
        <v>1099738</v>
      </c>
      <c r="H47" s="380"/>
      <c r="I47" s="401">
        <v>948459</v>
      </c>
      <c r="J47" s="401">
        <v>999854</v>
      </c>
      <c r="K47" s="399">
        <v>1046702</v>
      </c>
      <c r="L47" s="399">
        <v>1099738</v>
      </c>
      <c r="M47" s="380"/>
      <c r="N47" s="401">
        <v>1160472</v>
      </c>
      <c r="O47" s="399">
        <v>1219246</v>
      </c>
      <c r="P47" s="399">
        <v>1287188</v>
      </c>
      <c r="Q47" s="324"/>
    </row>
    <row r="48" spans="1:17" s="189" customFormat="1">
      <c r="A48" s="186"/>
      <c r="B48" s="384" t="s">
        <v>310</v>
      </c>
      <c r="C48" s="402">
        <v>-696012</v>
      </c>
      <c r="D48" s="402">
        <v>-816674</v>
      </c>
      <c r="E48" s="402">
        <v>-1056419</v>
      </c>
      <c r="F48" s="402">
        <v>-1515288</v>
      </c>
      <c r="G48" s="402">
        <v>-1853144</v>
      </c>
      <c r="H48" s="403"/>
      <c r="I48" s="404">
        <v>-1590501</v>
      </c>
      <c r="J48" s="404">
        <v>-1660580</v>
      </c>
      <c r="K48" s="402">
        <v>-1738752</v>
      </c>
      <c r="L48" s="402">
        <v>-1853144</v>
      </c>
      <c r="M48" s="403"/>
      <c r="N48" s="404">
        <v>-1919622</v>
      </c>
      <c r="O48" s="402">
        <v>-2047008</v>
      </c>
      <c r="P48" s="402">
        <v>-2172326</v>
      </c>
      <c r="Q48" s="186"/>
    </row>
    <row r="49" spans="1:17">
      <c r="A49" s="324"/>
      <c r="B49" s="198" t="s">
        <v>311</v>
      </c>
      <c r="C49" s="399">
        <v>-5952</v>
      </c>
      <c r="D49" s="399">
        <v>-7967</v>
      </c>
      <c r="E49" s="399">
        <v>-4459</v>
      </c>
      <c r="F49" s="399">
        <v>-60621</v>
      </c>
      <c r="G49" s="399">
        <v>-74449</v>
      </c>
      <c r="H49" s="380"/>
      <c r="I49" s="401">
        <v>-66604</v>
      </c>
      <c r="J49" s="401">
        <v>-65449</v>
      </c>
      <c r="K49" s="399">
        <v>-82606</v>
      </c>
      <c r="L49" s="399">
        <v>-74449</v>
      </c>
      <c r="M49" s="380"/>
      <c r="N49" s="401">
        <v>-67747</v>
      </c>
      <c r="O49" s="399">
        <v>-69722</v>
      </c>
      <c r="P49" s="399">
        <v>-89118</v>
      </c>
      <c r="Q49" s="324"/>
    </row>
    <row r="50" spans="1:17" s="189" customFormat="1">
      <c r="A50" s="186"/>
      <c r="B50" s="384" t="s">
        <v>312</v>
      </c>
      <c r="C50" s="402">
        <v>1398817</v>
      </c>
      <c r="D50" s="402">
        <v>1520161</v>
      </c>
      <c r="E50" s="402">
        <v>1551165</v>
      </c>
      <c r="F50" s="402">
        <v>1288338</v>
      </c>
      <c r="G50" s="402">
        <v>1334432</v>
      </c>
      <c r="H50" s="403"/>
      <c r="I50" s="404">
        <v>1349423</v>
      </c>
      <c r="J50" s="404">
        <v>1368050</v>
      </c>
      <c r="K50" s="402">
        <v>1344793</v>
      </c>
      <c r="L50" s="402">
        <v>1334432</v>
      </c>
      <c r="M50" s="403"/>
      <c r="N50" s="404">
        <v>1349335</v>
      </c>
      <c r="O50" s="402">
        <v>1318396</v>
      </c>
      <c r="P50" s="402">
        <v>1271802</v>
      </c>
      <c r="Q50" s="186"/>
    </row>
    <row r="51" spans="1:17">
      <c r="A51" s="324"/>
      <c r="B51" s="198" t="s">
        <v>313</v>
      </c>
      <c r="C51" s="399">
        <v>2491099</v>
      </c>
      <c r="D51" s="399">
        <v>2813660</v>
      </c>
      <c r="E51" s="399">
        <v>3106619</v>
      </c>
      <c r="F51" s="399">
        <v>3802985</v>
      </c>
      <c r="G51" s="399">
        <v>4155099</v>
      </c>
      <c r="H51" s="380"/>
      <c r="I51" s="401">
        <v>3760280</v>
      </c>
      <c r="J51" s="401">
        <v>3801471</v>
      </c>
      <c r="K51" s="399">
        <v>3899205</v>
      </c>
      <c r="L51" s="399">
        <v>4155099</v>
      </c>
      <c r="M51" s="380"/>
      <c r="N51" s="401">
        <v>4112281</v>
      </c>
      <c r="O51" s="399">
        <v>4100756</v>
      </c>
      <c r="P51" s="399">
        <v>4085093</v>
      </c>
      <c r="Q51" s="324"/>
    </row>
    <row r="52" spans="1:17">
      <c r="A52" s="324"/>
      <c r="B52" s="324"/>
      <c r="C52" s="324"/>
      <c r="D52" s="324"/>
      <c r="E52" s="324"/>
      <c r="F52" s="324"/>
      <c r="G52" s="248"/>
      <c r="H52" s="248"/>
      <c r="I52" s="248"/>
      <c r="J52" s="248"/>
      <c r="K52" s="324"/>
      <c r="L52" s="324"/>
      <c r="M52" s="324"/>
      <c r="N52" s="248"/>
      <c r="O52" s="324"/>
      <c r="P52" s="324"/>
      <c r="Q52" s="324"/>
    </row>
  </sheetData>
  <pageMargins left="0.7" right="0.7" top="0.75" bottom="0.75" header="0.3" footer="0.3"/>
  <pageSetup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7" tint="0.59999389629810485"/>
  </sheetPr>
  <dimension ref="A1:S34"/>
  <sheetViews>
    <sheetView showGridLines="0" zoomScale="80" zoomScaleNormal="80" workbookViewId="0">
      <pane xSplit="2" ySplit="6" topLeftCell="C7" activePane="bottomRight" state="frozen"/>
      <selection pane="topRight" activeCell="C1" sqref="C1"/>
      <selection pane="bottomLeft" activeCell="A7" sqref="A7"/>
      <selection pane="bottomRight" activeCell="P26" sqref="P26"/>
    </sheetView>
  </sheetViews>
  <sheetFormatPr defaultRowHeight="15"/>
  <cols>
    <col min="1" max="1" width="1.7109375" customWidth="1"/>
    <col min="2" max="2" width="44.28515625" customWidth="1"/>
    <col min="3" max="3" width="7.7109375" bestFit="1" customWidth="1"/>
    <col min="4" max="7" width="10.28515625" customWidth="1"/>
    <col min="8" max="8" width="2.28515625" bestFit="1" customWidth="1"/>
    <col min="9" max="12" width="10.28515625" bestFit="1" customWidth="1"/>
    <col min="13" max="13" width="1.7109375" customWidth="1"/>
    <col min="14" max="16" width="10.28515625" bestFit="1" customWidth="1"/>
    <col min="17" max="17" width="9.42578125" customWidth="1"/>
  </cols>
  <sheetData>
    <row r="1" spans="1:19" s="6" customFormat="1" ht="23.25">
      <c r="A1" s="450"/>
      <c r="B1" s="268" t="str">
        <f>Valuation!B1</f>
        <v>RHT</v>
      </c>
      <c r="C1" s="450"/>
      <c r="D1" s="450"/>
      <c r="E1" s="450"/>
      <c r="F1" s="450"/>
      <c r="G1" s="450"/>
      <c r="H1" s="324"/>
      <c r="I1" s="450"/>
      <c r="J1" s="450"/>
      <c r="K1" s="450"/>
      <c r="L1" s="450"/>
      <c r="M1" s="324"/>
      <c r="N1" s="450"/>
      <c r="O1" s="450"/>
      <c r="P1" s="324"/>
      <c r="Q1" s="324"/>
      <c r="R1" s="450"/>
      <c r="S1" s="450"/>
    </row>
    <row r="2" spans="1:19" s="6" customFormat="1">
      <c r="A2" s="450"/>
      <c r="B2" s="269" t="str">
        <f>Valuation!B2</f>
        <v>Red Hat .Inc</v>
      </c>
      <c r="C2" s="324"/>
      <c r="D2" s="450"/>
      <c r="E2" s="324"/>
      <c r="F2" s="324"/>
      <c r="G2" s="324"/>
      <c r="H2" s="324"/>
      <c r="I2" s="324"/>
      <c r="J2" s="324"/>
      <c r="K2" s="324"/>
      <c r="L2" s="324"/>
      <c r="M2" s="324"/>
      <c r="N2" s="324"/>
      <c r="O2" s="324"/>
      <c r="P2" s="324"/>
      <c r="Q2" s="324"/>
      <c r="R2" s="450"/>
      <c r="S2" s="450"/>
    </row>
    <row r="3" spans="1:19" s="1" customFormat="1" ht="3" customHeight="1">
      <c r="A3" s="324"/>
      <c r="B3" s="242"/>
      <c r="C3" s="242"/>
      <c r="D3" s="242"/>
      <c r="E3" s="242"/>
      <c r="F3" s="242"/>
      <c r="G3" s="242"/>
      <c r="H3" s="242"/>
      <c r="I3" s="242"/>
      <c r="J3" s="242"/>
      <c r="K3" s="242"/>
      <c r="L3" s="242"/>
      <c r="M3" s="242"/>
      <c r="N3" s="242"/>
      <c r="O3" s="242"/>
      <c r="P3" s="242"/>
      <c r="Q3" s="324"/>
      <c r="R3" s="324"/>
      <c r="S3" s="324"/>
    </row>
    <row r="4" spans="1:19" s="6" customFormat="1">
      <c r="A4" s="450"/>
      <c r="B4" s="198" t="s">
        <v>321</v>
      </c>
      <c r="C4" s="324"/>
      <c r="D4" s="450"/>
      <c r="E4" s="324"/>
      <c r="F4" s="324"/>
      <c r="G4" s="324"/>
      <c r="H4" s="324"/>
      <c r="I4" s="324"/>
      <c r="J4" s="324"/>
      <c r="K4" s="324"/>
      <c r="L4" s="324"/>
      <c r="M4" s="324"/>
      <c r="N4" s="324"/>
      <c r="O4" s="324"/>
      <c r="P4" s="324"/>
      <c r="Q4" s="324"/>
      <c r="R4" s="243"/>
      <c r="S4" s="243"/>
    </row>
    <row r="5" spans="1:19" s="6" customFormat="1">
      <c r="A5" s="450"/>
      <c r="B5" s="245"/>
      <c r="C5" s="245"/>
      <c r="D5" s="245"/>
      <c r="E5" s="245"/>
      <c r="F5" s="245"/>
      <c r="G5" s="245"/>
      <c r="H5" s="324"/>
      <c r="I5" s="323"/>
      <c r="J5" s="245"/>
      <c r="K5" s="450"/>
      <c r="L5" s="450"/>
      <c r="M5" s="324"/>
      <c r="N5" s="450"/>
      <c r="O5" s="450"/>
      <c r="P5" s="450"/>
      <c r="Q5" s="324"/>
      <c r="R5" s="255"/>
      <c r="S5" s="255"/>
    </row>
    <row r="6" spans="1:19" s="6" customFormat="1">
      <c r="A6" s="450"/>
      <c r="B6" s="128" t="s">
        <v>17</v>
      </c>
      <c r="C6" s="285">
        <f>CF!C6</f>
        <v>2012</v>
      </c>
      <c r="D6" s="285">
        <f>CF!D6</f>
        <v>2013</v>
      </c>
      <c r="E6" s="285">
        <f>CF!E6</f>
        <v>2014</v>
      </c>
      <c r="F6" s="285">
        <f>CF!F6</f>
        <v>2015</v>
      </c>
      <c r="G6" s="285">
        <f>CF!G6</f>
        <v>2016</v>
      </c>
      <c r="H6" s="324"/>
      <c r="I6" s="279" t="str">
        <f>"FY"&amp;G6&amp;"Q1"</f>
        <v>FY2016Q1</v>
      </c>
      <c r="J6" s="279" t="str">
        <f>"FY"&amp;G6&amp;"Q2"</f>
        <v>FY2016Q2</v>
      </c>
      <c r="K6" s="279" t="str">
        <f>"FY"&amp;G6&amp;"Q3"</f>
        <v>FY2016Q3</v>
      </c>
      <c r="L6" s="279" t="str">
        <f>"FY"&amp;G6&amp;"Q4"</f>
        <v>FY2016Q4</v>
      </c>
      <c r="M6" s="324"/>
      <c r="N6" s="279" t="str">
        <f>"FY"&amp;G6+1&amp;"Q1"</f>
        <v>FY2017Q1</v>
      </c>
      <c r="O6" s="279" t="str">
        <f>"FY"&amp;G6+1&amp;"Q2"</f>
        <v>FY2017Q2</v>
      </c>
      <c r="P6" s="279" t="str">
        <f>"FY"&amp;G6+1&amp;"Q3"</f>
        <v>FY2017Q3</v>
      </c>
      <c r="Q6" s="324"/>
      <c r="R6" s="255"/>
      <c r="S6" s="255"/>
    </row>
    <row r="7" spans="1:19">
      <c r="A7" s="324"/>
      <c r="B7" s="198" t="s">
        <v>322</v>
      </c>
      <c r="C7" s="198">
        <v>1133103</v>
      </c>
      <c r="D7" s="198">
        <v>1328817</v>
      </c>
      <c r="E7" s="198">
        <v>1534615</v>
      </c>
      <c r="F7" s="198">
        <v>1789489</v>
      </c>
      <c r="G7" s="198">
        <v>2052230</v>
      </c>
      <c r="H7" s="324"/>
      <c r="I7" s="385">
        <v>481001</v>
      </c>
      <c r="J7" s="385">
        <v>504148</v>
      </c>
      <c r="K7" s="172">
        <v>523580</v>
      </c>
      <c r="L7" s="198">
        <v>543502</v>
      </c>
      <c r="M7" s="324"/>
      <c r="N7" s="126">
        <v>567899</v>
      </c>
      <c r="O7" s="198">
        <v>599805</v>
      </c>
      <c r="P7" s="198">
        <v>615260</v>
      </c>
      <c r="Q7" s="324"/>
      <c r="R7" s="324"/>
      <c r="S7" s="324"/>
    </row>
    <row r="8" spans="1:19" s="189" customFormat="1">
      <c r="A8" s="186"/>
      <c r="B8" s="384" t="s">
        <v>323</v>
      </c>
      <c r="C8" s="384">
        <v>178548</v>
      </c>
      <c r="D8" s="384">
        <v>200600</v>
      </c>
      <c r="E8" s="384">
        <v>232600</v>
      </c>
      <c r="F8" s="384">
        <v>273199</v>
      </c>
      <c r="G8" s="384">
        <v>309629</v>
      </c>
      <c r="H8" s="186"/>
      <c r="I8" s="386">
        <v>71397</v>
      </c>
      <c r="J8" s="386">
        <v>75964</v>
      </c>
      <c r="K8" s="387">
        <v>81048</v>
      </c>
      <c r="L8" s="384">
        <v>81220</v>
      </c>
      <c r="M8" s="186"/>
      <c r="N8" s="384">
        <v>84048</v>
      </c>
      <c r="O8" s="384">
        <v>87671</v>
      </c>
      <c r="P8" s="384">
        <v>90453</v>
      </c>
      <c r="Q8" s="186"/>
      <c r="R8" s="186"/>
      <c r="S8" s="186"/>
    </row>
    <row r="9" spans="1:19">
      <c r="A9" s="324"/>
      <c r="B9" s="198" t="s">
        <v>324</v>
      </c>
      <c r="C9" s="198">
        <v>954555</v>
      </c>
      <c r="D9" s="198">
        <v>1128217</v>
      </c>
      <c r="E9" s="198">
        <v>1302015</v>
      </c>
      <c r="F9" s="198">
        <v>1516290</v>
      </c>
      <c r="G9" s="198">
        <v>1742601</v>
      </c>
      <c r="H9" s="324"/>
      <c r="I9" s="385">
        <v>409604</v>
      </c>
      <c r="J9" s="385">
        <v>428184</v>
      </c>
      <c r="K9" s="172">
        <v>442532</v>
      </c>
      <c r="L9" s="198">
        <v>462282</v>
      </c>
      <c r="M9" s="324"/>
      <c r="N9" s="126">
        <v>483851</v>
      </c>
      <c r="O9" s="198">
        <v>512134</v>
      </c>
      <c r="P9" s="198">
        <v>524807</v>
      </c>
      <c r="Q9" s="324"/>
      <c r="R9" s="324"/>
      <c r="S9" s="324"/>
    </row>
    <row r="10" spans="1:19" s="189" customFormat="1">
      <c r="A10" s="186"/>
      <c r="B10" s="384" t="s">
        <v>325</v>
      </c>
      <c r="C10" s="186"/>
      <c r="D10" s="186"/>
      <c r="E10" s="186"/>
      <c r="F10" s="186"/>
      <c r="G10" s="186"/>
      <c r="H10" s="186"/>
      <c r="I10" s="388"/>
      <c r="J10" s="388"/>
      <c r="K10" s="388"/>
      <c r="L10" s="186"/>
      <c r="M10" s="186"/>
      <c r="N10" s="186"/>
      <c r="O10" s="186"/>
      <c r="P10" s="186"/>
      <c r="Q10" s="186"/>
      <c r="R10" s="186"/>
      <c r="S10" s="186"/>
    </row>
    <row r="11" spans="1:19">
      <c r="A11" s="324"/>
      <c r="B11" s="198" t="s">
        <v>326</v>
      </c>
      <c r="C11" s="198">
        <v>208662</v>
      </c>
      <c r="D11" s="198">
        <v>263150</v>
      </c>
      <c r="E11" s="198">
        <v>317263</v>
      </c>
      <c r="F11" s="198">
        <v>367856</v>
      </c>
      <c r="G11" s="198">
        <v>413322</v>
      </c>
      <c r="H11" s="324"/>
      <c r="I11" s="385">
        <v>97431</v>
      </c>
      <c r="J11" s="385">
        <v>102488</v>
      </c>
      <c r="K11" s="172">
        <v>104906</v>
      </c>
      <c r="L11" s="198">
        <v>108498</v>
      </c>
      <c r="M11" s="324"/>
      <c r="N11" s="126">
        <v>115016</v>
      </c>
      <c r="O11" s="198">
        <v>121265</v>
      </c>
      <c r="P11" s="198">
        <v>122469</v>
      </c>
      <c r="Q11" s="324"/>
      <c r="R11" s="324"/>
      <c r="S11" s="324"/>
    </row>
    <row r="12" spans="1:19" s="189" customFormat="1">
      <c r="A12" s="186"/>
      <c r="B12" s="384" t="s">
        <v>327</v>
      </c>
      <c r="C12" s="384">
        <v>545980</v>
      </c>
      <c r="D12" s="384">
        <v>664029</v>
      </c>
      <c r="E12" s="384">
        <v>752463</v>
      </c>
      <c r="F12" s="384">
        <v>898440</v>
      </c>
      <c r="G12" s="384">
        <v>1041231</v>
      </c>
      <c r="H12" s="186"/>
      <c r="I12" s="386">
        <v>241243</v>
      </c>
      <c r="J12" s="386">
        <v>249226</v>
      </c>
      <c r="K12" s="387">
        <v>268749</v>
      </c>
      <c r="L12" s="384">
        <v>282012</v>
      </c>
      <c r="M12" s="186"/>
      <c r="N12" s="384">
        <v>293472</v>
      </c>
      <c r="O12" s="384">
        <v>308985</v>
      </c>
      <c r="P12" s="384">
        <v>321565</v>
      </c>
      <c r="Q12" s="186"/>
      <c r="R12" s="186"/>
      <c r="S12" s="186"/>
    </row>
    <row r="13" spans="1:19">
      <c r="A13" s="324"/>
      <c r="B13" s="198" t="s">
        <v>328</v>
      </c>
      <c r="C13" s="198">
        <v>754642</v>
      </c>
      <c r="D13" s="198">
        <v>927179</v>
      </c>
      <c r="E13" s="198">
        <v>1069726</v>
      </c>
      <c r="F13" s="198">
        <v>1266296</v>
      </c>
      <c r="G13" s="198">
        <v>1454553</v>
      </c>
      <c r="H13" s="324"/>
      <c r="I13" s="385">
        <v>338674</v>
      </c>
      <c r="J13" s="385">
        <v>351714</v>
      </c>
      <c r="K13" s="172">
        <v>373655</v>
      </c>
      <c r="L13" s="198">
        <v>390510</v>
      </c>
      <c r="M13" s="324"/>
      <c r="N13" s="126">
        <v>408488</v>
      </c>
      <c r="O13" s="198">
        <v>430250</v>
      </c>
      <c r="P13" s="198">
        <v>444034</v>
      </c>
      <c r="Q13" s="324"/>
      <c r="R13" s="324"/>
      <c r="S13" s="324"/>
    </row>
    <row r="14" spans="1:19" s="189" customFormat="1">
      <c r="A14" s="186"/>
      <c r="B14" s="384" t="s">
        <v>329</v>
      </c>
      <c r="C14" s="384">
        <v>199913</v>
      </c>
      <c r="D14" s="384">
        <v>201038</v>
      </c>
      <c r="E14" s="384">
        <v>232289</v>
      </c>
      <c r="F14" s="384">
        <v>249994</v>
      </c>
      <c r="G14" s="384">
        <v>288048</v>
      </c>
      <c r="H14" s="186"/>
      <c r="I14" s="386">
        <v>70930</v>
      </c>
      <c r="J14" s="386">
        <v>76470</v>
      </c>
      <c r="K14" s="387">
        <v>68877</v>
      </c>
      <c r="L14" s="384">
        <v>71772</v>
      </c>
      <c r="M14" s="186"/>
      <c r="N14" s="384">
        <v>75363</v>
      </c>
      <c r="O14" s="384">
        <v>81884</v>
      </c>
      <c r="P14" s="384">
        <v>80773</v>
      </c>
      <c r="Q14" s="186"/>
      <c r="R14" s="186"/>
      <c r="S14" s="186"/>
    </row>
    <row r="15" spans="1:19">
      <c r="A15" s="324"/>
      <c r="B15" s="198" t="s">
        <v>330</v>
      </c>
      <c r="C15" s="324"/>
      <c r="D15" s="324"/>
      <c r="E15" s="324"/>
      <c r="F15" s="198">
        <v>9394</v>
      </c>
      <c r="G15" s="198">
        <v>23121</v>
      </c>
      <c r="H15" s="324"/>
      <c r="I15" s="385">
        <v>5715</v>
      </c>
      <c r="J15" s="385">
        <v>5733</v>
      </c>
      <c r="K15" s="172">
        <v>5817</v>
      </c>
      <c r="L15" s="198">
        <v>5856</v>
      </c>
      <c r="M15" s="324"/>
      <c r="N15" s="126">
        <v>5887</v>
      </c>
      <c r="O15" s="198">
        <v>5925</v>
      </c>
      <c r="P15" s="198">
        <v>6009</v>
      </c>
      <c r="Q15" s="324"/>
      <c r="R15" s="324"/>
      <c r="S15" s="324"/>
    </row>
    <row r="16" spans="1:19" s="189" customFormat="1">
      <c r="A16" s="186"/>
      <c r="B16" s="384" t="s">
        <v>331</v>
      </c>
      <c r="C16" s="384">
        <v>8096</v>
      </c>
      <c r="D16" s="384">
        <v>8714</v>
      </c>
      <c r="E16" s="384">
        <v>7259</v>
      </c>
      <c r="F16" s="384">
        <v>14898</v>
      </c>
      <c r="G16" s="384">
        <v>9938</v>
      </c>
      <c r="H16" s="186"/>
      <c r="I16" s="386">
        <v>2512</v>
      </c>
      <c r="J16" s="386">
        <v>1650</v>
      </c>
      <c r="K16" s="387">
        <v>2923</v>
      </c>
      <c r="L16" s="384">
        <v>2852</v>
      </c>
      <c r="M16" s="186"/>
      <c r="N16" s="384">
        <v>2877</v>
      </c>
      <c r="O16" s="384">
        <v>3476</v>
      </c>
      <c r="P16" s="384">
        <v>1954</v>
      </c>
      <c r="Q16" s="186"/>
      <c r="R16" s="186"/>
      <c r="S16" s="186"/>
    </row>
    <row r="17" spans="1:19" s="184" customFormat="1">
      <c r="A17" s="365"/>
      <c r="B17" s="393" t="s">
        <v>382</v>
      </c>
      <c r="C17" s="456">
        <f>C15-C16</f>
        <v>-8096</v>
      </c>
      <c r="D17" s="456">
        <f t="shared" ref="D17:G17" si="0">D15-D16</f>
        <v>-8714</v>
      </c>
      <c r="E17" s="456">
        <f t="shared" si="0"/>
        <v>-7259</v>
      </c>
      <c r="F17" s="456">
        <f t="shared" si="0"/>
        <v>-5504</v>
      </c>
      <c r="G17" s="456">
        <f t="shared" si="0"/>
        <v>13183</v>
      </c>
      <c r="H17" s="365"/>
      <c r="I17" s="456">
        <f t="shared" ref="I17" si="1">I15-I16</f>
        <v>3203</v>
      </c>
      <c r="J17" s="456">
        <f t="shared" ref="J17" si="2">J15-J16</f>
        <v>4083</v>
      </c>
      <c r="K17" s="456">
        <f t="shared" ref="K17" si="3">K15-K16</f>
        <v>2894</v>
      </c>
      <c r="L17" s="456">
        <f t="shared" ref="L17" si="4">L15-L16</f>
        <v>3004</v>
      </c>
      <c r="M17" s="456">
        <f t="shared" ref="M17" si="5">M15-M16</f>
        <v>0</v>
      </c>
      <c r="N17" s="456">
        <f t="shared" ref="N17" si="6">N15-N16</f>
        <v>3010</v>
      </c>
      <c r="O17" s="456">
        <f t="shared" ref="O17:P17" si="7">O15-O16</f>
        <v>2449</v>
      </c>
      <c r="P17" s="456">
        <f t="shared" si="7"/>
        <v>4055</v>
      </c>
      <c r="Q17" s="365"/>
      <c r="R17" s="365"/>
      <c r="S17" s="365"/>
    </row>
    <row r="18" spans="1:19" s="189" customFormat="1">
      <c r="A18" s="186"/>
      <c r="B18" s="384" t="s">
        <v>332</v>
      </c>
      <c r="C18" s="384">
        <v>208009</v>
      </c>
      <c r="D18" s="384">
        <v>209752</v>
      </c>
      <c r="E18" s="384">
        <v>239548</v>
      </c>
      <c r="F18" s="384">
        <v>255498</v>
      </c>
      <c r="G18" s="384">
        <v>274865</v>
      </c>
      <c r="H18" s="186"/>
      <c r="I18" s="386">
        <v>67727</v>
      </c>
      <c r="J18" s="386">
        <v>72387</v>
      </c>
      <c r="K18" s="387">
        <v>65983</v>
      </c>
      <c r="L18" s="384">
        <v>68768</v>
      </c>
      <c r="M18" s="186"/>
      <c r="N18" s="384">
        <v>72353</v>
      </c>
      <c r="O18" s="384">
        <v>79435</v>
      </c>
      <c r="P18" s="384">
        <v>76718</v>
      </c>
      <c r="Q18" s="186"/>
      <c r="R18" s="186"/>
      <c r="S18" s="186"/>
    </row>
    <row r="19" spans="1:19" s="184" customFormat="1">
      <c r="A19" s="365"/>
      <c r="B19" s="393" t="s">
        <v>333</v>
      </c>
      <c r="C19" s="393">
        <v>61383</v>
      </c>
      <c r="D19" s="393">
        <v>59548</v>
      </c>
      <c r="E19" s="393">
        <v>61256</v>
      </c>
      <c r="F19" s="393">
        <v>75297</v>
      </c>
      <c r="G19" s="393">
        <v>75500</v>
      </c>
      <c r="H19" s="365"/>
      <c r="I19" s="442">
        <v>19641</v>
      </c>
      <c r="J19" s="442">
        <v>20992</v>
      </c>
      <c r="K19" s="443">
        <v>19135</v>
      </c>
      <c r="L19" s="393">
        <v>15732</v>
      </c>
      <c r="M19" s="365"/>
      <c r="N19" s="393">
        <v>11169</v>
      </c>
      <c r="O19" s="393">
        <v>20663</v>
      </c>
      <c r="P19" s="393">
        <v>8775</v>
      </c>
      <c r="Q19" s="365"/>
      <c r="R19" s="365"/>
      <c r="S19" s="365"/>
    </row>
    <row r="20" spans="1:19" s="189" customFormat="1">
      <c r="A20" s="186"/>
      <c r="B20" s="384" t="s">
        <v>240</v>
      </c>
      <c r="C20" s="384">
        <v>146626</v>
      </c>
      <c r="D20" s="384">
        <v>150204</v>
      </c>
      <c r="E20" s="384">
        <v>178292</v>
      </c>
      <c r="F20" s="384">
        <v>180201</v>
      </c>
      <c r="G20" s="384">
        <v>199365</v>
      </c>
      <c r="H20" s="186"/>
      <c r="I20" s="386">
        <v>48086</v>
      </c>
      <c r="J20" s="386">
        <v>51395</v>
      </c>
      <c r="K20" s="387">
        <v>46848</v>
      </c>
      <c r="L20" s="384">
        <v>53036</v>
      </c>
      <c r="M20" s="186"/>
      <c r="N20" s="384">
        <v>61184</v>
      </c>
      <c r="O20" s="384">
        <v>58772</v>
      </c>
      <c r="P20" s="384">
        <v>67943</v>
      </c>
      <c r="Q20" s="186"/>
      <c r="R20" s="186"/>
      <c r="S20" s="186"/>
    </row>
    <row r="21" spans="1:19" s="184" customFormat="1">
      <c r="A21" s="365"/>
      <c r="B21" s="393" t="s">
        <v>334</v>
      </c>
      <c r="C21" s="365"/>
      <c r="D21" s="365"/>
      <c r="E21" s="365"/>
      <c r="F21" s="365"/>
      <c r="G21" s="365"/>
      <c r="H21" s="365"/>
      <c r="I21" s="444"/>
      <c r="J21" s="444"/>
      <c r="K21" s="364"/>
      <c r="L21" s="365"/>
      <c r="M21" s="365"/>
      <c r="N21" s="365"/>
      <c r="O21" s="365"/>
      <c r="P21" s="365"/>
      <c r="Q21" s="365"/>
      <c r="R21" s="365"/>
      <c r="S21" s="365"/>
    </row>
    <row r="22" spans="1:19" s="189" customFormat="1">
      <c r="A22" s="186"/>
      <c r="B22" s="384" t="s">
        <v>335</v>
      </c>
      <c r="C22" s="384">
        <v>0.76</v>
      </c>
      <c r="D22" s="384">
        <v>0.78</v>
      </c>
      <c r="E22" s="384">
        <v>0.94</v>
      </c>
      <c r="F22" s="384">
        <v>0.97</v>
      </c>
      <c r="G22" s="384">
        <v>1.0900000000000001</v>
      </c>
      <c r="H22" s="186"/>
      <c r="I22" s="389">
        <v>0.26</v>
      </c>
      <c r="J22" s="389">
        <v>0.28000000000000003</v>
      </c>
      <c r="K22" s="387">
        <v>0.26</v>
      </c>
      <c r="L22" s="384">
        <v>0.28999999999999998</v>
      </c>
      <c r="M22" s="186"/>
      <c r="N22" s="384">
        <v>0.34</v>
      </c>
      <c r="O22" s="384">
        <v>0.33</v>
      </c>
      <c r="P22" s="384">
        <v>0.38</v>
      </c>
      <c r="Q22" s="186"/>
      <c r="R22" s="186"/>
      <c r="S22" s="186"/>
    </row>
    <row r="23" spans="1:19" s="184" customFormat="1">
      <c r="A23" s="365"/>
      <c r="B23" s="393" t="s">
        <v>336</v>
      </c>
      <c r="C23" s="393">
        <v>0.75</v>
      </c>
      <c r="D23" s="393">
        <v>0.77</v>
      </c>
      <c r="E23" s="393">
        <v>0.93</v>
      </c>
      <c r="F23" s="393">
        <v>0.95</v>
      </c>
      <c r="G23" s="393">
        <v>1.07</v>
      </c>
      <c r="H23" s="365"/>
      <c r="I23" s="445">
        <v>0.26</v>
      </c>
      <c r="J23" s="445">
        <v>0.28000000000000003</v>
      </c>
      <c r="K23" s="443">
        <v>0.25</v>
      </c>
      <c r="L23" s="393">
        <v>0.28999999999999998</v>
      </c>
      <c r="M23" s="365"/>
      <c r="N23" s="393">
        <v>0.33</v>
      </c>
      <c r="O23" s="393">
        <v>0.32</v>
      </c>
      <c r="P23" s="393">
        <v>0.37</v>
      </c>
      <c r="Q23" s="365"/>
      <c r="R23" s="365"/>
      <c r="S23" s="365"/>
    </row>
    <row r="24" spans="1:19" s="189" customFormat="1">
      <c r="A24" s="186"/>
      <c r="B24" s="384" t="s">
        <v>337</v>
      </c>
      <c r="C24" s="186"/>
      <c r="D24" s="186"/>
      <c r="E24" s="186"/>
      <c r="F24" s="186"/>
      <c r="G24" s="186"/>
      <c r="H24" s="186"/>
      <c r="I24" s="388"/>
      <c r="J24" s="388"/>
      <c r="K24" s="388"/>
      <c r="L24" s="186"/>
      <c r="M24" s="186"/>
      <c r="N24" s="186"/>
      <c r="O24" s="186"/>
      <c r="P24" s="186"/>
      <c r="Q24" s="186"/>
      <c r="R24" s="186"/>
      <c r="S24" s="186"/>
    </row>
    <row r="25" spans="1:19" s="184" customFormat="1">
      <c r="A25" s="365"/>
      <c r="B25" s="393" t="s">
        <v>335</v>
      </c>
      <c r="C25" s="393">
        <v>193151</v>
      </c>
      <c r="D25" s="393">
        <v>193147</v>
      </c>
      <c r="E25" s="393">
        <v>189920</v>
      </c>
      <c r="F25" s="393">
        <v>186529</v>
      </c>
      <c r="G25" s="393">
        <v>182817</v>
      </c>
      <c r="H25" s="365"/>
      <c r="I25" s="442">
        <v>183130</v>
      </c>
      <c r="J25" s="442">
        <v>183179</v>
      </c>
      <c r="K25" s="443">
        <v>182850</v>
      </c>
      <c r="L25" s="393">
        <v>182106</v>
      </c>
      <c r="M25" s="365"/>
      <c r="N25" s="393">
        <v>181168</v>
      </c>
      <c r="O25" s="393">
        <v>180322</v>
      </c>
      <c r="P25" s="393">
        <v>179233</v>
      </c>
      <c r="Q25" s="365"/>
      <c r="R25" s="365"/>
      <c r="S25" s="365"/>
    </row>
    <row r="26" spans="1:19" s="189" customFormat="1">
      <c r="A26" s="186"/>
      <c r="B26" s="384" t="s">
        <v>336</v>
      </c>
      <c r="C26" s="384">
        <v>196451</v>
      </c>
      <c r="D26" s="384">
        <v>195804</v>
      </c>
      <c r="E26" s="384">
        <v>192036</v>
      </c>
      <c r="F26" s="384">
        <v>189246</v>
      </c>
      <c r="G26" s="384">
        <v>186119</v>
      </c>
      <c r="H26" s="186"/>
      <c r="I26" s="386">
        <v>186175</v>
      </c>
      <c r="J26" s="386">
        <v>186750</v>
      </c>
      <c r="K26" s="387">
        <v>186094</v>
      </c>
      <c r="L26" s="384">
        <v>185234</v>
      </c>
      <c r="M26" s="186"/>
      <c r="N26" s="384">
        <v>184187</v>
      </c>
      <c r="O26" s="384">
        <v>183346</v>
      </c>
      <c r="P26" s="384">
        <v>182682</v>
      </c>
      <c r="Q26" s="186"/>
      <c r="R26" s="186"/>
      <c r="S26" s="186"/>
    </row>
    <row r="27" spans="1:19" s="184" customFormat="1">
      <c r="A27" s="365"/>
      <c r="B27" s="393" t="s">
        <v>338</v>
      </c>
      <c r="C27" s="393">
        <v>251285</v>
      </c>
      <c r="D27" s="393">
        <v>263379</v>
      </c>
      <c r="E27" s="393">
        <v>306694</v>
      </c>
      <c r="F27" s="393">
        <v>341155</v>
      </c>
      <c r="G27" s="393">
        <v>374074</v>
      </c>
      <c r="H27" s="365"/>
      <c r="I27" s="393">
        <v>89477</v>
      </c>
      <c r="J27" s="443">
        <v>95008</v>
      </c>
      <c r="K27" s="443">
        <v>91658</v>
      </c>
      <c r="L27" s="393">
        <v>93768</v>
      </c>
      <c r="M27" s="365"/>
      <c r="N27" s="393">
        <v>98942</v>
      </c>
      <c r="O27" s="393">
        <v>106520</v>
      </c>
      <c r="P27" s="393">
        <v>104597</v>
      </c>
      <c r="Q27" s="365"/>
      <c r="R27" s="365"/>
      <c r="S27" s="365"/>
    </row>
    <row r="28" spans="1:19">
      <c r="A28" s="324"/>
      <c r="B28" s="324"/>
      <c r="C28" s="324"/>
      <c r="D28" s="324"/>
      <c r="E28" s="324"/>
      <c r="F28" s="324"/>
      <c r="G28" s="324"/>
      <c r="H28" s="324"/>
      <c r="I28" s="248"/>
      <c r="J28" s="259"/>
      <c r="K28" s="232"/>
      <c r="L28" s="324"/>
      <c r="M28" s="324"/>
      <c r="N28" s="248"/>
      <c r="O28" s="324"/>
      <c r="P28" s="324"/>
      <c r="Q28" s="324"/>
      <c r="R28" s="324"/>
      <c r="S28" s="324"/>
    </row>
    <row r="29" spans="1:19">
      <c r="A29" s="324"/>
      <c r="B29" s="324"/>
      <c r="C29" s="324"/>
      <c r="D29" s="324"/>
      <c r="E29" s="324"/>
      <c r="F29" s="324"/>
      <c r="G29" s="324"/>
      <c r="H29" s="324"/>
      <c r="I29" s="365"/>
      <c r="J29" s="364"/>
      <c r="K29" s="364"/>
      <c r="L29" s="324"/>
      <c r="M29" s="324"/>
      <c r="N29" s="248"/>
      <c r="O29" s="324"/>
      <c r="P29" s="324"/>
      <c r="Q29" s="324"/>
      <c r="R29" s="324"/>
      <c r="S29" s="324"/>
    </row>
    <row r="30" spans="1:19">
      <c r="A30" s="324"/>
      <c r="B30" s="324"/>
      <c r="C30" s="324"/>
      <c r="D30" s="324"/>
      <c r="E30" s="324"/>
      <c r="F30" s="324"/>
      <c r="G30" s="324"/>
      <c r="H30" s="324"/>
      <c r="I30" s="398"/>
      <c r="J30" s="398"/>
      <c r="K30" s="364"/>
      <c r="L30" s="324"/>
      <c r="M30" s="324"/>
      <c r="N30" s="248"/>
      <c r="O30" s="324"/>
      <c r="P30" s="324"/>
      <c r="Q30" s="324"/>
      <c r="R30" s="324"/>
      <c r="S30" s="324"/>
    </row>
    <row r="31" spans="1:19">
      <c r="A31" s="324"/>
      <c r="B31" s="324"/>
      <c r="C31" s="324"/>
      <c r="D31" s="324"/>
      <c r="E31" s="324"/>
      <c r="F31" s="324"/>
      <c r="G31" s="324"/>
      <c r="H31" s="324"/>
      <c r="I31" s="365"/>
      <c r="J31" s="364"/>
      <c r="K31" s="364"/>
      <c r="L31" s="324"/>
      <c r="M31" s="324"/>
      <c r="N31" s="324"/>
      <c r="O31" s="324"/>
      <c r="P31" s="324"/>
      <c r="Q31" s="324"/>
      <c r="R31" s="324"/>
      <c r="S31" s="324"/>
    </row>
    <row r="32" spans="1:19">
      <c r="A32" s="324"/>
      <c r="B32" s="324"/>
      <c r="C32" s="324"/>
      <c r="D32" s="324"/>
      <c r="E32" s="324"/>
      <c r="F32" s="324"/>
      <c r="G32" s="324"/>
      <c r="H32" s="324"/>
      <c r="I32" s="365"/>
      <c r="J32" s="364"/>
      <c r="K32" s="364"/>
      <c r="L32" s="324"/>
      <c r="M32" s="324"/>
      <c r="N32" s="324"/>
      <c r="O32" s="324"/>
      <c r="P32" s="324"/>
      <c r="Q32" s="324"/>
      <c r="R32" s="324"/>
      <c r="S32" s="324"/>
    </row>
    <row r="33" spans="1:19">
      <c r="A33" s="324"/>
      <c r="B33" s="324"/>
      <c r="C33" s="324"/>
      <c r="D33" s="324"/>
      <c r="E33" s="324"/>
      <c r="F33" s="324"/>
      <c r="G33" s="324"/>
      <c r="H33" s="324"/>
      <c r="I33" s="365"/>
      <c r="J33" s="365"/>
      <c r="K33" s="365"/>
      <c r="L33" s="324"/>
      <c r="M33" s="324"/>
      <c r="N33" s="324"/>
      <c r="O33" s="324"/>
      <c r="P33" s="324"/>
      <c r="Q33" s="324"/>
      <c r="R33" s="324"/>
      <c r="S33" s="324"/>
    </row>
    <row r="34" spans="1:19">
      <c r="A34" s="324"/>
      <c r="B34" s="324"/>
      <c r="C34" s="324"/>
      <c r="D34" s="324"/>
      <c r="E34" s="324"/>
      <c r="F34" s="324"/>
      <c r="G34" s="324"/>
      <c r="H34" s="324"/>
      <c r="I34" s="365"/>
      <c r="J34" s="365"/>
      <c r="K34" s="365"/>
      <c r="L34" s="324"/>
      <c r="M34" s="324"/>
      <c r="N34" s="324"/>
      <c r="O34" s="324"/>
      <c r="P34" s="324"/>
      <c r="Q34" s="324"/>
      <c r="R34" s="324"/>
      <c r="S34" s="324"/>
    </row>
  </sheetData>
  <pageMargins left="0.7" right="0.7" top="0.75" bottom="0.75" header="0.3" footer="0.3"/>
  <pageSetup fitToHeight="0"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8E85"/>
  </sheetPr>
  <dimension ref="A1:AC42"/>
  <sheetViews>
    <sheetView showGridLines="0" zoomScale="90" zoomScaleNormal="90" workbookViewId="0">
      <pane xSplit="2" ySplit="6" topLeftCell="C19" activePane="bottomRight" state="frozen"/>
      <selection pane="topRight" activeCell="C1" sqref="C1"/>
      <selection pane="bottomLeft" activeCell="A7" sqref="A7"/>
      <selection pane="bottomRight" activeCell="B50" sqref="B50"/>
    </sheetView>
  </sheetViews>
  <sheetFormatPr defaultRowHeight="15"/>
  <cols>
    <col min="1" max="1" width="1.7109375" style="6" customWidth="1"/>
    <col min="2" max="2" width="57.28515625" bestFit="1" customWidth="1"/>
    <col min="3" max="7" width="8" bestFit="1" customWidth="1"/>
    <col min="8" max="8" width="1.7109375" customWidth="1"/>
    <col min="9" max="12" width="9.42578125" bestFit="1" customWidth="1"/>
    <col min="13" max="13" width="1.7109375" customWidth="1"/>
    <col min="14" max="17" width="9.42578125" bestFit="1" customWidth="1"/>
    <col min="18" max="18" width="10.5703125" bestFit="1" customWidth="1"/>
  </cols>
  <sheetData>
    <row r="1" spans="1:29" s="6" customFormat="1" ht="23.25">
      <c r="A1" s="450"/>
      <c r="B1" s="268" t="str">
        <f>Valuation!B1</f>
        <v>RHT</v>
      </c>
      <c r="C1" s="450"/>
      <c r="D1" s="450"/>
      <c r="E1" s="450"/>
      <c r="F1" s="450"/>
      <c r="G1" s="450"/>
      <c r="H1" s="324"/>
      <c r="I1" s="450"/>
      <c r="J1" s="450"/>
      <c r="K1" s="450"/>
      <c r="L1" s="450"/>
      <c r="M1" s="324"/>
      <c r="N1" s="450"/>
      <c r="O1" s="450"/>
      <c r="P1" s="324"/>
      <c r="Q1" s="450"/>
      <c r="R1" s="450"/>
      <c r="S1" s="450"/>
      <c r="T1" s="450"/>
      <c r="U1" s="450"/>
      <c r="V1" s="450"/>
      <c r="W1" s="450"/>
      <c r="X1" s="450"/>
      <c r="Y1" s="450"/>
      <c r="Z1" s="450"/>
      <c r="AA1" s="450"/>
      <c r="AB1" s="450"/>
      <c r="AC1" s="450"/>
    </row>
    <row r="2" spans="1:29" s="6" customFormat="1">
      <c r="A2" s="450"/>
      <c r="B2" s="269" t="str">
        <f>Valuation!B2</f>
        <v>Red Hat .Inc</v>
      </c>
      <c r="C2" s="324"/>
      <c r="D2" s="450"/>
      <c r="E2" s="324"/>
      <c r="F2" s="324"/>
      <c r="G2" s="324"/>
      <c r="H2" s="324"/>
      <c r="I2" s="324"/>
      <c r="J2" s="324"/>
      <c r="K2" s="324"/>
      <c r="L2" s="324"/>
      <c r="M2" s="324"/>
      <c r="N2" s="324"/>
      <c r="O2" s="324"/>
      <c r="P2" s="324"/>
      <c r="Q2" s="324"/>
      <c r="R2" s="324"/>
      <c r="S2" s="450"/>
      <c r="T2" s="450"/>
      <c r="U2" s="450"/>
      <c r="V2" s="450"/>
      <c r="W2" s="450"/>
      <c r="X2" s="450"/>
      <c r="Y2" s="450"/>
      <c r="Z2" s="450"/>
      <c r="AA2" s="450"/>
      <c r="AB2" s="450"/>
      <c r="AC2" s="450"/>
    </row>
    <row r="3" spans="1:29" s="1" customFormat="1" ht="3" customHeight="1">
      <c r="A3" s="324"/>
      <c r="B3" s="242"/>
      <c r="C3" s="242"/>
      <c r="D3" s="242"/>
      <c r="E3" s="242"/>
      <c r="F3" s="242"/>
      <c r="G3" s="242"/>
      <c r="H3" s="242"/>
      <c r="I3" s="242"/>
      <c r="J3" s="242"/>
      <c r="K3" s="242"/>
      <c r="L3" s="242"/>
      <c r="M3" s="242"/>
      <c r="N3" s="242"/>
      <c r="O3" s="242"/>
      <c r="P3" s="242"/>
      <c r="Q3" s="242"/>
      <c r="R3" s="242"/>
      <c r="S3" s="242"/>
      <c r="T3" s="242"/>
      <c r="U3" s="242"/>
      <c r="V3" s="242"/>
      <c r="W3" s="242"/>
      <c r="X3" s="242"/>
      <c r="Y3" s="242"/>
      <c r="Z3" s="324"/>
      <c r="AA3" s="324"/>
      <c r="AB3" s="324"/>
      <c r="AC3" s="324"/>
    </row>
    <row r="4" spans="1:29" s="6" customFormat="1">
      <c r="A4" s="450"/>
      <c r="B4" s="198" t="s">
        <v>236</v>
      </c>
      <c r="C4" s="324"/>
      <c r="D4" s="450"/>
      <c r="E4" s="324"/>
      <c r="F4" s="324"/>
      <c r="G4" s="324"/>
      <c r="H4" s="324"/>
      <c r="I4" s="324"/>
      <c r="J4" s="324"/>
      <c r="K4" s="324"/>
      <c r="L4" s="324"/>
      <c r="M4" s="324"/>
      <c r="N4" s="324"/>
      <c r="O4" s="324"/>
      <c r="P4" s="324"/>
      <c r="Q4" s="270"/>
      <c r="R4" s="324"/>
      <c r="S4" s="324"/>
      <c r="T4" s="324"/>
      <c r="U4" s="324"/>
      <c r="V4" s="324"/>
      <c r="W4" s="324"/>
      <c r="X4" s="324"/>
      <c r="Y4" s="324"/>
      <c r="Z4" s="324"/>
      <c r="AA4" s="324"/>
      <c r="AB4" s="324"/>
      <c r="AC4" s="324"/>
    </row>
    <row r="5" spans="1:29" s="6" customFormat="1">
      <c r="A5" s="450"/>
      <c r="B5" s="245"/>
      <c r="C5" s="245"/>
      <c r="D5" s="245"/>
      <c r="E5" s="245"/>
      <c r="F5" s="245"/>
      <c r="G5" s="245"/>
      <c r="H5" s="324"/>
      <c r="I5" s="245"/>
      <c r="J5" s="245"/>
      <c r="K5" s="245"/>
      <c r="L5" s="245"/>
      <c r="M5" s="324"/>
      <c r="N5" s="450"/>
      <c r="O5" s="450"/>
      <c r="P5" s="450"/>
      <c r="Q5" s="270"/>
      <c r="R5" s="324"/>
      <c r="S5" s="271"/>
      <c r="T5" s="271"/>
      <c r="U5" s="271"/>
      <c r="V5" s="271"/>
      <c r="W5" s="271"/>
      <c r="X5" s="271"/>
      <c r="Y5" s="271"/>
      <c r="Z5" s="271"/>
      <c r="AA5" s="450"/>
      <c r="AB5" s="450"/>
      <c r="AC5" s="450"/>
    </row>
    <row r="6" spans="1:29" s="6" customFormat="1">
      <c r="A6" s="450"/>
      <c r="B6" s="128" t="s">
        <v>17</v>
      </c>
      <c r="C6" s="390">
        <v>2012</v>
      </c>
      <c r="D6" s="279">
        <f>C6+1</f>
        <v>2013</v>
      </c>
      <c r="E6" s="279">
        <f>D6+1</f>
        <v>2014</v>
      </c>
      <c r="F6" s="279">
        <f>E6+1</f>
        <v>2015</v>
      </c>
      <c r="G6" s="279">
        <f>F6+1</f>
        <v>2016</v>
      </c>
      <c r="H6" s="324"/>
      <c r="I6" s="279" t="str">
        <f>"FY"&amp;G6&amp;"Q1"</f>
        <v>FY2016Q1</v>
      </c>
      <c r="J6" s="279" t="str">
        <f>"FY"&amp;G6&amp;"Q2"</f>
        <v>FY2016Q2</v>
      </c>
      <c r="K6" s="279" t="str">
        <f>"FY"&amp;G6&amp;"Q3"</f>
        <v>FY2016Q3</v>
      </c>
      <c r="L6" s="279" t="str">
        <f>"FY"&amp;G6&amp;"Q4"</f>
        <v>FY2016Q4</v>
      </c>
      <c r="M6" s="324"/>
      <c r="N6" s="279" t="str">
        <f>"FY"&amp;G6+1&amp;"Q1"</f>
        <v>FY2017Q1</v>
      </c>
      <c r="O6" s="279" t="str">
        <f>"FY"&amp;G6+1&amp;"Q2"</f>
        <v>FY2017Q2</v>
      </c>
      <c r="P6" s="279" t="str">
        <f>"FY"&amp;G6+1&amp;"Q3"</f>
        <v>FY2017Q3</v>
      </c>
      <c r="Q6" s="324"/>
      <c r="R6" s="324"/>
      <c r="S6" s="271"/>
      <c r="T6" s="271"/>
      <c r="U6" s="271"/>
      <c r="V6" s="271"/>
      <c r="W6" s="271"/>
      <c r="X6" s="271"/>
      <c r="Y6" s="271"/>
      <c r="Z6" s="271"/>
      <c r="AA6" s="450"/>
      <c r="AB6" s="450"/>
      <c r="AC6" s="450"/>
    </row>
    <row r="7" spans="1:29">
      <c r="A7" s="450"/>
      <c r="B7" s="198" t="s">
        <v>240</v>
      </c>
      <c r="C7" s="198">
        <v>146626</v>
      </c>
      <c r="D7" s="198">
        <v>150204</v>
      </c>
      <c r="E7" s="198">
        <v>178292</v>
      </c>
      <c r="F7" s="198">
        <v>180201</v>
      </c>
      <c r="G7" s="198">
        <v>199365</v>
      </c>
      <c r="H7" s="324"/>
      <c r="I7" s="391">
        <v>48086</v>
      </c>
      <c r="J7" s="391">
        <v>51395</v>
      </c>
      <c r="K7" s="198">
        <v>46848</v>
      </c>
      <c r="L7" s="198">
        <v>53036</v>
      </c>
      <c r="M7" s="324"/>
      <c r="N7" s="198">
        <v>61184</v>
      </c>
      <c r="O7" s="384">
        <v>58772</v>
      </c>
      <c r="P7" s="198">
        <v>67943</v>
      </c>
      <c r="Q7" s="324"/>
      <c r="R7" s="324"/>
      <c r="S7" s="324"/>
      <c r="T7" s="324"/>
      <c r="U7" s="324"/>
      <c r="V7" s="324"/>
      <c r="W7" s="324"/>
      <c r="X7" s="324"/>
      <c r="Y7" s="324"/>
      <c r="Z7" s="324"/>
      <c r="AA7" s="324"/>
      <c r="AB7" s="324"/>
      <c r="AC7" s="324"/>
    </row>
    <row r="8" spans="1:29">
      <c r="A8" s="450"/>
      <c r="B8" s="198" t="s">
        <v>241</v>
      </c>
      <c r="C8" s="198">
        <v>51372</v>
      </c>
      <c r="D8" s="198">
        <v>62341</v>
      </c>
      <c r="E8" s="198">
        <v>74405</v>
      </c>
      <c r="F8" s="198">
        <v>76263</v>
      </c>
      <c r="G8" s="198">
        <v>76088</v>
      </c>
      <c r="H8" s="324"/>
      <c r="I8" s="375">
        <v>18547</v>
      </c>
      <c r="J8" s="375">
        <v>18538</v>
      </c>
      <c r="K8" s="198">
        <v>19858</v>
      </c>
      <c r="L8" s="198">
        <v>19144</v>
      </c>
      <c r="M8" s="324"/>
      <c r="N8" s="198">
        <v>20702</v>
      </c>
      <c r="O8" s="384">
        <v>21160</v>
      </c>
      <c r="P8" s="198">
        <v>21870</v>
      </c>
      <c r="Q8" s="324"/>
      <c r="R8" s="324"/>
      <c r="S8" s="324"/>
      <c r="T8" s="324"/>
      <c r="U8" s="324"/>
      <c r="V8" s="324"/>
      <c r="W8" s="324"/>
      <c r="X8" s="324"/>
      <c r="Y8" s="324"/>
      <c r="Z8" s="324"/>
      <c r="AA8" s="324"/>
      <c r="AB8" s="324"/>
      <c r="AC8" s="324"/>
    </row>
    <row r="9" spans="1:29">
      <c r="A9" s="245"/>
      <c r="B9" s="198" t="s">
        <v>242</v>
      </c>
      <c r="C9" s="324"/>
      <c r="D9" s="198">
        <v>6889</v>
      </c>
      <c r="E9" s="198">
        <v>8697</v>
      </c>
      <c r="F9" s="198">
        <v>17541</v>
      </c>
      <c r="G9" s="198">
        <v>33172</v>
      </c>
      <c r="H9" s="324"/>
      <c r="I9" s="392">
        <v>7792</v>
      </c>
      <c r="J9" s="392">
        <v>8361</v>
      </c>
      <c r="K9" s="393">
        <v>8334</v>
      </c>
      <c r="L9" s="198">
        <v>8684</v>
      </c>
      <c r="M9" s="324"/>
      <c r="N9" s="198">
        <v>8905</v>
      </c>
      <c r="O9" s="384">
        <v>8687</v>
      </c>
      <c r="P9" s="198">
        <v>8573</v>
      </c>
      <c r="Q9" s="324"/>
      <c r="R9" s="324"/>
      <c r="S9" s="324"/>
      <c r="T9" s="324"/>
      <c r="U9" s="324"/>
      <c r="V9" s="324"/>
      <c r="W9" s="324"/>
      <c r="X9" s="324"/>
      <c r="Y9" s="324"/>
      <c r="Z9" s="324"/>
      <c r="AA9" s="324"/>
      <c r="AB9" s="324"/>
      <c r="AC9" s="324"/>
    </row>
    <row r="10" spans="1:29">
      <c r="A10" s="450"/>
      <c r="B10" s="198" t="s">
        <v>243</v>
      </c>
      <c r="C10" s="198">
        <v>-1924</v>
      </c>
      <c r="D10" s="324"/>
      <c r="E10" s="324"/>
      <c r="F10" s="324"/>
      <c r="G10" s="324"/>
      <c r="H10" s="324"/>
      <c r="I10" s="365"/>
      <c r="J10" s="365"/>
      <c r="K10" s="365"/>
      <c r="L10" s="324"/>
      <c r="M10" s="324"/>
      <c r="N10" s="324"/>
      <c r="O10" s="186"/>
      <c r="P10" s="324"/>
      <c r="Q10" s="324"/>
      <c r="R10" s="365"/>
      <c r="S10" s="365"/>
      <c r="T10" s="365"/>
      <c r="U10" s="365"/>
      <c r="V10" s="365"/>
      <c r="W10" s="365"/>
      <c r="X10" s="365"/>
      <c r="Y10" s="365"/>
      <c r="Z10" s="365"/>
      <c r="AA10" s="365"/>
      <c r="AB10" s="365"/>
      <c r="AC10" s="365"/>
    </row>
    <row r="11" spans="1:29">
      <c r="A11" s="450"/>
      <c r="B11" s="198" t="s">
        <v>244</v>
      </c>
      <c r="C11" s="198">
        <v>45702</v>
      </c>
      <c r="D11" s="198">
        <v>39849</v>
      </c>
      <c r="E11" s="198">
        <v>26613</v>
      </c>
      <c r="F11" s="198">
        <v>23517</v>
      </c>
      <c r="G11" s="198">
        <v>-13673</v>
      </c>
      <c r="H11" s="324"/>
      <c r="I11" s="392">
        <v>1914</v>
      </c>
      <c r="J11" s="392">
        <v>-3843</v>
      </c>
      <c r="K11" s="393">
        <v>5841</v>
      </c>
      <c r="L11" s="198">
        <v>-17585</v>
      </c>
      <c r="M11" s="324"/>
      <c r="N11" s="198">
        <v>-2152</v>
      </c>
      <c r="O11" s="384">
        <v>-5467</v>
      </c>
      <c r="P11" s="198">
        <v>13818</v>
      </c>
      <c r="Q11" s="324"/>
      <c r="R11" s="398"/>
      <c r="S11" s="365"/>
      <c r="T11" s="365"/>
      <c r="U11" s="365"/>
      <c r="V11" s="365"/>
      <c r="W11" s="365"/>
      <c r="X11" s="365"/>
      <c r="Y11" s="365"/>
      <c r="Z11" s="365"/>
      <c r="AA11" s="365"/>
      <c r="AB11" s="365"/>
      <c r="AC11" s="365"/>
    </row>
    <row r="12" spans="1:29">
      <c r="A12" s="450"/>
      <c r="B12" s="198" t="s">
        <v>245</v>
      </c>
      <c r="C12" s="198">
        <v>79267</v>
      </c>
      <c r="D12" s="198">
        <v>98698</v>
      </c>
      <c r="E12" s="198">
        <v>113774</v>
      </c>
      <c r="F12" s="198">
        <v>135232</v>
      </c>
      <c r="G12" s="198">
        <v>166234</v>
      </c>
      <c r="H12" s="324"/>
      <c r="I12" s="392">
        <v>36522</v>
      </c>
      <c r="J12" s="392">
        <v>40537</v>
      </c>
      <c r="K12" s="393">
        <v>43407</v>
      </c>
      <c r="L12" s="198">
        <v>45768</v>
      </c>
      <c r="M12" s="324"/>
      <c r="N12" s="198">
        <v>41275</v>
      </c>
      <c r="O12" s="384">
        <v>45357</v>
      </c>
      <c r="P12" s="198">
        <v>54741</v>
      </c>
      <c r="Q12" s="324"/>
      <c r="R12" s="398"/>
      <c r="S12" s="365"/>
      <c r="T12" s="365"/>
      <c r="U12" s="365"/>
      <c r="V12" s="365"/>
      <c r="W12" s="365"/>
      <c r="X12" s="365"/>
      <c r="Y12" s="365"/>
      <c r="Z12" s="365"/>
      <c r="AA12" s="365"/>
      <c r="AB12" s="365"/>
      <c r="AC12" s="365"/>
    </row>
    <row r="13" spans="1:29">
      <c r="A13" s="450"/>
      <c r="B13" s="198" t="s">
        <v>246</v>
      </c>
      <c r="C13" s="198">
        <v>-70410</v>
      </c>
      <c r="D13" s="198">
        <v>-46913</v>
      </c>
      <c r="E13" s="198">
        <v>-61785</v>
      </c>
      <c r="F13" s="198">
        <v>-121536</v>
      </c>
      <c r="G13" s="198">
        <v>-48404</v>
      </c>
      <c r="H13" s="324"/>
      <c r="I13" s="392">
        <v>179387</v>
      </c>
      <c r="J13" s="392">
        <v>-17908</v>
      </c>
      <c r="K13" s="393">
        <v>-96964</v>
      </c>
      <c r="L13" s="198">
        <v>-112919</v>
      </c>
      <c r="M13" s="324"/>
      <c r="N13" s="198">
        <v>190330</v>
      </c>
      <c r="O13" s="384">
        <v>-30684</v>
      </c>
      <c r="P13" s="198">
        <v>-73149</v>
      </c>
      <c r="Q13" s="324"/>
      <c r="R13" s="365"/>
      <c r="S13" s="365"/>
      <c r="T13" s="365"/>
      <c r="U13" s="365"/>
      <c r="V13" s="365"/>
      <c r="W13" s="365"/>
      <c r="X13" s="365"/>
      <c r="Y13" s="365"/>
      <c r="Z13" s="365"/>
      <c r="AA13" s="365"/>
      <c r="AB13" s="365"/>
      <c r="AC13" s="365"/>
    </row>
    <row r="14" spans="1:29">
      <c r="A14" s="450"/>
      <c r="B14" s="198" t="s">
        <v>247</v>
      </c>
      <c r="C14" s="198">
        <v>-19190</v>
      </c>
      <c r="D14" s="198">
        <v>-14726</v>
      </c>
      <c r="E14" s="198">
        <v>-25122</v>
      </c>
      <c r="F14" s="198">
        <v>-40741</v>
      </c>
      <c r="G14" s="198">
        <v>-24486</v>
      </c>
      <c r="H14" s="324"/>
      <c r="I14" s="375">
        <v>-427</v>
      </c>
      <c r="J14" s="375">
        <v>13077</v>
      </c>
      <c r="K14" s="198">
        <v>-9032</v>
      </c>
      <c r="L14" s="198">
        <v>-28104</v>
      </c>
      <c r="M14" s="324"/>
      <c r="N14" s="198">
        <v>-9373</v>
      </c>
      <c r="O14" s="384">
        <v>8883</v>
      </c>
      <c r="P14" s="198">
        <v>-18897</v>
      </c>
      <c r="Q14" s="324"/>
      <c r="R14" s="365"/>
      <c r="S14" s="365"/>
      <c r="T14" s="365"/>
      <c r="U14" s="365"/>
      <c r="V14" s="365"/>
      <c r="W14" s="365"/>
      <c r="X14" s="365"/>
      <c r="Y14" s="365"/>
      <c r="Z14" s="365"/>
      <c r="AA14" s="365"/>
      <c r="AB14" s="365"/>
      <c r="AC14" s="365"/>
    </row>
    <row r="15" spans="1:29">
      <c r="A15" s="245"/>
      <c r="B15" s="198" t="s">
        <v>248</v>
      </c>
      <c r="C15" s="198">
        <v>189633</v>
      </c>
      <c r="D15" s="198">
        <v>205800</v>
      </c>
      <c r="E15" s="198">
        <v>237132</v>
      </c>
      <c r="F15" s="198">
        <v>355792</v>
      </c>
      <c r="G15" s="198">
        <v>323378</v>
      </c>
      <c r="H15" s="324"/>
      <c r="I15" s="398"/>
      <c r="J15" s="398"/>
      <c r="K15" s="198">
        <v>120458</v>
      </c>
      <c r="L15" s="198">
        <v>277772</v>
      </c>
      <c r="M15" s="324"/>
      <c r="N15" s="198">
        <v>-85759</v>
      </c>
      <c r="O15" s="384">
        <v>-11419</v>
      </c>
      <c r="P15" s="198">
        <v>54112</v>
      </c>
      <c r="Q15" s="324"/>
      <c r="R15" s="398"/>
      <c r="S15" s="398"/>
      <c r="T15" s="365"/>
      <c r="U15" s="365"/>
      <c r="V15" s="365"/>
      <c r="W15" s="365"/>
      <c r="X15" s="365"/>
      <c r="Y15" s="365"/>
      <c r="Z15" s="365"/>
      <c r="AA15" s="365"/>
      <c r="AB15" s="365"/>
      <c r="AC15" s="365"/>
    </row>
    <row r="16" spans="1:29">
      <c r="A16" s="245"/>
      <c r="B16" s="198" t="s">
        <v>249</v>
      </c>
      <c r="C16" s="198">
        <v>-29193</v>
      </c>
      <c r="D16" s="198">
        <v>-36845</v>
      </c>
      <c r="E16" s="198">
        <v>-11426</v>
      </c>
      <c r="F16" s="198">
        <v>-3474</v>
      </c>
      <c r="G16" s="198">
        <v>4418</v>
      </c>
      <c r="H16" s="324"/>
      <c r="I16" s="375">
        <v>830</v>
      </c>
      <c r="J16" s="375">
        <v>1078</v>
      </c>
      <c r="K16" s="198">
        <v>853</v>
      </c>
      <c r="L16" s="198">
        <v>1657</v>
      </c>
      <c r="M16" s="324"/>
      <c r="N16" s="198">
        <v>7185</v>
      </c>
      <c r="O16" s="384">
        <v>1513</v>
      </c>
      <c r="P16" s="198">
        <v>7348</v>
      </c>
      <c r="Q16" s="324"/>
      <c r="R16" s="365"/>
      <c r="S16" s="365"/>
      <c r="T16" s="365"/>
      <c r="U16" s="365"/>
      <c r="V16" s="365"/>
      <c r="W16" s="365"/>
      <c r="X16" s="365"/>
      <c r="Y16" s="365"/>
      <c r="Z16" s="365"/>
      <c r="AA16" s="365"/>
      <c r="AB16" s="365"/>
      <c r="AC16" s="365"/>
    </row>
    <row r="17" spans="1:29" s="189" customFormat="1">
      <c r="A17" s="185"/>
      <c r="B17" s="384" t="s">
        <v>250</v>
      </c>
      <c r="C17" s="384">
        <v>391883</v>
      </c>
      <c r="D17" s="384">
        <v>465297</v>
      </c>
      <c r="E17" s="384">
        <v>540580</v>
      </c>
      <c r="F17" s="384">
        <v>622795</v>
      </c>
      <c r="G17" s="384">
        <v>716092</v>
      </c>
      <c r="H17" s="186"/>
      <c r="I17" s="394">
        <v>208758</v>
      </c>
      <c r="J17" s="394">
        <v>120277</v>
      </c>
      <c r="K17" s="384">
        <v>139603</v>
      </c>
      <c r="L17" s="384">
        <v>247453</v>
      </c>
      <c r="M17" s="186"/>
      <c r="N17" s="384">
        <v>232297</v>
      </c>
      <c r="O17" s="384">
        <v>96802</v>
      </c>
      <c r="P17" s="384">
        <v>136359</v>
      </c>
      <c r="Q17" s="186"/>
      <c r="R17" s="186"/>
      <c r="S17" s="186"/>
      <c r="T17" s="186"/>
      <c r="U17" s="186"/>
      <c r="V17" s="186"/>
      <c r="W17" s="186"/>
      <c r="X17" s="186"/>
      <c r="Y17" s="186"/>
      <c r="Z17" s="186"/>
      <c r="AA17" s="186"/>
      <c r="AB17" s="186"/>
      <c r="AC17" s="186"/>
    </row>
    <row r="18" spans="1:29">
      <c r="A18" s="450"/>
      <c r="B18" s="198" t="s">
        <v>251</v>
      </c>
      <c r="C18" s="324"/>
      <c r="D18" s="324"/>
      <c r="E18" s="324"/>
      <c r="F18" s="324"/>
      <c r="G18" s="324"/>
      <c r="H18" s="324"/>
      <c r="I18" s="248"/>
      <c r="J18" s="248"/>
      <c r="K18" s="248"/>
      <c r="L18" s="324"/>
      <c r="M18" s="324"/>
      <c r="N18" s="324"/>
      <c r="O18" s="186"/>
      <c r="P18" s="324"/>
      <c r="Q18" s="324"/>
      <c r="R18" s="324"/>
      <c r="S18" s="324"/>
      <c r="T18" s="324"/>
      <c r="U18" s="324"/>
      <c r="V18" s="324"/>
      <c r="W18" s="324"/>
      <c r="X18" s="324"/>
      <c r="Y18" s="324"/>
      <c r="Z18" s="324"/>
      <c r="AA18" s="324"/>
      <c r="AB18" s="324"/>
      <c r="AC18" s="324"/>
    </row>
    <row r="19" spans="1:29" s="189" customFormat="1">
      <c r="A19" s="187"/>
      <c r="B19" s="384" t="s">
        <v>252</v>
      </c>
      <c r="C19" s="384">
        <v>-46269</v>
      </c>
      <c r="D19" s="384">
        <v>-85671</v>
      </c>
      <c r="E19" s="384">
        <v>-79587</v>
      </c>
      <c r="F19" s="384">
        <v>-45648</v>
      </c>
      <c r="G19" s="384">
        <v>-41553</v>
      </c>
      <c r="H19" s="186"/>
      <c r="I19" s="394">
        <v>-10696</v>
      </c>
      <c r="J19" s="394">
        <v>-10277</v>
      </c>
      <c r="K19" s="384">
        <v>-8486</v>
      </c>
      <c r="L19" s="384">
        <v>-12095</v>
      </c>
      <c r="M19" s="186"/>
      <c r="N19" s="384">
        <v>-17653</v>
      </c>
      <c r="O19" s="384">
        <v>-15539</v>
      </c>
      <c r="P19" s="384">
        <v>-17244</v>
      </c>
      <c r="Q19" s="186"/>
      <c r="R19" s="186"/>
      <c r="S19" s="186"/>
      <c r="T19" s="186"/>
      <c r="U19" s="186"/>
      <c r="V19" s="186"/>
      <c r="W19" s="186"/>
      <c r="X19" s="186"/>
      <c r="Y19" s="186"/>
      <c r="Z19" s="186"/>
      <c r="AA19" s="186"/>
      <c r="AB19" s="186"/>
      <c r="AC19" s="186"/>
    </row>
    <row r="20" spans="1:29">
      <c r="A20" s="450"/>
      <c r="B20" s="198" t="s">
        <v>253</v>
      </c>
      <c r="C20" s="198">
        <v>-137832</v>
      </c>
      <c r="D20" s="198">
        <v>-135501</v>
      </c>
      <c r="E20" s="324"/>
      <c r="F20" s="198">
        <v>-296121</v>
      </c>
      <c r="G20" s="198">
        <v>-126459</v>
      </c>
      <c r="H20" s="324"/>
      <c r="I20" s="395">
        <v>0</v>
      </c>
      <c r="J20" s="395">
        <v>-1700</v>
      </c>
      <c r="K20" s="126">
        <v>-125011</v>
      </c>
      <c r="L20" s="198">
        <v>252</v>
      </c>
      <c r="M20" s="324"/>
      <c r="N20" s="324"/>
      <c r="O20" s="384">
        <v>-28667</v>
      </c>
      <c r="P20" s="324"/>
      <c r="Q20" s="324"/>
      <c r="R20" s="324"/>
      <c r="S20" s="324"/>
      <c r="T20" s="324"/>
      <c r="U20" s="324"/>
      <c r="V20" s="324"/>
      <c r="W20" s="324"/>
      <c r="X20" s="324"/>
      <c r="Y20" s="324"/>
      <c r="Z20" s="324"/>
      <c r="AA20" s="324"/>
      <c r="AB20" s="324"/>
      <c r="AC20" s="324"/>
    </row>
    <row r="21" spans="1:29" s="189" customFormat="1">
      <c r="A21" s="185"/>
      <c r="B21" s="384" t="s">
        <v>254</v>
      </c>
      <c r="C21" s="384">
        <v>-962974</v>
      </c>
      <c r="D21" s="384">
        <v>-875428</v>
      </c>
      <c r="E21" s="384">
        <v>-772741</v>
      </c>
      <c r="F21" s="384">
        <v>-568551</v>
      </c>
      <c r="G21" s="384">
        <v>-982935</v>
      </c>
      <c r="H21" s="186"/>
      <c r="I21" s="394">
        <v>-406211</v>
      </c>
      <c r="J21" s="394">
        <v>-196613</v>
      </c>
      <c r="K21" s="384">
        <v>-180744</v>
      </c>
      <c r="L21" s="384">
        <v>-199367</v>
      </c>
      <c r="M21" s="186"/>
      <c r="N21" s="384">
        <v>-134601</v>
      </c>
      <c r="O21" s="384">
        <v>-163043</v>
      </c>
      <c r="P21" s="384">
        <v>-118152</v>
      </c>
      <c r="Q21" s="186"/>
      <c r="R21" s="186"/>
      <c r="S21" s="186"/>
      <c r="T21" s="186"/>
      <c r="U21" s="186"/>
      <c r="V21" s="186"/>
      <c r="W21" s="186"/>
      <c r="X21" s="186"/>
      <c r="Y21" s="186"/>
      <c r="Z21" s="186"/>
      <c r="AA21" s="186"/>
      <c r="AB21" s="186"/>
      <c r="AC21" s="186"/>
    </row>
    <row r="22" spans="1:29">
      <c r="A22" s="245"/>
      <c r="B22" s="198" t="s">
        <v>255</v>
      </c>
      <c r="C22" s="198">
        <v>793564</v>
      </c>
      <c r="D22" s="198">
        <v>741301</v>
      </c>
      <c r="E22" s="198">
        <v>764122</v>
      </c>
      <c r="F22" s="198">
        <v>580158</v>
      </c>
      <c r="G22" s="198">
        <v>655622</v>
      </c>
      <c r="H22" s="324"/>
      <c r="I22" s="375">
        <v>182583</v>
      </c>
      <c r="J22" s="375">
        <v>170617</v>
      </c>
      <c r="K22" s="198">
        <v>235931</v>
      </c>
      <c r="L22" s="198">
        <v>66491</v>
      </c>
      <c r="M22" s="324"/>
      <c r="N22" s="198">
        <v>117182</v>
      </c>
      <c r="O22" s="384">
        <v>177528</v>
      </c>
      <c r="P22" s="198">
        <v>113759</v>
      </c>
      <c r="Q22" s="324"/>
      <c r="R22" s="324"/>
      <c r="S22" s="324"/>
      <c r="T22" s="324"/>
      <c r="U22" s="324"/>
      <c r="V22" s="324"/>
      <c r="W22" s="324"/>
      <c r="X22" s="324"/>
      <c r="Y22" s="324"/>
      <c r="Z22" s="324"/>
      <c r="AA22" s="324"/>
      <c r="AB22" s="324"/>
      <c r="AC22" s="324"/>
    </row>
    <row r="23" spans="1:29" s="189" customFormat="1">
      <c r="A23" s="185"/>
      <c r="B23" s="384" t="s">
        <v>256</v>
      </c>
      <c r="C23" s="384">
        <v>-5349</v>
      </c>
      <c r="D23" s="384">
        <v>-34367</v>
      </c>
      <c r="E23" s="384">
        <v>-17972</v>
      </c>
      <c r="F23" s="384">
        <v>-6123</v>
      </c>
      <c r="G23" s="384">
        <v>-13964</v>
      </c>
      <c r="H23" s="186"/>
      <c r="I23" s="394">
        <v>-3929</v>
      </c>
      <c r="J23" s="394">
        <v>-2068</v>
      </c>
      <c r="K23" s="384">
        <v>-2097</v>
      </c>
      <c r="L23" s="384">
        <v>-5870</v>
      </c>
      <c r="M23" s="186"/>
      <c r="N23" s="384">
        <v>-2868</v>
      </c>
      <c r="O23" s="384">
        <v>-3521</v>
      </c>
      <c r="P23" s="384">
        <v>-2323</v>
      </c>
      <c r="Q23" s="186"/>
      <c r="R23" s="186"/>
      <c r="S23" s="186"/>
      <c r="T23" s="186"/>
      <c r="U23" s="186"/>
      <c r="V23" s="186"/>
      <c r="W23" s="186"/>
      <c r="X23" s="186"/>
      <c r="Y23" s="186"/>
      <c r="Z23" s="186"/>
      <c r="AA23" s="186"/>
      <c r="AB23" s="186"/>
      <c r="AC23" s="186"/>
    </row>
    <row r="24" spans="1:29">
      <c r="A24" s="245"/>
      <c r="B24" s="198" t="s">
        <v>257</v>
      </c>
      <c r="C24" s="324"/>
      <c r="D24" s="198">
        <v>617</v>
      </c>
      <c r="E24" s="198">
        <v>-2084</v>
      </c>
      <c r="F24" s="198">
        <v>11282</v>
      </c>
      <c r="G24" s="198">
        <v>-2819</v>
      </c>
      <c r="H24" s="324"/>
      <c r="I24" s="375">
        <v>-2000</v>
      </c>
      <c r="J24" s="375">
        <v>-1159</v>
      </c>
      <c r="K24" s="198">
        <v>-90</v>
      </c>
      <c r="L24" s="198">
        <v>430</v>
      </c>
      <c r="M24" s="324"/>
      <c r="N24" s="198">
        <v>-111</v>
      </c>
      <c r="O24" s="186"/>
      <c r="P24" s="198">
        <v>-92</v>
      </c>
      <c r="Q24" s="324"/>
      <c r="R24" s="324"/>
      <c r="S24" s="324"/>
      <c r="T24" s="324"/>
      <c r="U24" s="324"/>
      <c r="V24" s="324"/>
      <c r="W24" s="324"/>
      <c r="X24" s="324"/>
      <c r="Y24" s="324"/>
      <c r="Z24" s="324"/>
      <c r="AA24" s="324"/>
      <c r="AB24" s="324"/>
      <c r="AC24" s="324"/>
    </row>
    <row r="25" spans="1:29" s="189" customFormat="1">
      <c r="A25" s="187"/>
      <c r="B25" s="384" t="s">
        <v>258</v>
      </c>
      <c r="C25" s="384">
        <v>-358860</v>
      </c>
      <c r="D25" s="384">
        <v>-389049</v>
      </c>
      <c r="E25" s="384">
        <v>-108262</v>
      </c>
      <c r="F25" s="384">
        <v>-325003</v>
      </c>
      <c r="G25" s="384">
        <v>-512108</v>
      </c>
      <c r="H25" s="186"/>
      <c r="I25" s="394">
        <v>-240253</v>
      </c>
      <c r="J25" s="394">
        <v>-41200</v>
      </c>
      <c r="K25" s="384">
        <v>-80497</v>
      </c>
      <c r="L25" s="384">
        <v>-150159</v>
      </c>
      <c r="M25" s="186"/>
      <c r="N25" s="384">
        <v>-38051</v>
      </c>
      <c r="O25" s="384">
        <v>-33242</v>
      </c>
      <c r="P25" s="384">
        <v>-24052</v>
      </c>
      <c r="Q25" s="186"/>
      <c r="R25" s="186"/>
      <c r="S25" s="186"/>
      <c r="T25" s="186"/>
      <c r="U25" s="186"/>
      <c r="V25" s="186"/>
      <c r="W25" s="186"/>
      <c r="X25" s="186"/>
      <c r="Y25" s="186"/>
      <c r="Z25" s="186"/>
      <c r="AA25" s="186"/>
      <c r="AB25" s="186"/>
      <c r="AC25" s="186"/>
    </row>
    <row r="26" spans="1:29">
      <c r="A26" s="245"/>
      <c r="B26" s="198" t="s">
        <v>259</v>
      </c>
      <c r="C26" s="324"/>
      <c r="D26" s="324"/>
      <c r="E26" s="324"/>
      <c r="F26" s="324"/>
      <c r="G26" s="248"/>
      <c r="H26" s="248"/>
      <c r="I26" s="224"/>
      <c r="J26" s="224"/>
      <c r="K26" s="248"/>
      <c r="L26" s="324"/>
      <c r="M26" s="324"/>
      <c r="N26" s="324"/>
      <c r="O26" s="186"/>
      <c r="P26" s="324"/>
      <c r="Q26" s="324"/>
      <c r="R26" s="324"/>
      <c r="S26" s="324"/>
      <c r="T26" s="324"/>
      <c r="U26" s="324"/>
      <c r="V26" s="324"/>
      <c r="W26" s="324"/>
      <c r="X26" s="324"/>
      <c r="Y26" s="324"/>
      <c r="Z26" s="324"/>
      <c r="AA26" s="324"/>
      <c r="AB26" s="324"/>
      <c r="AC26" s="324"/>
    </row>
    <row r="27" spans="1:29" s="189" customFormat="1">
      <c r="A27" s="185"/>
      <c r="B27" s="384" t="s">
        <v>260</v>
      </c>
      <c r="C27" s="384">
        <v>118</v>
      </c>
      <c r="D27" s="186"/>
      <c r="E27" s="186"/>
      <c r="F27" s="384">
        <v>789769</v>
      </c>
      <c r="G27" s="186"/>
      <c r="H27" s="186"/>
      <c r="I27" s="396"/>
      <c r="J27" s="396"/>
      <c r="K27" s="186"/>
      <c r="L27" s="186"/>
      <c r="M27" s="186"/>
      <c r="N27" s="186"/>
      <c r="O27" s="186"/>
      <c r="P27" s="186"/>
      <c r="Q27" s="186"/>
      <c r="R27" s="186"/>
      <c r="S27" s="186"/>
      <c r="T27" s="186"/>
      <c r="U27" s="186"/>
      <c r="V27" s="186"/>
      <c r="W27" s="186"/>
      <c r="X27" s="186"/>
      <c r="Y27" s="186"/>
      <c r="Z27" s="186"/>
      <c r="AA27" s="186"/>
      <c r="AB27" s="186"/>
      <c r="AC27" s="186"/>
    </row>
    <row r="28" spans="1:29">
      <c r="A28" s="245"/>
      <c r="B28" s="198" t="s">
        <v>261</v>
      </c>
      <c r="C28" s="198">
        <v>-37477</v>
      </c>
      <c r="D28" s="198">
        <v>-1016</v>
      </c>
      <c r="E28" s="198">
        <v>-1304</v>
      </c>
      <c r="F28" s="198">
        <v>-150822</v>
      </c>
      <c r="G28" s="126">
        <v>-1843</v>
      </c>
      <c r="H28" s="248"/>
      <c r="I28" s="395">
        <v>0</v>
      </c>
      <c r="J28" s="395">
        <v>-70079</v>
      </c>
      <c r="K28" s="126">
        <v>-615</v>
      </c>
      <c r="L28" s="198">
        <v>-491</v>
      </c>
      <c r="M28" s="324"/>
      <c r="N28" s="324"/>
      <c r="O28" s="384">
        <v>-463</v>
      </c>
      <c r="P28" s="198">
        <v>-462</v>
      </c>
      <c r="Q28" s="324"/>
      <c r="R28" s="324"/>
      <c r="S28" s="324"/>
      <c r="T28" s="324"/>
      <c r="U28" s="324"/>
      <c r="V28" s="324"/>
      <c r="W28" s="324"/>
      <c r="X28" s="324"/>
      <c r="Y28" s="324"/>
      <c r="Z28" s="324"/>
      <c r="AA28" s="324"/>
      <c r="AB28" s="324"/>
      <c r="AC28" s="324"/>
    </row>
    <row r="29" spans="1:29" s="189" customFormat="1">
      <c r="A29" s="187"/>
      <c r="B29" s="384" t="s">
        <v>262</v>
      </c>
      <c r="C29" s="186"/>
      <c r="D29" s="186"/>
      <c r="E29" s="186"/>
      <c r="F29" s="384">
        <v>79776</v>
      </c>
      <c r="G29" s="186"/>
      <c r="H29" s="186"/>
      <c r="I29" s="186"/>
      <c r="J29" s="186"/>
      <c r="K29" s="186"/>
      <c r="L29" s="186"/>
      <c r="M29" s="186"/>
      <c r="N29" s="186"/>
      <c r="O29" s="186"/>
      <c r="P29" s="186"/>
      <c r="Q29" s="186"/>
      <c r="R29" s="186"/>
      <c r="S29" s="186"/>
      <c r="T29" s="186"/>
      <c r="U29" s="186"/>
      <c r="V29" s="186"/>
      <c r="W29" s="186"/>
      <c r="X29" s="186"/>
      <c r="Y29" s="186"/>
      <c r="Z29" s="186"/>
      <c r="AA29" s="186"/>
      <c r="AB29" s="186"/>
      <c r="AC29" s="186"/>
    </row>
    <row r="30" spans="1:29">
      <c r="A30" s="450"/>
      <c r="B30" s="198" t="s">
        <v>263</v>
      </c>
      <c r="C30" s="198">
        <v>-133220</v>
      </c>
      <c r="D30" s="198">
        <v>-170646</v>
      </c>
      <c r="E30" s="198">
        <v>-276765</v>
      </c>
      <c r="F30" s="198">
        <v>-535062</v>
      </c>
      <c r="G30" s="198">
        <v>-262643</v>
      </c>
      <c r="H30" s="324"/>
      <c r="I30" s="375">
        <v>-25211</v>
      </c>
      <c r="J30" s="375">
        <v>-7726</v>
      </c>
      <c r="K30" s="198">
        <v>-78172</v>
      </c>
      <c r="L30" s="198">
        <v>-114392</v>
      </c>
      <c r="M30" s="324"/>
      <c r="N30" s="198">
        <v>-66478</v>
      </c>
      <c r="O30" s="384">
        <v>-127386</v>
      </c>
      <c r="P30" s="198">
        <v>-125318</v>
      </c>
      <c r="Q30" s="324"/>
      <c r="R30" s="324"/>
      <c r="S30" s="324"/>
      <c r="T30" s="324"/>
      <c r="U30" s="324"/>
      <c r="V30" s="324"/>
      <c r="W30" s="324"/>
      <c r="X30" s="324"/>
      <c r="Y30" s="324"/>
      <c r="Z30" s="324"/>
      <c r="AA30" s="324"/>
      <c r="AB30" s="324"/>
      <c r="AC30" s="324"/>
    </row>
    <row r="31" spans="1:29" s="189" customFormat="1">
      <c r="A31" s="185"/>
      <c r="B31" s="384" t="s">
        <v>264</v>
      </c>
      <c r="C31" s="384">
        <v>29931</v>
      </c>
      <c r="D31" s="384">
        <v>34219</v>
      </c>
      <c r="E31" s="384">
        <v>12837</v>
      </c>
      <c r="F31" s="186"/>
      <c r="G31" s="186"/>
      <c r="H31" s="186"/>
      <c r="I31" s="394">
        <v>0</v>
      </c>
      <c r="J31" s="394">
        <v>0</v>
      </c>
      <c r="K31" s="186"/>
      <c r="L31" s="186"/>
      <c r="M31" s="186"/>
      <c r="N31" s="384">
        <v>-7950</v>
      </c>
      <c r="O31" s="384">
        <v>-1185</v>
      </c>
      <c r="P31" s="384">
        <v>-6362</v>
      </c>
      <c r="Q31" s="186"/>
      <c r="R31" s="186"/>
      <c r="S31" s="186"/>
      <c r="T31" s="186"/>
      <c r="U31" s="186"/>
      <c r="V31" s="186"/>
      <c r="W31" s="186"/>
      <c r="X31" s="186"/>
      <c r="Y31" s="186"/>
      <c r="Z31" s="186"/>
      <c r="AA31" s="186"/>
      <c r="AB31" s="186"/>
      <c r="AC31" s="186"/>
    </row>
    <row r="32" spans="1:29">
      <c r="A32" s="450"/>
      <c r="B32" s="198" t="s">
        <v>265</v>
      </c>
      <c r="C32" s="198">
        <v>16812</v>
      </c>
      <c r="D32" s="198">
        <v>11478</v>
      </c>
      <c r="E32" s="198">
        <v>2122</v>
      </c>
      <c r="F32" s="198">
        <v>-35421</v>
      </c>
      <c r="G32" s="198">
        <v>-43080</v>
      </c>
      <c r="H32" s="324"/>
      <c r="I32" s="375">
        <v>8177</v>
      </c>
      <c r="J32" s="375">
        <v>2907</v>
      </c>
      <c r="K32" s="198">
        <v>-18400</v>
      </c>
      <c r="L32" s="198">
        <v>-3563</v>
      </c>
      <c r="M32" s="324"/>
      <c r="N32" s="198">
        <v>-21694</v>
      </c>
      <c r="O32" s="384">
        <v>-4109</v>
      </c>
      <c r="P32" s="198">
        <v>-11131</v>
      </c>
      <c r="Q32" s="324"/>
      <c r="R32" s="324"/>
      <c r="S32" s="324"/>
      <c r="T32" s="324"/>
      <c r="U32" s="324"/>
      <c r="V32" s="324"/>
      <c r="W32" s="324"/>
      <c r="X32" s="324"/>
      <c r="Y32" s="324"/>
      <c r="Z32" s="324"/>
      <c r="AA32" s="324"/>
      <c r="AB32" s="324"/>
      <c r="AC32" s="324"/>
    </row>
    <row r="33" spans="1:29" s="189" customFormat="1">
      <c r="A33" s="185"/>
      <c r="B33" s="384" t="s">
        <v>266</v>
      </c>
      <c r="C33" s="384">
        <v>-123836</v>
      </c>
      <c r="D33" s="384">
        <v>-125965</v>
      </c>
      <c r="E33" s="384">
        <v>-263110</v>
      </c>
      <c r="F33" s="384">
        <v>148240</v>
      </c>
      <c r="G33" s="384">
        <v>-307566</v>
      </c>
      <c r="H33" s="186"/>
      <c r="I33" s="394">
        <v>-17034</v>
      </c>
      <c r="J33" s="394">
        <v>-74898</v>
      </c>
      <c r="K33" s="384">
        <v>-97187</v>
      </c>
      <c r="L33" s="384">
        <v>-118446</v>
      </c>
      <c r="M33" s="186"/>
      <c r="N33" s="384">
        <v>-96122</v>
      </c>
      <c r="O33" s="384">
        <v>-133143</v>
      </c>
      <c r="P33" s="384">
        <v>-143273</v>
      </c>
      <c r="Q33" s="186"/>
      <c r="R33" s="186"/>
      <c r="S33" s="186"/>
      <c r="T33" s="186"/>
      <c r="U33" s="186"/>
      <c r="V33" s="186"/>
      <c r="W33" s="186"/>
      <c r="X33" s="186"/>
      <c r="Y33" s="186"/>
      <c r="Z33" s="186"/>
      <c r="AA33" s="186"/>
      <c r="AB33" s="186"/>
      <c r="AC33" s="186"/>
    </row>
    <row r="34" spans="1:29">
      <c r="A34" s="450"/>
      <c r="B34" s="198" t="s">
        <v>267</v>
      </c>
      <c r="C34" s="198">
        <v>-2600</v>
      </c>
      <c r="D34" s="198">
        <v>-12416</v>
      </c>
      <c r="E34" s="198">
        <v>-9550</v>
      </c>
      <c r="F34" s="198">
        <v>-45301</v>
      </c>
      <c r="G34" s="198">
        <v>-16113</v>
      </c>
      <c r="H34" s="324"/>
      <c r="I34" s="198">
        <v>8587</v>
      </c>
      <c r="J34" s="198">
        <v>-22925</v>
      </c>
      <c r="K34" s="198">
        <v>-11489</v>
      </c>
      <c r="L34" s="198">
        <v>6893</v>
      </c>
      <c r="M34" s="324"/>
      <c r="N34" s="198">
        <v>5663</v>
      </c>
      <c r="O34" s="384">
        <v>8587</v>
      </c>
      <c r="P34" s="198">
        <v>-22925</v>
      </c>
      <c r="Q34" s="324"/>
      <c r="R34" s="324"/>
      <c r="S34" s="324"/>
      <c r="T34" s="324"/>
      <c r="U34" s="324"/>
      <c r="V34" s="324"/>
      <c r="W34" s="324"/>
      <c r="X34" s="324"/>
      <c r="Y34" s="324"/>
      <c r="Z34" s="324"/>
      <c r="AA34" s="324"/>
      <c r="AB34" s="324"/>
      <c r="AC34" s="324"/>
    </row>
    <row r="35" spans="1:29" s="189" customFormat="1">
      <c r="A35" s="187"/>
      <c r="B35" s="384" t="s">
        <v>268</v>
      </c>
      <c r="C35" s="384">
        <v>-93413</v>
      </c>
      <c r="D35" s="384">
        <v>-62133</v>
      </c>
      <c r="E35" s="384">
        <v>159658</v>
      </c>
      <c r="F35" s="384">
        <v>400731</v>
      </c>
      <c r="G35" s="384">
        <v>-119695</v>
      </c>
      <c r="H35" s="186"/>
      <c r="I35" s="394">
        <v>-56551</v>
      </c>
      <c r="J35" s="394">
        <v>685</v>
      </c>
      <c r="K35" s="384">
        <v>-49570</v>
      </c>
      <c r="L35" s="384">
        <v>-14259</v>
      </c>
      <c r="M35" s="186"/>
      <c r="N35" s="384">
        <v>103787</v>
      </c>
      <c r="O35" s="384">
        <v>-60996</v>
      </c>
      <c r="P35" s="384">
        <v>-53891</v>
      </c>
      <c r="Q35" s="186"/>
      <c r="R35" s="186"/>
      <c r="S35" s="186"/>
      <c r="T35" s="186"/>
      <c r="U35" s="186"/>
      <c r="V35" s="186"/>
      <c r="W35" s="186"/>
      <c r="X35" s="186"/>
      <c r="Y35" s="186"/>
      <c r="Z35" s="186"/>
      <c r="AA35" s="186"/>
      <c r="AB35" s="186"/>
      <c r="AC35" s="186"/>
    </row>
    <row r="36" spans="1:29">
      <c r="A36" s="450"/>
      <c r="B36" s="198" t="s">
        <v>269</v>
      </c>
      <c r="C36" s="198">
        <v>642630</v>
      </c>
      <c r="D36" s="198">
        <v>549217</v>
      </c>
      <c r="E36" s="198">
        <v>487084</v>
      </c>
      <c r="F36" s="198">
        <v>646742</v>
      </c>
      <c r="G36" s="198">
        <v>1047473</v>
      </c>
      <c r="H36" s="248"/>
      <c r="I36" s="395">
        <v>1047473</v>
      </c>
      <c r="J36" s="395">
        <v>990922</v>
      </c>
      <c r="K36" s="126">
        <v>991607</v>
      </c>
      <c r="L36" s="198">
        <v>942037</v>
      </c>
      <c r="M36" s="324"/>
      <c r="N36" s="198">
        <v>927778</v>
      </c>
      <c r="O36" s="384">
        <v>1031565</v>
      </c>
      <c r="P36" s="198">
        <v>970569</v>
      </c>
      <c r="Q36" s="324"/>
      <c r="R36" s="324"/>
      <c r="S36" s="324"/>
      <c r="T36" s="324"/>
      <c r="U36" s="324"/>
      <c r="V36" s="324"/>
      <c r="W36" s="324"/>
      <c r="X36" s="324"/>
      <c r="Y36" s="324"/>
      <c r="Z36" s="324"/>
      <c r="AA36" s="324"/>
      <c r="AB36" s="324"/>
      <c r="AC36" s="324"/>
    </row>
    <row r="37" spans="1:29" s="189" customFormat="1">
      <c r="A37" s="185"/>
      <c r="B37" s="384" t="s">
        <v>270</v>
      </c>
      <c r="C37" s="384">
        <v>549217</v>
      </c>
      <c r="D37" s="384">
        <v>487084</v>
      </c>
      <c r="E37" s="384">
        <v>646742</v>
      </c>
      <c r="F37" s="384">
        <v>1047473</v>
      </c>
      <c r="G37" s="384">
        <v>927778</v>
      </c>
      <c r="H37" s="186"/>
      <c r="I37" s="397">
        <v>990922</v>
      </c>
      <c r="J37" s="397">
        <v>991607</v>
      </c>
      <c r="K37" s="384">
        <v>942037</v>
      </c>
      <c r="L37" s="384">
        <v>927778</v>
      </c>
      <c r="M37" s="186"/>
      <c r="N37" s="384">
        <v>1031565</v>
      </c>
      <c r="O37" s="384">
        <v>970569</v>
      </c>
      <c r="P37" s="384">
        <v>916678</v>
      </c>
      <c r="Q37" s="186"/>
      <c r="R37" s="186"/>
      <c r="S37" s="186"/>
      <c r="T37" s="186"/>
      <c r="U37" s="186"/>
      <c r="V37" s="186"/>
      <c r="W37" s="186"/>
      <c r="X37" s="186"/>
      <c r="Y37" s="186"/>
      <c r="Z37" s="186"/>
      <c r="AA37" s="186"/>
      <c r="AB37" s="186"/>
      <c r="AC37" s="186"/>
    </row>
    <row r="38" spans="1:29">
      <c r="A38" s="450"/>
      <c r="B38" s="198" t="s">
        <v>271</v>
      </c>
      <c r="C38" s="324"/>
      <c r="D38" s="324"/>
      <c r="E38" s="324"/>
      <c r="F38" s="324"/>
      <c r="G38" s="324"/>
      <c r="H38" s="248"/>
      <c r="I38" s="248"/>
      <c r="J38" s="248"/>
      <c r="K38" s="248"/>
      <c r="L38" s="324"/>
      <c r="M38" s="324"/>
      <c r="N38" s="324"/>
      <c r="O38" s="186"/>
      <c r="P38" s="324"/>
      <c r="Q38" s="324"/>
      <c r="R38" s="324"/>
      <c r="S38" s="324"/>
      <c r="T38" s="324"/>
      <c r="U38" s="324"/>
      <c r="V38" s="324"/>
      <c r="W38" s="324"/>
      <c r="X38" s="324"/>
      <c r="Y38" s="324"/>
      <c r="Z38" s="324"/>
      <c r="AA38" s="324"/>
      <c r="AB38" s="324"/>
      <c r="AC38" s="324"/>
    </row>
    <row r="39" spans="1:29" s="189" customFormat="1">
      <c r="A39" s="185"/>
      <c r="B39" s="384" t="s">
        <v>272</v>
      </c>
      <c r="C39" s="384">
        <v>391883</v>
      </c>
      <c r="D39" s="384">
        <v>465297</v>
      </c>
      <c r="E39" s="384">
        <v>540580</v>
      </c>
      <c r="F39" s="384">
        <v>622795</v>
      </c>
      <c r="G39" s="384">
        <v>716092</v>
      </c>
      <c r="H39" s="186"/>
      <c r="I39" s="394">
        <v>208758</v>
      </c>
      <c r="J39" s="394">
        <v>120277</v>
      </c>
      <c r="K39" s="384">
        <v>139603</v>
      </c>
      <c r="L39" s="384">
        <v>247453</v>
      </c>
      <c r="M39" s="186"/>
      <c r="N39" s="384">
        <v>232297</v>
      </c>
      <c r="O39" s="384">
        <v>96802</v>
      </c>
      <c r="P39" s="384">
        <v>136359</v>
      </c>
      <c r="Q39" s="186"/>
      <c r="R39" s="186"/>
      <c r="S39" s="186"/>
      <c r="T39" s="186"/>
      <c r="U39" s="186"/>
      <c r="V39" s="186"/>
      <c r="W39" s="186"/>
      <c r="X39" s="186"/>
      <c r="Y39" s="186"/>
      <c r="Z39" s="186"/>
      <c r="AA39" s="186"/>
      <c r="AB39" s="186"/>
      <c r="AC39" s="186"/>
    </row>
    <row r="40" spans="1:29">
      <c r="A40" s="450"/>
      <c r="B40" s="198" t="s">
        <v>273</v>
      </c>
      <c r="C40" s="198">
        <v>-51618</v>
      </c>
      <c r="D40" s="198">
        <v>-120038</v>
      </c>
      <c r="E40" s="198">
        <v>-97559</v>
      </c>
      <c r="F40" s="198">
        <v>-51771</v>
      </c>
      <c r="G40" s="198">
        <v>-55517</v>
      </c>
      <c r="H40" s="324"/>
      <c r="I40" s="375">
        <v>-14625</v>
      </c>
      <c r="J40" s="375">
        <v>-12345</v>
      </c>
      <c r="K40" s="198">
        <v>-10583</v>
      </c>
      <c r="L40" s="198">
        <v>-17965</v>
      </c>
      <c r="M40" s="324"/>
      <c r="N40" s="198">
        <v>-20521</v>
      </c>
      <c r="O40" s="384">
        <v>-19060</v>
      </c>
      <c r="P40" s="198">
        <v>-19567</v>
      </c>
      <c r="Q40" s="324"/>
      <c r="R40" s="324"/>
      <c r="S40" s="324"/>
      <c r="T40" s="324"/>
      <c r="U40" s="324"/>
      <c r="V40" s="324"/>
      <c r="W40" s="324"/>
      <c r="X40" s="324"/>
      <c r="Y40" s="324"/>
      <c r="Z40" s="324"/>
      <c r="AA40" s="324"/>
      <c r="AB40" s="324"/>
      <c r="AC40" s="324"/>
    </row>
    <row r="41" spans="1:29" s="189" customFormat="1">
      <c r="A41" s="185"/>
      <c r="B41" s="384" t="s">
        <v>274</v>
      </c>
      <c r="C41" s="384">
        <v>340265</v>
      </c>
      <c r="D41" s="384">
        <v>345259</v>
      </c>
      <c r="E41" s="384">
        <v>443021</v>
      </c>
      <c r="F41" s="384">
        <v>571024</v>
      </c>
      <c r="G41" s="384">
        <v>660575</v>
      </c>
      <c r="H41" s="186"/>
      <c r="I41" s="394">
        <v>194133</v>
      </c>
      <c r="J41" s="394">
        <v>107932</v>
      </c>
      <c r="K41" s="384">
        <v>129020</v>
      </c>
      <c r="L41" s="384">
        <v>229488</v>
      </c>
      <c r="M41" s="186"/>
      <c r="N41" s="384">
        <v>211776</v>
      </c>
      <c r="O41" s="384">
        <v>77742</v>
      </c>
      <c r="P41" s="384">
        <v>116792</v>
      </c>
      <c r="Q41" s="186"/>
      <c r="R41" s="186"/>
      <c r="S41" s="186"/>
      <c r="T41" s="186"/>
      <c r="U41" s="186"/>
      <c r="V41" s="186"/>
      <c r="W41" s="186"/>
      <c r="X41" s="186"/>
      <c r="Y41" s="186"/>
      <c r="Z41" s="186"/>
      <c r="AA41" s="186"/>
      <c r="AB41" s="186"/>
      <c r="AC41" s="186"/>
    </row>
    <row r="42" spans="1:29">
      <c r="A42" s="450"/>
      <c r="B42" s="324"/>
      <c r="C42" s="324"/>
      <c r="D42" s="324"/>
      <c r="E42" s="324"/>
      <c r="F42" s="324"/>
      <c r="G42" s="324"/>
      <c r="H42" s="324"/>
      <c r="I42" s="324"/>
      <c r="J42" s="324"/>
      <c r="K42" s="324"/>
      <c r="L42" s="324"/>
      <c r="M42" s="324"/>
      <c r="N42" s="324"/>
      <c r="O42" s="324"/>
      <c r="P42" s="324"/>
      <c r="Q42" s="324"/>
      <c r="R42" s="324"/>
      <c r="S42" s="324"/>
      <c r="T42" s="324"/>
      <c r="U42" s="324"/>
      <c r="V42" s="324"/>
      <c r="W42" s="324"/>
      <c r="X42" s="324"/>
      <c r="Y42" s="324"/>
      <c r="Z42" s="324"/>
      <c r="AA42" s="324"/>
      <c r="AB42" s="324"/>
      <c r="AC42" s="324"/>
    </row>
  </sheetData>
  <pageMargins left="0.7" right="0.7" top="0.75" bottom="0.75" header="0.3" footer="0.3"/>
  <pageSetup fitToHeight="0"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5" tint="0.79998168889431442"/>
  </sheetPr>
  <dimension ref="A1:AF74"/>
  <sheetViews>
    <sheetView showGridLines="0" zoomScale="70" zoomScaleNormal="70" workbookViewId="0">
      <pane xSplit="2" ySplit="7" topLeftCell="C35" activePane="bottomRight" state="frozen"/>
      <selection activeCell="K29" sqref="K29"/>
      <selection pane="topRight" activeCell="K29" sqref="K29"/>
      <selection pane="bottomLeft" activeCell="K29" sqref="K29"/>
      <selection pane="bottomRight" activeCell="G47" sqref="G47"/>
    </sheetView>
  </sheetViews>
  <sheetFormatPr defaultRowHeight="15"/>
  <cols>
    <col min="1" max="1" width="1.7109375" customWidth="1"/>
    <col min="2" max="2" width="51.28515625" customWidth="1"/>
    <col min="3" max="3" width="13.140625" bestFit="1" customWidth="1"/>
    <col min="4" max="4" width="23.140625" customWidth="1"/>
    <col min="5" max="5" width="13.85546875" bestFit="1" customWidth="1"/>
    <col min="6" max="6" width="16.5703125" customWidth="1"/>
    <col min="7" max="7" width="13" bestFit="1" customWidth="1"/>
    <col min="8" max="8" width="10.5703125" bestFit="1" customWidth="1"/>
    <col min="9" max="9" width="16.85546875" customWidth="1"/>
    <col min="10" max="10" width="10.5703125" bestFit="1" customWidth="1"/>
    <col min="11" max="11" width="17.5703125" bestFit="1" customWidth="1"/>
    <col min="12" max="12" width="18.28515625" customWidth="1"/>
    <col min="13" max="16" width="15.140625" bestFit="1" customWidth="1"/>
    <col min="17" max="17" width="1.7109375" customWidth="1"/>
    <col min="18" max="18" width="19" bestFit="1" customWidth="1"/>
    <col min="19" max="23" width="8.42578125" bestFit="1" customWidth="1"/>
    <col min="24" max="24" width="1.7109375" customWidth="1"/>
  </cols>
  <sheetData>
    <row r="1" spans="1:32" s="2" customFormat="1" ht="23.25">
      <c r="A1" s="324"/>
      <c r="B1" s="268" t="str">
        <f>Valuation!B1</f>
        <v>RHT</v>
      </c>
      <c r="C1" s="250"/>
      <c r="D1" s="250"/>
      <c r="E1" s="250"/>
      <c r="F1" s="250"/>
      <c r="G1" s="250"/>
      <c r="H1" s="250"/>
      <c r="I1" s="250"/>
      <c r="J1" s="250"/>
      <c r="K1" s="250"/>
      <c r="L1" s="250"/>
      <c r="M1" s="250"/>
      <c r="N1" s="233"/>
      <c r="O1" s="233"/>
      <c r="P1" s="233"/>
      <c r="Q1" s="233"/>
      <c r="R1" s="233"/>
      <c r="S1" s="233"/>
      <c r="T1" s="324"/>
      <c r="U1" s="324"/>
      <c r="V1" s="324"/>
      <c r="W1" s="324"/>
      <c r="X1" s="324"/>
      <c r="Y1" s="233"/>
      <c r="Z1" s="233"/>
      <c r="AA1" s="233"/>
      <c r="AB1" s="233"/>
      <c r="AC1" s="233"/>
      <c r="AD1" s="233"/>
      <c r="AE1" s="233"/>
      <c r="AF1" s="233"/>
    </row>
    <row r="2" spans="1:32" s="2" customFormat="1">
      <c r="A2" s="324"/>
      <c r="B2" s="296" t="str">
        <f>Valuation!B2</f>
        <v>Red Hat .Inc</v>
      </c>
      <c r="C2" s="233"/>
      <c r="D2" s="233"/>
      <c r="E2" s="233"/>
      <c r="F2" s="233"/>
      <c r="G2" s="233"/>
      <c r="H2" s="233"/>
      <c r="I2" s="233"/>
      <c r="J2" s="233"/>
      <c r="K2" s="233"/>
      <c r="L2" s="233"/>
      <c r="M2" s="233"/>
      <c r="N2" s="233"/>
      <c r="O2" s="233"/>
      <c r="P2" s="233"/>
      <c r="Q2" s="233"/>
      <c r="R2" s="233"/>
      <c r="S2" s="233"/>
      <c r="T2" s="324"/>
      <c r="U2" s="324"/>
      <c r="V2" s="324"/>
      <c r="W2" s="324"/>
      <c r="X2" s="324"/>
      <c r="Y2" s="233"/>
      <c r="Z2" s="233"/>
      <c r="AA2" s="233"/>
      <c r="AB2" s="233"/>
      <c r="AC2" s="233"/>
      <c r="AD2" s="233"/>
      <c r="AE2" s="233"/>
      <c r="AF2" s="233"/>
    </row>
    <row r="3" spans="1:32" s="2" customFormat="1" ht="3" customHeight="1">
      <c r="A3" s="324"/>
      <c r="B3" s="297"/>
      <c r="C3" s="234"/>
      <c r="D3" s="234"/>
      <c r="E3" s="234"/>
      <c r="F3" s="234"/>
      <c r="G3" s="234"/>
      <c r="H3" s="234"/>
      <c r="I3" s="234"/>
      <c r="J3" s="234"/>
      <c r="K3" s="234"/>
      <c r="L3" s="234"/>
      <c r="M3" s="234"/>
      <c r="N3" s="234"/>
      <c r="O3" s="234"/>
      <c r="P3" s="234"/>
      <c r="Q3" s="234"/>
      <c r="R3" s="234"/>
      <c r="S3" s="234"/>
      <c r="T3" s="234"/>
      <c r="U3" s="234"/>
      <c r="V3" s="234"/>
      <c r="W3" s="234"/>
      <c r="X3" s="234"/>
      <c r="Y3" s="234"/>
      <c r="Z3" s="234"/>
      <c r="AA3" s="234"/>
      <c r="AB3" s="234"/>
      <c r="AC3" s="234"/>
      <c r="AD3" s="234"/>
      <c r="AE3" s="234"/>
      <c r="AF3" s="234"/>
    </row>
    <row r="4" spans="1:32" s="2" customFormat="1">
      <c r="A4" s="324"/>
      <c r="B4" s="199" t="s">
        <v>383</v>
      </c>
      <c r="C4" s="233"/>
      <c r="D4" s="233"/>
      <c r="E4" s="233"/>
      <c r="F4" s="233"/>
      <c r="G4" s="379"/>
      <c r="H4" s="233"/>
      <c r="I4" s="233"/>
      <c r="J4" s="233"/>
      <c r="K4" s="233"/>
      <c r="L4" s="233"/>
      <c r="M4" s="233"/>
      <c r="N4" s="233"/>
      <c r="O4" s="233"/>
      <c r="P4" s="233"/>
      <c r="Q4" s="233"/>
      <c r="R4" s="233"/>
      <c r="S4" s="233"/>
      <c r="T4" s="324"/>
      <c r="U4" s="324"/>
      <c r="V4" s="324"/>
      <c r="W4" s="324"/>
      <c r="X4" s="324"/>
      <c r="Y4" s="233"/>
      <c r="Z4" s="233"/>
      <c r="AA4" s="233"/>
      <c r="AB4" s="233"/>
      <c r="AC4" s="233"/>
      <c r="AD4" s="233"/>
      <c r="AE4" s="233"/>
      <c r="AF4" s="233"/>
    </row>
    <row r="5" spans="1:32" s="2" customFormat="1" ht="15" customHeight="1">
      <c r="A5" s="324"/>
      <c r="B5" s="250"/>
      <c r="C5" s="233"/>
      <c r="D5" s="233"/>
      <c r="E5" s="233"/>
      <c r="F5" s="233"/>
      <c r="G5" s="233"/>
      <c r="H5" s="233"/>
      <c r="I5" s="233"/>
      <c r="J5" s="233"/>
      <c r="K5" s="233"/>
      <c r="L5" s="233"/>
      <c r="M5" s="233"/>
      <c r="N5" s="233"/>
      <c r="O5" s="233"/>
      <c r="P5" s="233"/>
      <c r="Q5" s="233"/>
      <c r="R5" s="233"/>
      <c r="S5" s="233"/>
      <c r="T5" s="233"/>
      <c r="U5" s="233"/>
      <c r="V5" s="233"/>
      <c r="W5" s="233"/>
      <c r="X5" s="324"/>
      <c r="Y5" s="233"/>
      <c r="Z5" s="233"/>
      <c r="AA5" s="233"/>
      <c r="AB5" s="233"/>
      <c r="AC5" s="233"/>
      <c r="AD5" s="233"/>
      <c r="AE5" s="233"/>
      <c r="AF5" s="233"/>
    </row>
    <row r="6" spans="1:32" s="2" customFormat="1">
      <c r="A6" s="324"/>
      <c r="B6" s="199" t="s">
        <v>181</v>
      </c>
      <c r="C6" s="233"/>
      <c r="D6" s="233"/>
      <c r="E6" s="233"/>
      <c r="F6" s="233"/>
      <c r="G6" s="233"/>
      <c r="H6" s="233"/>
      <c r="I6" s="233"/>
      <c r="J6" s="233"/>
      <c r="K6" s="233"/>
      <c r="L6" s="225">
        <v>0.25</v>
      </c>
      <c r="M6" s="321">
        <f>L6+1</f>
        <v>1.25</v>
      </c>
      <c r="N6" s="321">
        <f t="shared" ref="N6:P6" si="0">M6+1</f>
        <v>2.25</v>
      </c>
      <c r="O6" s="321">
        <f t="shared" si="0"/>
        <v>3.25</v>
      </c>
      <c r="P6" s="321">
        <f t="shared" si="0"/>
        <v>4.25</v>
      </c>
      <c r="Q6" s="233"/>
      <c r="R6" s="489" t="s">
        <v>97</v>
      </c>
      <c r="S6" s="490"/>
      <c r="T6" s="490"/>
      <c r="U6" s="490"/>
      <c r="V6" s="490"/>
      <c r="W6" s="490"/>
      <c r="X6" s="324"/>
      <c r="Y6" s="233"/>
      <c r="Z6" s="233"/>
      <c r="AA6" s="233"/>
      <c r="AB6" s="233"/>
      <c r="AC6" s="233"/>
      <c r="AD6" s="233"/>
      <c r="AE6" s="233"/>
      <c r="AF6" s="233"/>
    </row>
    <row r="7" spans="1:32" s="2" customFormat="1">
      <c r="A7" s="324"/>
      <c r="B7" s="200" t="s">
        <v>17</v>
      </c>
      <c r="C7" s="286">
        <f>CF!C6</f>
        <v>2012</v>
      </c>
      <c r="D7" s="287">
        <f>C7+1</f>
        <v>2013</v>
      </c>
      <c r="E7" s="287">
        <f>D7+1</f>
        <v>2014</v>
      </c>
      <c r="F7" s="287">
        <f>E7+1</f>
        <v>2015</v>
      </c>
      <c r="G7" s="288">
        <f>F7+1</f>
        <v>2016</v>
      </c>
      <c r="H7" s="210" t="str">
        <f>"FY"&amp;G7+1 &amp;"Q1"</f>
        <v>FY2017Q1</v>
      </c>
      <c r="I7" s="288" t="str">
        <f>"FY"&amp;G7+1 &amp;"Q2"</f>
        <v>FY2017Q2</v>
      </c>
      <c r="J7" s="288" t="str">
        <f>"FY"&amp;G7+1 &amp;"Q3"</f>
        <v>FY2017Q3</v>
      </c>
      <c r="K7" s="210" t="str">
        <f>"FY"&amp;G7+1 &amp;"Q4"</f>
        <v>FY2017Q4</v>
      </c>
      <c r="L7" s="436">
        <f>G7+1</f>
        <v>2017</v>
      </c>
      <c r="M7" s="289">
        <f>L7+1</f>
        <v>2018</v>
      </c>
      <c r="N7" s="289">
        <f>M7+1</f>
        <v>2019</v>
      </c>
      <c r="O7" s="289">
        <f>N7+1</f>
        <v>2020</v>
      </c>
      <c r="P7" s="289">
        <f>O7+1</f>
        <v>2021</v>
      </c>
      <c r="Q7" s="273"/>
      <c r="R7" s="129" t="s">
        <v>148</v>
      </c>
      <c r="S7" s="130" t="s">
        <v>98</v>
      </c>
      <c r="T7" s="130" t="s">
        <v>99</v>
      </c>
      <c r="U7" s="130" t="s">
        <v>100</v>
      </c>
      <c r="V7" s="130" t="s">
        <v>101</v>
      </c>
      <c r="W7" s="130" t="s">
        <v>102</v>
      </c>
      <c r="X7" s="324"/>
      <c r="Y7" s="233"/>
      <c r="Z7" s="233"/>
      <c r="AA7" s="233"/>
      <c r="AB7" s="233"/>
      <c r="AC7" s="233"/>
      <c r="AD7" s="233"/>
      <c r="AE7" s="233"/>
      <c r="AF7" s="233"/>
    </row>
    <row r="8" spans="1:32" s="78" customFormat="1">
      <c r="A8" s="272"/>
      <c r="B8" s="201" t="s">
        <v>216</v>
      </c>
      <c r="C8" s="356"/>
      <c r="D8" s="196"/>
      <c r="E8" s="196"/>
      <c r="F8" s="196"/>
      <c r="G8" s="356"/>
      <c r="H8" s="211"/>
      <c r="I8" s="356"/>
      <c r="J8" s="356"/>
      <c r="K8" s="211"/>
      <c r="L8" s="437"/>
      <c r="M8" s="104"/>
      <c r="N8" s="104"/>
      <c r="O8" s="104"/>
      <c r="P8" s="104"/>
      <c r="Q8" s="310"/>
      <c r="R8" s="317"/>
      <c r="S8" s="318"/>
      <c r="T8" s="318"/>
      <c r="U8" s="318"/>
      <c r="V8" s="318"/>
      <c r="W8" s="318"/>
      <c r="X8" s="311"/>
      <c r="Y8" s="312"/>
      <c r="Z8" s="312"/>
      <c r="AA8" s="312"/>
      <c r="AB8" s="312"/>
      <c r="AC8" s="312"/>
      <c r="AD8" s="312"/>
      <c r="AE8" s="312"/>
      <c r="AF8" s="312"/>
    </row>
    <row r="9" spans="1:32">
      <c r="A9" s="475"/>
      <c r="B9" s="410" t="str">
        <f>IS!B7</f>
        <v>Revenue</v>
      </c>
      <c r="C9" s="413">
        <f>IS!C7</f>
        <v>1133103</v>
      </c>
      <c r="D9" s="410">
        <f>IS!D7</f>
        <v>1328817</v>
      </c>
      <c r="E9" s="410">
        <f>IS!E7</f>
        <v>1534615</v>
      </c>
      <c r="F9" s="410">
        <f>IS!F7</f>
        <v>1789489</v>
      </c>
      <c r="G9" s="410">
        <f>IS!G7</f>
        <v>2052230</v>
      </c>
      <c r="H9" s="411">
        <f>IS!N7</f>
        <v>567899</v>
      </c>
      <c r="I9" s="423">
        <f>IS!O7</f>
        <v>599805</v>
      </c>
      <c r="J9" s="423">
        <f>IS!P7</f>
        <v>615260</v>
      </c>
      <c r="K9" s="414">
        <f>L9-(H9+I9+J9)</f>
        <v>600277.27499999991</v>
      </c>
      <c r="L9" s="438">
        <f>G9*(1+S9)*L6+H9+I9+J9</f>
        <v>2383241.2749999999</v>
      </c>
      <c r="M9" s="378">
        <f>L9*(1+T9)</f>
        <v>2774451.6148319636</v>
      </c>
      <c r="N9" s="378">
        <f>M9*(1+U9)</f>
        <v>3190619.3570567579</v>
      </c>
      <c r="O9" s="378">
        <f t="shared" ref="O9:P9" si="1">N9*(1+V9)</f>
        <v>3669212.2606152715</v>
      </c>
      <c r="P9" s="378">
        <f t="shared" si="1"/>
        <v>4210421.0690560238</v>
      </c>
      <c r="Q9" s="324"/>
      <c r="R9" s="198" t="s">
        <v>20</v>
      </c>
      <c r="S9" s="457">
        <v>0.17</v>
      </c>
      <c r="T9" s="455">
        <f>'DCF Growth Rates'!$I$11</f>
        <v>0.16415053898895071</v>
      </c>
      <c r="U9" s="457">
        <v>0.15</v>
      </c>
      <c r="V9" s="457">
        <v>0.15</v>
      </c>
      <c r="W9" s="457">
        <v>0.14749999999999999</v>
      </c>
      <c r="X9" s="324"/>
      <c r="Y9" s="324"/>
      <c r="Z9" s="324"/>
      <c r="AA9" s="324"/>
      <c r="AB9" s="324"/>
      <c r="AC9" s="324"/>
      <c r="AD9" s="324"/>
      <c r="AE9" s="324"/>
      <c r="AF9" s="324"/>
    </row>
    <row r="10" spans="1:32">
      <c r="A10" s="475"/>
      <c r="B10" s="410" t="str">
        <f>IS!B8</f>
        <v>Cost of revenue</v>
      </c>
      <c r="C10" s="410">
        <f>IS!C8</f>
        <v>178548</v>
      </c>
      <c r="D10" s="410">
        <f>IS!D8</f>
        <v>200600</v>
      </c>
      <c r="E10" s="410">
        <f>IS!E8</f>
        <v>232600</v>
      </c>
      <c r="F10" s="410">
        <f>IS!F8</f>
        <v>273199</v>
      </c>
      <c r="G10" s="410">
        <f>IS!G8</f>
        <v>309629</v>
      </c>
      <c r="H10" s="411">
        <f>IS!N8</f>
        <v>84048</v>
      </c>
      <c r="I10" s="423">
        <f>IS!O8</f>
        <v>87671</v>
      </c>
      <c r="J10" s="423">
        <f>IS!P8</f>
        <v>90453</v>
      </c>
      <c r="K10" s="414">
        <f>L10-(H10+I10+J10)</f>
        <v>90306.350544762041</v>
      </c>
      <c r="L10" s="414">
        <f>L$9*S10*L$6+H10+I10+J10</f>
        <v>352478.35054476204</v>
      </c>
      <c r="M10" s="378">
        <f>M9*T10</f>
        <v>420520.74664323934</v>
      </c>
      <c r="N10" s="378">
        <f>M10*(1+U10)</f>
        <v>484258.6389935796</v>
      </c>
      <c r="O10" s="378">
        <f t="shared" ref="O10:P10" si="2">N10*(1+V10)</f>
        <v>557657.2174187263</v>
      </c>
      <c r="P10" s="378">
        <f t="shared" si="2"/>
        <v>642180.7420627547</v>
      </c>
      <c r="Q10" s="324"/>
      <c r="R10" s="198" t="s">
        <v>92</v>
      </c>
      <c r="S10" s="455">
        <f>'DCF Growth Rates'!$I$14</f>
        <v>0.15156896029297251</v>
      </c>
      <c r="T10" s="455">
        <f>'DCF Growth Rates'!$I$14</f>
        <v>0.15156896029297251</v>
      </c>
      <c r="U10" s="455">
        <f>'DCF Growth Rates'!$I$14</f>
        <v>0.15156896029297251</v>
      </c>
      <c r="V10" s="455">
        <f>'DCF Growth Rates'!$I$14</f>
        <v>0.15156896029297251</v>
      </c>
      <c r="W10" s="455">
        <f>'DCF Growth Rates'!$I$14</f>
        <v>0.15156896029297251</v>
      </c>
      <c r="X10" s="324"/>
      <c r="Y10" s="324"/>
      <c r="Z10" s="324"/>
      <c r="AA10" s="324"/>
      <c r="AB10" s="324"/>
      <c r="AC10" s="324"/>
      <c r="AD10" s="324"/>
      <c r="AE10" s="324"/>
      <c r="AF10" s="324"/>
    </row>
    <row r="11" spans="1:32">
      <c r="A11" s="324"/>
      <c r="B11" s="412" t="s">
        <v>324</v>
      </c>
      <c r="C11" s="215">
        <f>C9-C10</f>
        <v>954555</v>
      </c>
      <c r="D11" s="215">
        <f t="shared" ref="D11:E11" si="3">D9-D10</f>
        <v>1128217</v>
      </c>
      <c r="E11" s="215">
        <f t="shared" si="3"/>
        <v>1302015</v>
      </c>
      <c r="F11" s="215">
        <f t="shared" ref="F11:G11" si="4">F9-F10</f>
        <v>1516290</v>
      </c>
      <c r="G11" s="215">
        <f t="shared" si="4"/>
        <v>1742601</v>
      </c>
      <c r="H11" s="430">
        <f t="shared" ref="H11:I11" si="5">H9-H10</f>
        <v>483851</v>
      </c>
      <c r="I11" s="424">
        <f t="shared" si="5"/>
        <v>512134</v>
      </c>
      <c r="J11" s="424">
        <f t="shared" ref="J11" si="6">J9-J10</f>
        <v>524807</v>
      </c>
      <c r="K11" s="414">
        <f>K9-K10</f>
        <v>509970.92445523787</v>
      </c>
      <c r="L11" s="414">
        <f>L9-L10</f>
        <v>2030762.9244552378</v>
      </c>
      <c r="M11" s="383">
        <f t="shared" ref="M11:P11" si="7">M9-M10</f>
        <v>2353930.8681887244</v>
      </c>
      <c r="N11" s="383">
        <f>N9-N10</f>
        <v>2706360.7180631785</v>
      </c>
      <c r="O11" s="383">
        <f t="shared" si="7"/>
        <v>3111555.043196545</v>
      </c>
      <c r="P11" s="383">
        <f t="shared" si="7"/>
        <v>3568240.3269932689</v>
      </c>
      <c r="Q11" s="324"/>
      <c r="R11" s="324"/>
      <c r="S11" s="23"/>
      <c r="T11" s="23"/>
      <c r="U11" s="23"/>
      <c r="V11" s="23"/>
      <c r="W11" s="23"/>
      <c r="X11" s="259"/>
      <c r="Y11" s="259"/>
      <c r="Z11" s="324"/>
      <c r="AA11" s="324"/>
      <c r="AB11" s="324"/>
      <c r="AC11" s="324"/>
      <c r="AD11" s="324"/>
      <c r="AE11" s="324"/>
      <c r="AF11" s="324"/>
    </row>
    <row r="12" spans="1:32">
      <c r="A12" s="324"/>
      <c r="B12" s="203" t="s">
        <v>172</v>
      </c>
      <c r="C12" s="349">
        <f>C11/C9</f>
        <v>0.84242562238384333</v>
      </c>
      <c r="D12" s="349">
        <f t="shared" ref="D12:E12" si="8">D11/D9</f>
        <v>0.84903865618817342</v>
      </c>
      <c r="E12" s="349">
        <f t="shared" si="8"/>
        <v>0.84843103970702749</v>
      </c>
      <c r="F12" s="349">
        <f t="shared" ref="F12:G12" si="9">F11/F9</f>
        <v>0.8473312772528917</v>
      </c>
      <c r="G12" s="349">
        <f t="shared" si="9"/>
        <v>0.84912558533887528</v>
      </c>
      <c r="H12" s="431">
        <f t="shared" ref="H12:I12" si="10">H11/H9</f>
        <v>0.85200185244207161</v>
      </c>
      <c r="I12" s="425">
        <f t="shared" si="10"/>
        <v>0.85383416276956681</v>
      </c>
      <c r="J12" s="425">
        <f t="shared" ref="J12:K12" si="11">J11/J9</f>
        <v>0.85298410428111693</v>
      </c>
      <c r="K12" s="415">
        <f t="shared" si="11"/>
        <v>0.84955893833435214</v>
      </c>
      <c r="L12" s="415">
        <f>L11/L9</f>
        <v>0.85210127306780459</v>
      </c>
      <c r="M12" s="349">
        <f>M11/M9</f>
        <v>0.8484310397070276</v>
      </c>
      <c r="N12" s="349">
        <f>N11/N9</f>
        <v>0.84822425215889985</v>
      </c>
      <c r="O12" s="349">
        <f t="shared" ref="O12" si="12">O11/O9</f>
        <v>0.84801718248777036</v>
      </c>
      <c r="P12" s="349">
        <f t="shared" ref="P12" si="13">P11/P9</f>
        <v>0.8474782613115861</v>
      </c>
      <c r="Q12" s="324"/>
      <c r="R12" s="324"/>
      <c r="S12" s="325"/>
      <c r="T12" s="325"/>
      <c r="U12" s="325"/>
      <c r="V12" s="325"/>
      <c r="W12" s="325"/>
      <c r="X12" s="324"/>
      <c r="Y12" s="324"/>
      <c r="Z12" s="324"/>
      <c r="AA12" s="324"/>
      <c r="AB12" s="324"/>
      <c r="AC12" s="324"/>
      <c r="AD12" s="324"/>
      <c r="AE12" s="324"/>
      <c r="AF12" s="324"/>
    </row>
    <row r="13" spans="1:32">
      <c r="A13" s="324"/>
      <c r="B13" s="202" t="s">
        <v>339</v>
      </c>
      <c r="C13" s="324"/>
      <c r="D13" s="324"/>
      <c r="E13" s="324"/>
      <c r="F13" s="324"/>
      <c r="G13" s="324"/>
      <c r="H13" s="213"/>
      <c r="I13" s="426"/>
      <c r="J13" s="426"/>
      <c r="K13" s="416"/>
      <c r="L13" s="65"/>
      <c r="M13" s="324"/>
      <c r="N13" s="324"/>
      <c r="O13" s="324"/>
      <c r="P13" s="324"/>
      <c r="Q13" s="324"/>
      <c r="R13" s="324"/>
      <c r="S13" s="325"/>
      <c r="T13" s="325"/>
      <c r="U13" s="325"/>
      <c r="V13" s="325"/>
      <c r="W13" s="325"/>
      <c r="X13" s="324"/>
      <c r="Y13" s="324"/>
      <c r="Z13" s="324"/>
      <c r="AA13" s="324"/>
      <c r="AB13" s="324"/>
      <c r="AC13" s="324"/>
      <c r="AD13" s="324"/>
      <c r="AE13" s="324"/>
      <c r="AF13" s="324"/>
    </row>
    <row r="14" spans="1:32">
      <c r="A14" s="475"/>
      <c r="B14" s="269" t="str">
        <f>IS!B12</f>
        <v>Sales, General and administrative</v>
      </c>
      <c r="C14" s="269">
        <f>IS!C12</f>
        <v>545980</v>
      </c>
      <c r="D14" s="269">
        <f>IS!D12</f>
        <v>664029</v>
      </c>
      <c r="E14" s="269">
        <f>IS!E12</f>
        <v>752463</v>
      </c>
      <c r="F14" s="269">
        <f>IS!F12</f>
        <v>898440</v>
      </c>
      <c r="G14" s="269">
        <f>IS!G12</f>
        <v>1041231</v>
      </c>
      <c r="H14" s="218">
        <f>IS!N12</f>
        <v>293472</v>
      </c>
      <c r="I14" s="427">
        <f>IS!O12</f>
        <v>308985</v>
      </c>
      <c r="J14" s="427">
        <f>IS!P12</f>
        <v>321565</v>
      </c>
      <c r="K14" s="417">
        <f>L14-(H14+I14+J14)</f>
        <v>297735.00049235043</v>
      </c>
      <c r="L14" s="414">
        <f>L$9*S14*L$6+H14+I14+J14</f>
        <v>1221757.0004923504</v>
      </c>
      <c r="M14" s="378">
        <f>M$9*T14</f>
        <v>1386433.4451961813</v>
      </c>
      <c r="N14" s="378">
        <f>N$9*U14</f>
        <v>1594398.4619756083</v>
      </c>
      <c r="O14" s="378">
        <f t="shared" ref="O14:P15" si="14">O$9*V14</f>
        <v>1833558.2312719496</v>
      </c>
      <c r="P14" s="378">
        <f t="shared" si="14"/>
        <v>2104008.070384562</v>
      </c>
      <c r="Q14" s="324"/>
      <c r="R14" s="198" t="s">
        <v>92</v>
      </c>
      <c r="S14" s="455">
        <f>'DCF Growth Rates'!$I$24</f>
        <v>0.49971440762723535</v>
      </c>
      <c r="T14" s="455">
        <f>'DCF Growth Rates'!$I$24</f>
        <v>0.49971440762723535</v>
      </c>
      <c r="U14" s="455">
        <f>'DCF Growth Rates'!$I$24</f>
        <v>0.49971440762723535</v>
      </c>
      <c r="V14" s="455">
        <f>'DCF Growth Rates'!$I$24</f>
        <v>0.49971440762723535</v>
      </c>
      <c r="W14" s="455">
        <f>'DCF Growth Rates'!$I$24</f>
        <v>0.49971440762723535</v>
      </c>
      <c r="X14" s="324"/>
      <c r="Y14" s="324"/>
      <c r="Z14" s="324"/>
      <c r="AA14" s="324"/>
      <c r="AB14" s="324"/>
      <c r="AC14" s="324"/>
      <c r="AD14" s="324"/>
      <c r="AE14" s="324"/>
      <c r="AF14" s="324"/>
    </row>
    <row r="15" spans="1:32">
      <c r="A15" s="475"/>
      <c r="B15" s="269" t="str">
        <f>IS!B11</f>
        <v>Research and development</v>
      </c>
      <c r="C15" s="269">
        <f>IS!C11</f>
        <v>208662</v>
      </c>
      <c r="D15" s="269">
        <f>IS!D11</f>
        <v>263150</v>
      </c>
      <c r="E15" s="269">
        <f>IS!E11</f>
        <v>317263</v>
      </c>
      <c r="F15" s="269">
        <f>IS!F11</f>
        <v>367856</v>
      </c>
      <c r="G15" s="269">
        <f>IS!G11</f>
        <v>413322</v>
      </c>
      <c r="H15" s="218">
        <f>IS!N11</f>
        <v>115016</v>
      </c>
      <c r="I15" s="427">
        <f>IS!O11</f>
        <v>121265</v>
      </c>
      <c r="J15" s="427">
        <f>IS!P11</f>
        <v>122469</v>
      </c>
      <c r="K15" s="417">
        <f t="shared" ref="K15" si="15">L15-(H15+I15+J15)</f>
        <v>119997.03374689363</v>
      </c>
      <c r="L15" s="414">
        <f>L$9*S15*L$6+H15+I15+J15</f>
        <v>478747.03374689363</v>
      </c>
      <c r="M15" s="422">
        <f>M$9*T15</f>
        <v>558778.44605408597</v>
      </c>
      <c r="N15" s="422">
        <f>N$9*U15</f>
        <v>642595.21296219877</v>
      </c>
      <c r="O15" s="422">
        <f t="shared" si="14"/>
        <v>738984.49490652862</v>
      </c>
      <c r="P15" s="378">
        <f t="shared" si="14"/>
        <v>847984.70790524152</v>
      </c>
      <c r="Q15" s="324"/>
      <c r="R15" s="198" t="s">
        <v>92</v>
      </c>
      <c r="S15" s="455">
        <f>'DCF Growth Rates'!$I$29</f>
        <v>0.20140140237692655</v>
      </c>
      <c r="T15" s="455">
        <f>'DCF Growth Rates'!$I$29</f>
        <v>0.20140140237692655</v>
      </c>
      <c r="U15" s="455">
        <f>'DCF Growth Rates'!$I$29</f>
        <v>0.20140140237692655</v>
      </c>
      <c r="V15" s="455">
        <f>'DCF Growth Rates'!$I$29</f>
        <v>0.20140140237692655</v>
      </c>
      <c r="W15" s="455">
        <f>'DCF Growth Rates'!$I$29</f>
        <v>0.20140140237692655</v>
      </c>
      <c r="X15" s="324"/>
      <c r="Y15" s="324"/>
      <c r="Z15" s="324"/>
      <c r="AA15" s="324"/>
      <c r="AB15" s="324"/>
      <c r="AC15" s="324"/>
      <c r="AD15" s="324"/>
      <c r="AE15" s="324"/>
      <c r="AF15" s="324"/>
    </row>
    <row r="16" spans="1:32">
      <c r="A16" s="475"/>
      <c r="B16" s="269" t="str">
        <f>IS!B13</f>
        <v>Total operating expenses</v>
      </c>
      <c r="C16" s="269">
        <f>IS!C13</f>
        <v>754642</v>
      </c>
      <c r="D16" s="269">
        <f>IS!D13</f>
        <v>927179</v>
      </c>
      <c r="E16" s="269">
        <f>IS!E13</f>
        <v>1069726</v>
      </c>
      <c r="F16" s="269">
        <f>IS!F13</f>
        <v>1266296</v>
      </c>
      <c r="G16" s="269">
        <f>IS!G13</f>
        <v>1454553</v>
      </c>
      <c r="H16" s="218">
        <f>IS!N13</f>
        <v>408488</v>
      </c>
      <c r="I16" s="427">
        <f>IS!O13</f>
        <v>430250</v>
      </c>
      <c r="J16" s="427">
        <f>IS!P13</f>
        <v>444034</v>
      </c>
      <c r="K16" s="417">
        <f>K15+K14</f>
        <v>417732.03423924407</v>
      </c>
      <c r="L16" s="417">
        <f>L15+L14</f>
        <v>1700504.0342392442</v>
      </c>
      <c r="M16" s="421">
        <f>M15+M14</f>
        <v>1945211.8912502672</v>
      </c>
      <c r="N16" s="421">
        <f>N15+N14</f>
        <v>2236993.674937807</v>
      </c>
      <c r="O16" s="421">
        <f t="shared" ref="O16:P16" si="16">O15+O14</f>
        <v>2572542.7261784784</v>
      </c>
      <c r="P16" s="421">
        <f t="shared" si="16"/>
        <v>2951992.7782898033</v>
      </c>
      <c r="Q16" s="324"/>
      <c r="R16" s="324"/>
      <c r="S16" s="324"/>
      <c r="T16" s="324"/>
      <c r="U16" s="324"/>
      <c r="V16" s="324"/>
      <c r="W16" s="324"/>
      <c r="X16" s="324"/>
      <c r="Y16" s="324"/>
      <c r="Z16" s="324"/>
      <c r="AA16" s="324"/>
      <c r="AB16" s="324"/>
      <c r="AC16" s="324"/>
      <c r="AD16" s="324"/>
      <c r="AE16" s="324"/>
      <c r="AF16" s="324"/>
    </row>
    <row r="17" spans="1:32">
      <c r="A17" s="324"/>
      <c r="B17" s="219"/>
      <c r="C17" s="324"/>
      <c r="D17" s="324"/>
      <c r="E17" s="324"/>
      <c r="F17" s="324"/>
      <c r="G17" s="324"/>
      <c r="H17" s="213"/>
      <c r="I17" s="426"/>
      <c r="J17" s="426"/>
      <c r="K17" s="416"/>
      <c r="L17" s="65"/>
      <c r="M17" s="232"/>
      <c r="N17" s="232"/>
      <c r="O17" s="232"/>
      <c r="P17" s="324"/>
      <c r="Q17" s="324"/>
      <c r="R17" s="324"/>
      <c r="S17" s="325"/>
      <c r="T17" s="325"/>
      <c r="U17" s="325"/>
      <c r="V17" s="325"/>
      <c r="W17" s="325"/>
      <c r="X17" s="324"/>
      <c r="Y17" s="324"/>
      <c r="Z17" s="324"/>
      <c r="AA17" s="324"/>
      <c r="AB17" s="324"/>
      <c r="AC17" s="324"/>
      <c r="AD17" s="324"/>
      <c r="AE17" s="324"/>
      <c r="AF17" s="324"/>
    </row>
    <row r="18" spans="1:32">
      <c r="A18" s="476"/>
      <c r="B18" s="220" t="s">
        <v>340</v>
      </c>
      <c r="C18" s="269">
        <f>CF!C8</f>
        <v>51372</v>
      </c>
      <c r="D18" s="269">
        <f>CF!D8</f>
        <v>62341</v>
      </c>
      <c r="E18" s="269">
        <f>CF!E8</f>
        <v>74405</v>
      </c>
      <c r="F18" s="269">
        <f>CF!F8</f>
        <v>76263</v>
      </c>
      <c r="G18" s="269">
        <f>CF!G8</f>
        <v>76088</v>
      </c>
      <c r="H18" s="218">
        <f>CF!N8</f>
        <v>20702</v>
      </c>
      <c r="I18" s="427">
        <f>CF!O8</f>
        <v>21160</v>
      </c>
      <c r="J18" s="427">
        <f>CF!P8</f>
        <v>21870</v>
      </c>
      <c r="K18" s="417">
        <f>L18-(H18+I18+J18)</f>
        <v>23832.412750000003</v>
      </c>
      <c r="L18" s="438">
        <f>L$9*S18*L$6+H18+I18+J18</f>
        <v>87564.412750000003</v>
      </c>
      <c r="M18" s="378">
        <f>M$9*T18</f>
        <v>116526.96782294248</v>
      </c>
      <c r="N18" s="378">
        <f>N$9*U18</f>
        <v>140387.25171049734</v>
      </c>
      <c r="O18" s="378">
        <f t="shared" ref="O18:P18" si="17">O$9*V18</f>
        <v>166352.72543831207</v>
      </c>
      <c r="P18" s="378">
        <f t="shared" si="17"/>
        <v>190889.75244046308</v>
      </c>
      <c r="Q18" s="324"/>
      <c r="R18" s="198" t="s">
        <v>92</v>
      </c>
      <c r="S18" s="457">
        <v>0.04</v>
      </c>
      <c r="T18" s="457">
        <v>4.2000000000000003E-2</v>
      </c>
      <c r="U18" s="457">
        <v>4.3999999999999997E-2</v>
      </c>
      <c r="V18" s="455">
        <f>'DCF Growth Rates'!$I$39</f>
        <v>4.5337449463994005E-2</v>
      </c>
      <c r="W18" s="455">
        <f>'DCF Growth Rates'!$I$39</f>
        <v>4.5337449463994005E-2</v>
      </c>
      <c r="X18" s="324"/>
      <c r="Y18" s="324"/>
      <c r="Z18" s="324"/>
      <c r="AA18" s="324"/>
      <c r="AB18" s="324"/>
      <c r="AC18" s="324"/>
      <c r="AD18" s="324"/>
      <c r="AE18" s="324"/>
      <c r="AF18" s="324"/>
    </row>
    <row r="19" spans="1:32">
      <c r="A19" s="324"/>
      <c r="B19" s="202" t="s">
        <v>341</v>
      </c>
      <c r="C19" s="228">
        <f>C11-C16+C18</f>
        <v>251285</v>
      </c>
      <c r="D19" s="215">
        <f t="shared" ref="D19:E19" si="18">D11-D16+D18</f>
        <v>263379</v>
      </c>
      <c r="E19" s="215">
        <f t="shared" si="18"/>
        <v>306694</v>
      </c>
      <c r="F19" s="215">
        <f>F11-F16+F18</f>
        <v>326257</v>
      </c>
      <c r="G19" s="215">
        <f>G11-G16+G18</f>
        <v>364136</v>
      </c>
      <c r="H19" s="430">
        <f>H11-H16+H18</f>
        <v>96065</v>
      </c>
      <c r="I19" s="424">
        <f>I11-I16+I18</f>
        <v>103044</v>
      </c>
      <c r="J19" s="424">
        <f t="shared" ref="J19" si="19">J11-J16+J18</f>
        <v>102643</v>
      </c>
      <c r="K19" s="414">
        <f>K11-K16+K18</f>
        <v>116071.3029659938</v>
      </c>
      <c r="L19" s="414">
        <f>L11-L16+L18</f>
        <v>417823.30296599364</v>
      </c>
      <c r="M19" s="382">
        <f>M11-M16+M18</f>
        <v>525245.94476139965</v>
      </c>
      <c r="N19" s="382">
        <f>N11-N16+N18</f>
        <v>609754.29483586876</v>
      </c>
      <c r="O19" s="382">
        <f t="shared" ref="O19" si="20">O11-O16+O18</f>
        <v>705365.04245637858</v>
      </c>
      <c r="P19" s="382">
        <f>P11-P16+P18</f>
        <v>807137.30114392866</v>
      </c>
      <c r="Q19" s="324"/>
      <c r="R19" s="324"/>
      <c r="S19" s="324"/>
      <c r="T19" s="324"/>
      <c r="U19" s="324"/>
      <c r="V19" s="324"/>
      <c r="W19" s="324"/>
      <c r="X19" s="324"/>
      <c r="Y19" s="324"/>
      <c r="Z19" s="324"/>
      <c r="AA19" s="324"/>
      <c r="AB19" s="324"/>
      <c r="AC19" s="324"/>
      <c r="AD19" s="324"/>
      <c r="AE19" s="324"/>
      <c r="AF19" s="324"/>
    </row>
    <row r="20" spans="1:32">
      <c r="A20" s="324"/>
      <c r="B20" s="203" t="s">
        <v>342</v>
      </c>
      <c r="C20" s="227">
        <f>C19/C9</f>
        <v>0.221767129731366</v>
      </c>
      <c r="D20" s="349">
        <f t="shared" ref="D20:P20" si="21">D19/D9</f>
        <v>0.1982056219930961</v>
      </c>
      <c r="E20" s="349">
        <f t="shared" si="21"/>
        <v>0.19985077690495662</v>
      </c>
      <c r="F20" s="349">
        <f t="shared" si="21"/>
        <v>0.1823185278031885</v>
      </c>
      <c r="G20" s="349">
        <f t="shared" si="21"/>
        <v>0.17743430317264633</v>
      </c>
      <c r="H20" s="431">
        <f t="shared" si="21"/>
        <v>0.16915860038492761</v>
      </c>
      <c r="I20" s="425">
        <f t="shared" si="21"/>
        <v>0.17179583364593493</v>
      </c>
      <c r="J20" s="425">
        <f t="shared" si="21"/>
        <v>0.16682865780320516</v>
      </c>
      <c r="K20" s="415">
        <f t="shared" si="21"/>
        <v>0.19336281381965328</v>
      </c>
      <c r="L20" s="415">
        <f>L19/L9</f>
        <v>0.17531724855092301</v>
      </c>
      <c r="M20" s="227">
        <f>M19/M9</f>
        <v>0.18931522970286563</v>
      </c>
      <c r="N20" s="227">
        <f>N19/N9</f>
        <v>0.19110844215473799</v>
      </c>
      <c r="O20" s="227">
        <f t="shared" si="21"/>
        <v>0.19223882194760231</v>
      </c>
      <c r="P20" s="227">
        <f t="shared" si="21"/>
        <v>0.1916999007714183</v>
      </c>
      <c r="Q20" s="324"/>
      <c r="R20" s="324"/>
      <c r="S20" s="325"/>
      <c r="T20" s="325"/>
      <c r="U20" s="325"/>
      <c r="V20" s="325"/>
      <c r="W20" s="325"/>
      <c r="X20" s="324"/>
      <c r="Y20" s="324"/>
      <c r="Z20" s="324"/>
      <c r="AA20" s="324"/>
      <c r="AB20" s="324"/>
      <c r="AC20" s="324"/>
      <c r="AD20" s="324"/>
      <c r="AE20" s="324"/>
      <c r="AF20" s="324"/>
    </row>
    <row r="21" spans="1:32">
      <c r="A21" s="324"/>
      <c r="B21" s="221" t="s">
        <v>343</v>
      </c>
      <c r="C21" s="228">
        <f>C11-C16</f>
        <v>199913</v>
      </c>
      <c r="D21" s="215">
        <f t="shared" ref="D21:Q21" si="22">D11-D16</f>
        <v>201038</v>
      </c>
      <c r="E21" s="215">
        <f t="shared" si="22"/>
        <v>232289</v>
      </c>
      <c r="F21" s="215">
        <f t="shared" si="22"/>
        <v>249994</v>
      </c>
      <c r="G21" s="215">
        <f>G11-G16</f>
        <v>288048</v>
      </c>
      <c r="H21" s="430">
        <f t="shared" si="22"/>
        <v>75363</v>
      </c>
      <c r="I21" s="424">
        <f t="shared" si="22"/>
        <v>81884</v>
      </c>
      <c r="J21" s="424">
        <f t="shared" si="22"/>
        <v>80773</v>
      </c>
      <c r="K21" s="414">
        <f t="shared" si="22"/>
        <v>92238.890215993801</v>
      </c>
      <c r="L21" s="414">
        <f>L11-L16</f>
        <v>330258.89021599363</v>
      </c>
      <c r="M21" s="382">
        <f>M11-M16</f>
        <v>408718.97693845723</v>
      </c>
      <c r="N21" s="382">
        <f>N11-N16</f>
        <v>469367.04312537145</v>
      </c>
      <c r="O21" s="382">
        <f>O11-O16</f>
        <v>539012.31701806653</v>
      </c>
      <c r="P21" s="382">
        <f>P11-P16</f>
        <v>616247.54870346561</v>
      </c>
      <c r="Q21" s="215">
        <f t="shared" si="22"/>
        <v>0</v>
      </c>
      <c r="R21" s="324"/>
      <c r="S21" s="324"/>
      <c r="T21" s="324"/>
      <c r="U21" s="324"/>
      <c r="V21" s="324"/>
      <c r="W21" s="324"/>
      <c r="X21" s="324"/>
      <c r="Y21" s="324"/>
      <c r="Z21" s="324"/>
      <c r="AA21" s="324"/>
      <c r="AB21" s="324"/>
      <c r="AC21" s="324"/>
      <c r="AD21" s="324"/>
      <c r="AE21" s="324"/>
      <c r="AF21" s="324"/>
    </row>
    <row r="22" spans="1:32">
      <c r="A22" s="324"/>
      <c r="B22" s="203" t="s">
        <v>344</v>
      </c>
      <c r="C22" s="227">
        <f>C21/C9</f>
        <v>0.17642968026737199</v>
      </c>
      <c r="D22" s="349">
        <f t="shared" ref="D22:P22" si="23">D21/D9</f>
        <v>0.1512909603052941</v>
      </c>
      <c r="E22" s="349">
        <f t="shared" si="23"/>
        <v>0.15136630360057735</v>
      </c>
      <c r="F22" s="349">
        <f t="shared" si="23"/>
        <v>0.13970133373270247</v>
      </c>
      <c r="G22" s="349">
        <f t="shared" si="23"/>
        <v>0.14035853681117613</v>
      </c>
      <c r="H22" s="431">
        <f t="shared" si="23"/>
        <v>0.1327049352085494</v>
      </c>
      <c r="I22" s="425">
        <f t="shared" si="23"/>
        <v>0.13651770158634891</v>
      </c>
      <c r="J22" s="425">
        <f t="shared" si="23"/>
        <v>0.13128270974872411</v>
      </c>
      <c r="K22" s="415">
        <f t="shared" si="23"/>
        <v>0.1536604733470775</v>
      </c>
      <c r="L22" s="415">
        <f>L21/L9</f>
        <v>0.13857551632744092</v>
      </c>
      <c r="M22" s="227">
        <f>M21/M9</f>
        <v>0.14731522970286565</v>
      </c>
      <c r="N22" s="227">
        <f>N21/N9</f>
        <v>0.14710844215473801</v>
      </c>
      <c r="O22" s="227">
        <f t="shared" si="23"/>
        <v>0.14690137248360832</v>
      </c>
      <c r="P22" s="227">
        <f t="shared" si="23"/>
        <v>0.14636245130742428</v>
      </c>
      <c r="Q22" s="324"/>
      <c r="R22" s="324"/>
      <c r="S22" s="325"/>
      <c r="T22" s="325"/>
      <c r="U22" s="325"/>
      <c r="V22" s="325"/>
      <c r="W22" s="325"/>
      <c r="X22" s="324"/>
      <c r="Y22" s="324"/>
      <c r="Z22" s="324"/>
      <c r="AA22" s="324"/>
      <c r="AB22" s="324"/>
      <c r="AC22" s="324"/>
      <c r="AD22" s="324"/>
      <c r="AE22" s="324"/>
      <c r="AF22" s="324"/>
    </row>
    <row r="23" spans="1:32">
      <c r="A23" s="475"/>
      <c r="B23" s="205" t="s">
        <v>345</v>
      </c>
      <c r="C23" s="306">
        <f>IS!C17</f>
        <v>-8096</v>
      </c>
      <c r="D23" s="306">
        <f>IS!D17</f>
        <v>-8714</v>
      </c>
      <c r="E23" s="306">
        <f>IS!E17</f>
        <v>-7259</v>
      </c>
      <c r="F23" s="306">
        <f>IS!F17</f>
        <v>-5504</v>
      </c>
      <c r="G23" s="306">
        <f>IS!G17</f>
        <v>13183</v>
      </c>
      <c r="H23" s="434">
        <f>IS!I17</f>
        <v>3203</v>
      </c>
      <c r="I23" s="305">
        <f>IS!J17</f>
        <v>4083</v>
      </c>
      <c r="J23" s="305">
        <f>IS!K17</f>
        <v>2894</v>
      </c>
      <c r="K23" s="417">
        <f>L23-(H23+I23+J23)</f>
        <v>997.38812581636012</v>
      </c>
      <c r="L23" s="414">
        <f>L$9*S23*L$6+H23+I23+J23</f>
        <v>11177.38812581636</v>
      </c>
      <c r="M23" s="382">
        <f>M$9*T23</f>
        <v>4644.4396970011812</v>
      </c>
      <c r="N23" s="382">
        <f>N$9*U23</f>
        <v>5341.1056515513574</v>
      </c>
      <c r="O23" s="382">
        <f>O$9*V23</f>
        <v>6142.2714992840611</v>
      </c>
      <c r="P23" s="382">
        <f>P$9*W23</f>
        <v>7048.2565454284595</v>
      </c>
      <c r="Q23" s="324"/>
      <c r="R23" s="198" t="s">
        <v>92</v>
      </c>
      <c r="S23" s="455">
        <f>'DCF Growth Rates'!$H$54</f>
        <v>1.6740027730786267E-3</v>
      </c>
      <c r="T23" s="455">
        <f>'DCF Growth Rates'!$H$54</f>
        <v>1.6740027730786267E-3</v>
      </c>
      <c r="U23" s="455">
        <f>'DCF Growth Rates'!$H$54</f>
        <v>1.6740027730786267E-3</v>
      </c>
      <c r="V23" s="455">
        <f>'DCF Growth Rates'!$H$54</f>
        <v>1.6740027730786267E-3</v>
      </c>
      <c r="W23" s="455">
        <f>'DCF Growth Rates'!$H$54</f>
        <v>1.6740027730786267E-3</v>
      </c>
      <c r="X23" s="324"/>
      <c r="Y23" s="324"/>
      <c r="Z23" s="324"/>
      <c r="AA23" s="324"/>
      <c r="AB23" s="324"/>
      <c r="AC23" s="324"/>
      <c r="AD23" s="324"/>
      <c r="AE23" s="324"/>
      <c r="AF23" s="324"/>
    </row>
    <row r="24" spans="1:32">
      <c r="A24" s="324"/>
      <c r="B24" s="202" t="s">
        <v>346</v>
      </c>
      <c r="C24" s="226">
        <f>C21-C23</f>
        <v>208009</v>
      </c>
      <c r="D24" s="214">
        <f t="shared" ref="D24:H24" si="24">D21-D23</f>
        <v>209752</v>
      </c>
      <c r="E24" s="214">
        <f t="shared" si="24"/>
        <v>239548</v>
      </c>
      <c r="F24" s="214">
        <f t="shared" si="24"/>
        <v>255498</v>
      </c>
      <c r="G24" s="214">
        <f>G21-G23</f>
        <v>274865</v>
      </c>
      <c r="H24" s="432">
        <f t="shared" si="24"/>
        <v>72160</v>
      </c>
      <c r="I24" s="428">
        <f t="shared" ref="I24" si="25">I21-I23</f>
        <v>77801</v>
      </c>
      <c r="J24" s="428">
        <f t="shared" ref="J24" si="26">J21-J23</f>
        <v>77879</v>
      </c>
      <c r="K24" s="414">
        <f t="shared" ref="K24:P24" si="27">K21-K23</f>
        <v>91241.502090177441</v>
      </c>
      <c r="L24" s="414">
        <f>L21-L23</f>
        <v>319081.50209017727</v>
      </c>
      <c r="M24" s="382">
        <f t="shared" si="27"/>
        <v>404074.53724145604</v>
      </c>
      <c r="N24" s="382">
        <f t="shared" si="27"/>
        <v>464025.93747382011</v>
      </c>
      <c r="O24" s="382">
        <f t="shared" si="27"/>
        <v>532870.04551878246</v>
      </c>
      <c r="P24" s="382">
        <f t="shared" si="27"/>
        <v>609199.29215803719</v>
      </c>
      <c r="Q24" s="324"/>
      <c r="R24" s="324"/>
      <c r="S24" s="324"/>
      <c r="T24" s="324"/>
      <c r="U24" s="198" t="s">
        <v>385</v>
      </c>
      <c r="V24" s="324"/>
      <c r="W24" s="324"/>
      <c r="X24" s="324"/>
      <c r="Y24" s="324"/>
      <c r="Z24" s="324"/>
      <c r="AA24" s="324"/>
      <c r="AB24" s="324"/>
      <c r="AC24" s="324"/>
      <c r="AD24" s="324"/>
      <c r="AE24" s="324"/>
      <c r="AF24" s="324"/>
    </row>
    <row r="25" spans="1:32">
      <c r="A25" s="324"/>
      <c r="B25" s="203" t="s">
        <v>347</v>
      </c>
      <c r="C25" s="227">
        <f>C24/C9</f>
        <v>0.18357466179155824</v>
      </c>
      <c r="D25" s="349">
        <f t="shared" ref="D25:O25" si="28">D24/D9</f>
        <v>0.15784867291733926</v>
      </c>
      <c r="E25" s="349">
        <f t="shared" si="28"/>
        <v>0.15609648022468176</v>
      </c>
      <c r="F25" s="349">
        <f t="shared" si="28"/>
        <v>0.1427770721138828</v>
      </c>
      <c r="G25" s="349">
        <f t="shared" si="28"/>
        <v>0.13393479288383855</v>
      </c>
      <c r="H25" s="431">
        <f t="shared" si="28"/>
        <v>0.12706484779864025</v>
      </c>
      <c r="I25" s="425">
        <f t="shared" si="28"/>
        <v>0.12971048924233708</v>
      </c>
      <c r="J25" s="425">
        <f t="shared" si="28"/>
        <v>0.12657900724896792</v>
      </c>
      <c r="K25" s="415">
        <f t="shared" si="28"/>
        <v>0.15199892764585743</v>
      </c>
      <c r="L25" s="415">
        <f>L24/L9</f>
        <v>0.13388552197266609</v>
      </c>
      <c r="M25" s="227">
        <f>M24/M9</f>
        <v>0.14564122692978701</v>
      </c>
      <c r="N25" s="227">
        <f t="shared" si="28"/>
        <v>0.1454344393816594</v>
      </c>
      <c r="O25" s="227">
        <f t="shared" si="28"/>
        <v>0.14522736971052969</v>
      </c>
      <c r="P25" s="227">
        <f>P24/P9</f>
        <v>0.14468844853434568</v>
      </c>
      <c r="Q25" s="324"/>
      <c r="R25" s="324"/>
      <c r="S25" s="325"/>
      <c r="T25" s="325"/>
      <c r="U25" s="325"/>
      <c r="V25" s="325"/>
      <c r="W25" s="325"/>
      <c r="X25" s="324"/>
      <c r="Y25" s="324"/>
      <c r="Z25" s="324"/>
      <c r="AA25" s="324"/>
      <c r="AB25" s="324"/>
      <c r="AC25" s="324"/>
      <c r="AD25" s="324"/>
      <c r="AE25" s="324"/>
      <c r="AF25" s="324"/>
    </row>
    <row r="26" spans="1:32">
      <c r="A26" s="475"/>
      <c r="B26" s="220" t="s">
        <v>333</v>
      </c>
      <c r="C26" s="306">
        <f>IS!C19</f>
        <v>61383</v>
      </c>
      <c r="D26" s="269">
        <f>IS!D19</f>
        <v>59548</v>
      </c>
      <c r="E26" s="269">
        <f>IS!E19</f>
        <v>61256</v>
      </c>
      <c r="F26" s="269">
        <f>IS!F19</f>
        <v>75297</v>
      </c>
      <c r="G26" s="269">
        <f>IS!G19</f>
        <v>75500</v>
      </c>
      <c r="H26" s="218">
        <f>IS!N19</f>
        <v>11169</v>
      </c>
      <c r="I26" s="427">
        <f>IS!O19</f>
        <v>20663</v>
      </c>
      <c r="J26" s="427">
        <f>IS!P19</f>
        <v>8775</v>
      </c>
      <c r="K26" s="414">
        <f>L26-(H26+I26+J26)</f>
        <v>22646.584164234286</v>
      </c>
      <c r="L26" s="414">
        <f>L24*S26*L6+H26+I26+J26</f>
        <v>63253.584164234286</v>
      </c>
      <c r="M26" s="382">
        <f>M$24*T26</f>
        <v>114715.61912951594</v>
      </c>
      <c r="N26" s="382">
        <f t="shared" ref="N26:P26" si="29">N$24*U26</f>
        <v>131735.65222115186</v>
      </c>
      <c r="O26" s="382">
        <f t="shared" si="29"/>
        <v>151280.29992826033</v>
      </c>
      <c r="P26" s="382">
        <f t="shared" si="29"/>
        <v>172949.95732782906</v>
      </c>
      <c r="Q26" s="324"/>
      <c r="R26" s="198" t="s">
        <v>375</v>
      </c>
      <c r="S26" s="455">
        <f>'DCF Growth Rates'!$I$87</f>
        <v>0.28389717380525575</v>
      </c>
      <c r="T26" s="455">
        <f>'DCF Growth Rates'!$I$87</f>
        <v>0.28389717380525575</v>
      </c>
      <c r="U26" s="455">
        <f>'DCF Growth Rates'!$I$87</f>
        <v>0.28389717380525575</v>
      </c>
      <c r="V26" s="455">
        <f>'DCF Growth Rates'!$I$87</f>
        <v>0.28389717380525575</v>
      </c>
      <c r="W26" s="455">
        <f>'DCF Growth Rates'!$I$87</f>
        <v>0.28389717380525575</v>
      </c>
      <c r="X26" s="324"/>
      <c r="Y26" s="324"/>
      <c r="Z26" s="324"/>
      <c r="AA26" s="324"/>
      <c r="AB26" s="324"/>
      <c r="AC26" s="324"/>
      <c r="AD26" s="324"/>
      <c r="AE26" s="324"/>
      <c r="AF26" s="324"/>
    </row>
    <row r="27" spans="1:32">
      <c r="A27" s="324"/>
      <c r="B27" s="222"/>
      <c r="C27" s="324"/>
      <c r="D27" s="324"/>
      <c r="E27" s="324"/>
      <c r="F27" s="324"/>
      <c r="G27" s="324"/>
      <c r="H27" s="212"/>
      <c r="I27" s="232"/>
      <c r="J27" s="232"/>
      <c r="K27" s="65"/>
      <c r="L27" s="65"/>
      <c r="M27" s="248"/>
      <c r="N27" s="248"/>
      <c r="O27" s="248"/>
      <c r="P27" s="248"/>
      <c r="Q27" s="324"/>
      <c r="R27" s="324"/>
      <c r="S27" s="325"/>
      <c r="T27" s="325"/>
      <c r="U27" s="325"/>
      <c r="V27" s="325"/>
      <c r="W27" s="325"/>
      <c r="X27" s="324"/>
      <c r="Y27" s="324"/>
      <c r="Z27" s="324"/>
      <c r="AA27" s="324"/>
      <c r="AB27" s="324"/>
      <c r="AC27" s="324"/>
      <c r="AD27" s="324"/>
      <c r="AE27" s="324"/>
      <c r="AF27" s="324"/>
    </row>
    <row r="28" spans="1:32">
      <c r="A28" s="475"/>
      <c r="B28" s="207" t="s">
        <v>240</v>
      </c>
      <c r="C28" s="269">
        <f>IS!C20</f>
        <v>146626</v>
      </c>
      <c r="D28" s="269">
        <f>IS!D20</f>
        <v>150204</v>
      </c>
      <c r="E28" s="269">
        <f>IS!E20</f>
        <v>178292</v>
      </c>
      <c r="F28" s="269">
        <f>IS!F20</f>
        <v>180201</v>
      </c>
      <c r="G28" s="269">
        <f>IS!G20</f>
        <v>199365</v>
      </c>
      <c r="H28" s="218">
        <f>IS!N20</f>
        <v>61184</v>
      </c>
      <c r="I28" s="427">
        <f>IS!O20</f>
        <v>58772</v>
      </c>
      <c r="J28" s="427">
        <f>IS!P20</f>
        <v>67943</v>
      </c>
      <c r="K28" s="414">
        <f>L28-(H28+I28+J28)</f>
        <v>67928.91792594298</v>
      </c>
      <c r="L28" s="414">
        <f>L24-L26</f>
        <v>255827.91792594298</v>
      </c>
      <c r="M28" s="382">
        <f>M24-M26</f>
        <v>289358.91811194009</v>
      </c>
      <c r="N28" s="382">
        <f>N24-N26</f>
        <v>332290.28525266825</v>
      </c>
      <c r="O28" s="382">
        <f>O24-O26</f>
        <v>381589.74559052213</v>
      </c>
      <c r="P28" s="382">
        <f>P24-P26</f>
        <v>436249.3348302081</v>
      </c>
      <c r="Q28" s="324"/>
      <c r="R28" s="324"/>
      <c r="S28" s="324"/>
      <c r="T28" s="324"/>
      <c r="U28" s="324"/>
      <c r="V28" s="324"/>
      <c r="W28" s="324"/>
      <c r="X28" s="324"/>
      <c r="Y28" s="324"/>
      <c r="Z28" s="324"/>
      <c r="AA28" s="324"/>
      <c r="AB28" s="324"/>
      <c r="AC28" s="324"/>
      <c r="AD28" s="324"/>
      <c r="AE28" s="324"/>
      <c r="AF28" s="324"/>
    </row>
    <row r="29" spans="1:32">
      <c r="A29" s="324"/>
      <c r="B29" s="203" t="s">
        <v>22</v>
      </c>
      <c r="C29" s="349">
        <f t="shared" ref="C29:P29" si="30">C28/C9</f>
        <v>0.12940218144334628</v>
      </c>
      <c r="D29" s="349">
        <f t="shared" si="30"/>
        <v>0.11303588078719642</v>
      </c>
      <c r="E29" s="349">
        <f t="shared" si="30"/>
        <v>0.11618027974443101</v>
      </c>
      <c r="F29" s="349">
        <f t="shared" si="30"/>
        <v>0.10069969695259373</v>
      </c>
      <c r="G29" s="349">
        <f t="shared" si="30"/>
        <v>9.7145544115425655E-2</v>
      </c>
      <c r="H29" s="431">
        <f t="shared" si="30"/>
        <v>0.10773746740177391</v>
      </c>
      <c r="I29" s="425">
        <f t="shared" si="30"/>
        <v>9.7985178516351149E-2</v>
      </c>
      <c r="J29" s="425">
        <f t="shared" si="30"/>
        <v>0.11042973702174691</v>
      </c>
      <c r="K29" s="415">
        <f t="shared" si="30"/>
        <v>0.11316256795818731</v>
      </c>
      <c r="L29" s="415">
        <f t="shared" si="30"/>
        <v>0.10734453142011104</v>
      </c>
      <c r="M29" s="227">
        <f t="shared" si="30"/>
        <v>0.10429409421489057</v>
      </c>
      <c r="N29" s="227">
        <f t="shared" si="30"/>
        <v>0.1041460130672545</v>
      </c>
      <c r="O29" s="227">
        <f t="shared" si="30"/>
        <v>0.10399772989053931</v>
      </c>
      <c r="P29" s="227">
        <f t="shared" si="30"/>
        <v>0.10361180691317773</v>
      </c>
      <c r="Q29" s="324"/>
      <c r="R29" s="324"/>
      <c r="S29" s="325"/>
      <c r="T29" s="325"/>
      <c r="U29" s="325"/>
      <c r="V29" s="325"/>
      <c r="W29" s="325"/>
      <c r="X29" s="324"/>
      <c r="Y29" s="324"/>
      <c r="Z29" s="324"/>
      <c r="AA29" s="324"/>
      <c r="AB29" s="324"/>
      <c r="AC29" s="324"/>
      <c r="AD29" s="324"/>
      <c r="AE29" s="324"/>
      <c r="AF29" s="324"/>
    </row>
    <row r="30" spans="1:32">
      <c r="A30" s="324"/>
      <c r="B30" s="204" t="s">
        <v>348</v>
      </c>
      <c r="C30" s="216">
        <f>C28/$C$53</f>
        <v>0.80262970626553243</v>
      </c>
      <c r="D30" s="216">
        <f t="shared" ref="D30:K30" si="31">D28/$C$53</f>
        <v>0.82221565343055147</v>
      </c>
      <c r="E30" s="216">
        <f t="shared" si="31"/>
        <v>0.97596917047109188</v>
      </c>
      <c r="F30" s="216">
        <f t="shared" si="31"/>
        <v>0.98641902322067854</v>
      </c>
      <c r="G30" s="216">
        <f t="shared" si="31"/>
        <v>1.0913226262029099</v>
      </c>
      <c r="H30" s="433">
        <f t="shared" si="31"/>
        <v>0.33492079132043662</v>
      </c>
      <c r="I30" s="429">
        <f t="shared" si="31"/>
        <v>0.32171752006218457</v>
      </c>
      <c r="J30" s="429">
        <f t="shared" si="31"/>
        <v>0.3719195104060608</v>
      </c>
      <c r="K30" s="418">
        <f t="shared" si="31"/>
        <v>0.37184242523041666</v>
      </c>
      <c r="L30" s="439">
        <f>L28/$C$53</f>
        <v>1.4004002470190986</v>
      </c>
      <c r="M30" s="440">
        <f>M28/$C$53</f>
        <v>1.5839487092977966</v>
      </c>
      <c r="N30" s="440">
        <f>N28/$C$53</f>
        <v>1.8189547150385275</v>
      </c>
      <c r="O30" s="440">
        <f>O28/$C$53</f>
        <v>2.0888196187392416</v>
      </c>
      <c r="P30" s="440">
        <f>P28/$C$53</f>
        <v>2.3880258308438056</v>
      </c>
      <c r="Q30" s="324"/>
      <c r="R30" s="324"/>
      <c r="S30" s="325"/>
      <c r="T30" s="325"/>
      <c r="U30" s="325"/>
      <c r="V30" s="325"/>
      <c r="W30" s="325"/>
      <c r="X30" s="324"/>
      <c r="Y30" s="324"/>
      <c r="Z30" s="324"/>
      <c r="AA30" s="324"/>
      <c r="AB30" s="324"/>
      <c r="AC30" s="324"/>
      <c r="AD30" s="324"/>
      <c r="AE30" s="324"/>
      <c r="AF30" s="324"/>
    </row>
    <row r="31" spans="1:32">
      <c r="A31" s="324"/>
      <c r="B31" s="324"/>
      <c r="C31" s="324"/>
      <c r="D31" s="324"/>
      <c r="E31" s="324"/>
      <c r="F31" s="324"/>
      <c r="G31" s="324"/>
      <c r="H31" s="212"/>
      <c r="I31" s="232"/>
      <c r="J31" s="232"/>
      <c r="K31" s="65"/>
      <c r="L31" s="212"/>
      <c r="M31" s="324"/>
      <c r="N31" s="324"/>
      <c r="O31" s="324"/>
      <c r="P31" s="324"/>
      <c r="Q31" s="324"/>
      <c r="R31" s="324"/>
      <c r="S31" s="325"/>
      <c r="T31" s="325"/>
      <c r="U31" s="325"/>
      <c r="V31" s="325"/>
      <c r="W31" s="325"/>
      <c r="X31" s="324"/>
      <c r="Y31" s="324"/>
      <c r="Z31" s="324"/>
      <c r="AA31" s="324"/>
      <c r="AB31" s="324"/>
      <c r="AC31" s="324"/>
      <c r="AD31" s="324"/>
      <c r="AE31" s="324"/>
      <c r="AF31" s="324"/>
    </row>
    <row r="32" spans="1:32" s="2" customFormat="1">
      <c r="A32" s="324"/>
      <c r="B32" s="201" t="s">
        <v>187</v>
      </c>
      <c r="C32" s="357"/>
      <c r="D32" s="357"/>
      <c r="E32" s="357"/>
      <c r="F32" s="357"/>
      <c r="G32" s="357"/>
      <c r="H32" s="419"/>
      <c r="I32" s="357"/>
      <c r="J32" s="357"/>
      <c r="K32" s="419"/>
      <c r="L32" s="419"/>
      <c r="M32" s="357"/>
      <c r="N32" s="357"/>
      <c r="O32" s="357"/>
      <c r="P32" s="357"/>
      <c r="Q32" s="238"/>
      <c r="R32" s="233"/>
      <c r="S32" s="325"/>
      <c r="T32" s="325"/>
      <c r="U32" s="325"/>
      <c r="V32" s="325"/>
      <c r="W32" s="325"/>
      <c r="X32" s="233"/>
      <c r="Y32" s="233"/>
      <c r="Z32" s="233"/>
      <c r="AA32" s="233"/>
      <c r="AB32" s="233"/>
      <c r="AC32" s="233"/>
      <c r="AD32" s="233"/>
      <c r="AE32" s="233"/>
      <c r="AF32" s="233"/>
    </row>
    <row r="33" spans="1:32" s="2" customFormat="1">
      <c r="A33" s="477"/>
      <c r="B33" s="205" t="s">
        <v>279</v>
      </c>
      <c r="C33" s="413">
        <f>BS!C14</f>
        <v>1221355</v>
      </c>
      <c r="D33" s="413">
        <f>BS!D14</f>
        <v>1368749</v>
      </c>
      <c r="E33" s="413">
        <f>BS!E14</f>
        <v>1571182</v>
      </c>
      <c r="F33" s="413">
        <f>BS!F14</f>
        <v>1970239</v>
      </c>
      <c r="G33" s="413">
        <f>BS!G14</f>
        <v>1872433</v>
      </c>
      <c r="H33" s="212"/>
      <c r="I33" s="232"/>
      <c r="J33" s="232"/>
      <c r="K33" s="458"/>
      <c r="L33" s="438">
        <f>+G33*(1+S33)</f>
        <v>2808114.7474166872</v>
      </c>
      <c r="M33" s="378">
        <f>+L33*(1+S33)</f>
        <v>4211370.1449713204</v>
      </c>
      <c r="N33" s="378">
        <f t="shared" ref="N33:P33" si="32">+M33*(1+T33)</f>
        <v>6315852.4822646882</v>
      </c>
      <c r="O33" s="378">
        <f t="shared" si="32"/>
        <v>9471974.96410059</v>
      </c>
      <c r="P33" s="378">
        <f t="shared" si="32"/>
        <v>14205257.322346119</v>
      </c>
      <c r="Q33" s="324"/>
      <c r="R33" s="198" t="s">
        <v>92</v>
      </c>
      <c r="S33" s="455">
        <f>'DCF Growth Rates'!$I$64</f>
        <v>0.49971440762723535</v>
      </c>
      <c r="T33" s="455">
        <f>'DCF Growth Rates'!$I$64</f>
        <v>0.49971440762723535</v>
      </c>
      <c r="U33" s="455">
        <f>'DCF Growth Rates'!$I$64</f>
        <v>0.49971440762723535</v>
      </c>
      <c r="V33" s="455">
        <f>'DCF Growth Rates'!$I$64</f>
        <v>0.49971440762723535</v>
      </c>
      <c r="W33" s="455">
        <f>'DCF Growth Rates'!$I$64</f>
        <v>0.49971440762723535</v>
      </c>
      <c r="X33" s="324"/>
      <c r="Y33" s="324"/>
      <c r="Z33" s="324"/>
      <c r="AA33" s="324"/>
      <c r="AB33" s="233"/>
      <c r="AC33" s="233"/>
      <c r="AD33" s="233"/>
      <c r="AE33" s="233"/>
      <c r="AF33" s="233"/>
    </row>
    <row r="34" spans="1:32" s="2" customFormat="1">
      <c r="A34" s="477"/>
      <c r="B34" s="205" t="s">
        <v>299</v>
      </c>
      <c r="C34" s="217">
        <f>BS!C35</f>
        <v>826305</v>
      </c>
      <c r="D34" s="217">
        <f>BS!D35</f>
        <v>985712</v>
      </c>
      <c r="E34" s="217">
        <f>BS!E35</f>
        <v>1148086</v>
      </c>
      <c r="F34" s="217">
        <f>BS!F35</f>
        <v>1334692</v>
      </c>
      <c r="G34" s="217">
        <f>BS!G35</f>
        <v>1559177</v>
      </c>
      <c r="H34" s="459"/>
      <c r="I34" s="460"/>
      <c r="J34" s="460"/>
      <c r="K34" s="458"/>
      <c r="L34" s="438">
        <f>L$9*S34</f>
        <v>1777542.6749269206</v>
      </c>
      <c r="M34" s="378">
        <f>M$9*T34</f>
        <v>2069327.2630920354</v>
      </c>
      <c r="N34" s="378">
        <f>N$9*U34</f>
        <v>2379726.3525558407</v>
      </c>
      <c r="O34" s="378">
        <f>O$9*V34</f>
        <v>2736685.3054392166</v>
      </c>
      <c r="P34" s="378">
        <f>P$9*W34</f>
        <v>3140346.387991501</v>
      </c>
      <c r="Q34" s="324"/>
      <c r="R34" s="198" t="s">
        <v>92</v>
      </c>
      <c r="S34" s="455">
        <f>'DCF Growth Rates'!$I$69</f>
        <v>0.74585091051132479</v>
      </c>
      <c r="T34" s="455">
        <f>'DCF Growth Rates'!$I$69</f>
        <v>0.74585091051132479</v>
      </c>
      <c r="U34" s="455">
        <f>'DCF Growth Rates'!$I$69</f>
        <v>0.74585091051132479</v>
      </c>
      <c r="V34" s="455">
        <f>'DCF Growth Rates'!$I$69</f>
        <v>0.74585091051132479</v>
      </c>
      <c r="W34" s="455">
        <f>'DCF Growth Rates'!$I$69</f>
        <v>0.74585091051132479</v>
      </c>
      <c r="X34" s="324"/>
      <c r="Y34" s="324"/>
      <c r="Z34" s="324"/>
      <c r="AA34" s="324"/>
      <c r="AB34" s="233"/>
      <c r="AC34" s="233"/>
      <c r="AD34" s="233"/>
      <c r="AE34" s="233"/>
      <c r="AF34" s="233"/>
    </row>
    <row r="35" spans="1:32" s="2" customFormat="1">
      <c r="A35" s="477"/>
      <c r="B35" s="205" t="s">
        <v>4</v>
      </c>
      <c r="C35" s="217">
        <f>BS!C7</f>
        <v>549217</v>
      </c>
      <c r="D35" s="217">
        <f>BS!D7</f>
        <v>487084</v>
      </c>
      <c r="E35" s="217">
        <f>BS!E7</f>
        <v>646742</v>
      </c>
      <c r="F35" s="217">
        <f>BS!F7</f>
        <v>1047473</v>
      </c>
      <c r="G35" s="217">
        <f>BS!G7</f>
        <v>927778</v>
      </c>
      <c r="H35" s="459"/>
      <c r="I35" s="460"/>
      <c r="J35" s="460"/>
      <c r="K35" s="458"/>
      <c r="L35" s="438">
        <f>L$33*S35</f>
        <v>2502141.2963393899</v>
      </c>
      <c r="M35" s="422">
        <f>M$33*T35</f>
        <v>3752497.3520392706</v>
      </c>
      <c r="N35" s="422">
        <f t="shared" ref="N35:P35" si="33">N$33*U35</f>
        <v>5627674.3434363436</v>
      </c>
      <c r="O35" s="422">
        <f t="shared" si="33"/>
        <v>8439904.2942856271</v>
      </c>
      <c r="P35" s="422">
        <f t="shared" si="33"/>
        <v>12657446.069135128</v>
      </c>
      <c r="Q35" s="324"/>
      <c r="R35" s="198" t="s">
        <v>374</v>
      </c>
      <c r="S35" s="455">
        <f>'DCF Growth Rates'!$I$75</f>
        <v>0.89103954838071475</v>
      </c>
      <c r="T35" s="455">
        <f>'DCF Growth Rates'!$I$75</f>
        <v>0.89103954838071475</v>
      </c>
      <c r="U35" s="455">
        <f>'DCF Growth Rates'!$I$75</f>
        <v>0.89103954838071475</v>
      </c>
      <c r="V35" s="455">
        <f>'DCF Growth Rates'!$I$75</f>
        <v>0.89103954838071475</v>
      </c>
      <c r="W35" s="455">
        <f>'DCF Growth Rates'!$I$75</f>
        <v>0.89103954838071475</v>
      </c>
      <c r="X35" s="324"/>
      <c r="Y35" s="324"/>
      <c r="Z35" s="324"/>
      <c r="AA35" s="324"/>
      <c r="AB35" s="233"/>
      <c r="AC35" s="233"/>
      <c r="AD35" s="233"/>
      <c r="AE35" s="233"/>
      <c r="AF35" s="233"/>
    </row>
    <row r="36" spans="1:32" s="2" customFormat="1">
      <c r="A36" s="477"/>
      <c r="B36" s="205" t="s">
        <v>349</v>
      </c>
      <c r="C36" s="198">
        <v>0</v>
      </c>
      <c r="D36" s="198">
        <v>0</v>
      </c>
      <c r="E36" s="198">
        <v>0</v>
      </c>
      <c r="F36" s="198">
        <v>0</v>
      </c>
      <c r="G36" s="198">
        <v>0</v>
      </c>
      <c r="H36" s="212"/>
      <c r="I36" s="232"/>
      <c r="J36" s="232"/>
      <c r="K36" s="65"/>
      <c r="L36" s="432">
        <f>L$9*S36</f>
        <v>0</v>
      </c>
      <c r="M36" s="214">
        <f t="shared" ref="M36:Q36" si="34">M$9*T36</f>
        <v>0</v>
      </c>
      <c r="N36" s="214">
        <f t="shared" si="34"/>
        <v>0</v>
      </c>
      <c r="O36" s="214">
        <f t="shared" si="34"/>
        <v>0</v>
      </c>
      <c r="P36" s="214">
        <f t="shared" si="34"/>
        <v>0</v>
      </c>
      <c r="Q36" s="214">
        <f t="shared" si="34"/>
        <v>0</v>
      </c>
      <c r="R36" s="198" t="s">
        <v>373</v>
      </c>
      <c r="S36" s="455">
        <f>'DCF Growth Rates'!$I$81</f>
        <v>0</v>
      </c>
      <c r="T36" s="455">
        <f>'DCF Growth Rates'!$I$81</f>
        <v>0</v>
      </c>
      <c r="U36" s="455">
        <f>'DCF Growth Rates'!$I$81</f>
        <v>0</v>
      </c>
      <c r="V36" s="455">
        <f>'DCF Growth Rates'!$I$81</f>
        <v>0</v>
      </c>
      <c r="W36" s="455">
        <f>'DCF Growth Rates'!$I$81</f>
        <v>0</v>
      </c>
      <c r="X36" s="324"/>
      <c r="Y36" s="324"/>
      <c r="Z36" s="324"/>
      <c r="AA36" s="324"/>
      <c r="AB36" s="233"/>
      <c r="AC36" s="233"/>
      <c r="AD36" s="233"/>
      <c r="AE36" s="233"/>
      <c r="AF36" s="233"/>
    </row>
    <row r="37" spans="1:32" s="2" customFormat="1">
      <c r="A37" s="324"/>
      <c r="B37" s="193"/>
      <c r="C37" s="324"/>
      <c r="D37" s="324"/>
      <c r="E37" s="324"/>
      <c r="F37" s="324"/>
      <c r="G37" s="324"/>
      <c r="H37" s="212"/>
      <c r="I37" s="232"/>
      <c r="J37" s="232"/>
      <c r="K37" s="212"/>
      <c r="L37" s="212"/>
      <c r="M37" s="324"/>
      <c r="N37" s="324"/>
      <c r="O37" s="324"/>
      <c r="P37" s="324"/>
      <c r="Q37" s="324"/>
      <c r="R37" s="324"/>
      <c r="S37" s="325"/>
      <c r="T37" s="325"/>
      <c r="U37" s="325"/>
      <c r="V37" s="325"/>
      <c r="W37" s="325"/>
      <c r="X37" s="324"/>
      <c r="Y37" s="324"/>
      <c r="Z37" s="324"/>
      <c r="AA37" s="324"/>
      <c r="AB37" s="233"/>
      <c r="AC37" s="233"/>
      <c r="AD37" s="233"/>
      <c r="AE37" s="233"/>
      <c r="AF37" s="233"/>
    </row>
    <row r="38" spans="1:32" s="3" customFormat="1">
      <c r="A38" s="324"/>
      <c r="B38" s="201" t="s">
        <v>211</v>
      </c>
      <c r="C38" s="357"/>
      <c r="D38" s="357"/>
      <c r="E38" s="357"/>
      <c r="F38" s="357"/>
      <c r="G38" s="357"/>
      <c r="H38" s="419"/>
      <c r="I38" s="357"/>
      <c r="J38" s="357"/>
      <c r="K38" s="419"/>
      <c r="L38" s="419"/>
      <c r="M38" s="357"/>
      <c r="N38" s="357"/>
      <c r="O38" s="357"/>
      <c r="P38" s="357"/>
      <c r="Q38" s="238"/>
      <c r="R38" s="237"/>
      <c r="S38" s="325"/>
      <c r="T38" s="325"/>
      <c r="U38" s="325"/>
      <c r="V38" s="325"/>
      <c r="W38" s="325"/>
      <c r="X38" s="237"/>
      <c r="Y38" s="237"/>
      <c r="Z38" s="237"/>
      <c r="AA38" s="237"/>
      <c r="AB38" s="237"/>
      <c r="AC38" s="237"/>
      <c r="AD38" s="237"/>
      <c r="AE38" s="237"/>
      <c r="AF38" s="237"/>
    </row>
    <row r="39" spans="1:32" s="2" customFormat="1">
      <c r="A39" s="324"/>
      <c r="B39" s="205" t="s">
        <v>188</v>
      </c>
      <c r="C39" s="262">
        <f t="shared" ref="C39:G39" si="35">(C33-C35)-(C34-C36)</f>
        <v>-154167</v>
      </c>
      <c r="D39" s="262">
        <f t="shared" si="35"/>
        <v>-104047</v>
      </c>
      <c r="E39" s="262">
        <f t="shared" si="35"/>
        <v>-223646</v>
      </c>
      <c r="F39" s="262">
        <f t="shared" si="35"/>
        <v>-411926</v>
      </c>
      <c r="G39" s="262">
        <f t="shared" si="35"/>
        <v>-614522</v>
      </c>
      <c r="H39" s="461"/>
      <c r="I39" s="261"/>
      <c r="J39" s="261"/>
      <c r="K39" s="461"/>
      <c r="L39" s="309">
        <f>(L33-L35)-(L34-L36)</f>
        <v>-1471569.2238496232</v>
      </c>
      <c r="M39" s="262">
        <f t="shared" ref="M39:P39" si="36">(M33-M35)-(M34-M36)</f>
        <v>-1610454.4701599856</v>
      </c>
      <c r="N39" s="262">
        <f>(N33-N35)-(N34-N36)</f>
        <v>-1691548.2137274961</v>
      </c>
      <c r="O39" s="262">
        <f>(O33-O35)-(O34-O36)</f>
        <v>-1704614.6356242537</v>
      </c>
      <c r="P39" s="262">
        <f t="shared" si="36"/>
        <v>-1592535.1347805094</v>
      </c>
      <c r="Q39" s="236"/>
      <c r="R39" s="233"/>
      <c r="S39" s="452"/>
      <c r="T39" s="452"/>
      <c r="U39" s="452"/>
      <c r="V39" s="452"/>
      <c r="W39" s="452"/>
      <c r="X39" s="233"/>
      <c r="Y39" s="233"/>
      <c r="Z39" s="233"/>
      <c r="AA39" s="233"/>
      <c r="AB39" s="233"/>
      <c r="AC39" s="233"/>
      <c r="AD39" s="233"/>
      <c r="AE39" s="233"/>
      <c r="AF39" s="233"/>
    </row>
    <row r="40" spans="1:32" s="2" customFormat="1">
      <c r="A40" s="324"/>
      <c r="B40" s="206" t="s">
        <v>189</v>
      </c>
      <c r="C40" s="261"/>
      <c r="D40" s="262">
        <f>D39-C39</f>
        <v>50120</v>
      </c>
      <c r="E40" s="262">
        <f>E39-D39</f>
        <v>-119599</v>
      </c>
      <c r="F40" s="262">
        <f>F39-E39</f>
        <v>-188280</v>
      </c>
      <c r="G40" s="262">
        <f>G39-F39</f>
        <v>-202596</v>
      </c>
      <c r="H40" s="461"/>
      <c r="I40" s="261"/>
      <c r="J40" s="261"/>
      <c r="K40" s="461"/>
      <c r="L40" s="309">
        <f>L39-G39</f>
        <v>-857047.22384962323</v>
      </c>
      <c r="M40" s="262">
        <f>M39-L39</f>
        <v>-138885.24631036236</v>
      </c>
      <c r="N40" s="262">
        <f>N39-M39</f>
        <v>-81093.743567510508</v>
      </c>
      <c r="O40" s="262">
        <f>O39-N39</f>
        <v>-13066.421896757558</v>
      </c>
      <c r="P40" s="262">
        <f>P39-O39</f>
        <v>112079.50084374426</v>
      </c>
      <c r="Q40" s="319"/>
      <c r="R40" s="233"/>
      <c r="S40" s="453"/>
      <c r="T40" s="453"/>
      <c r="U40" s="453"/>
      <c r="V40" s="453"/>
      <c r="W40" s="453"/>
      <c r="X40" s="233"/>
      <c r="Y40" s="233"/>
      <c r="Z40" s="233"/>
      <c r="AA40" s="233"/>
      <c r="AB40" s="233"/>
      <c r="AC40" s="233"/>
      <c r="AD40" s="233"/>
      <c r="AE40" s="233"/>
      <c r="AF40" s="233"/>
    </row>
    <row r="41" spans="1:32" s="2" customFormat="1">
      <c r="A41" s="324"/>
      <c r="B41" s="205" t="s">
        <v>190</v>
      </c>
      <c r="C41" s="262">
        <f>C19-C26-C40</f>
        <v>189902</v>
      </c>
      <c r="D41" s="262">
        <f>D19-D26-D40</f>
        <v>153711</v>
      </c>
      <c r="E41" s="262">
        <f>E19-E26-E40</f>
        <v>365037</v>
      </c>
      <c r="F41" s="262">
        <f>F19-F26-F40</f>
        <v>439240</v>
      </c>
      <c r="G41" s="262">
        <f>G19-G26-G40</f>
        <v>491232</v>
      </c>
      <c r="H41" s="461"/>
      <c r="I41" s="261"/>
      <c r="J41" s="261"/>
      <c r="K41" s="461"/>
      <c r="L41" s="454">
        <f>+L21-L26+L18-L40</f>
        <v>1211616.9426513826</v>
      </c>
      <c r="M41" s="474">
        <f t="shared" ref="M41:P41" si="37">+M21-M26+M18-M40</f>
        <v>549415.57194224605</v>
      </c>
      <c r="N41" s="474">
        <f t="shared" si="37"/>
        <v>559112.3861822274</v>
      </c>
      <c r="O41" s="474">
        <f t="shared" si="37"/>
        <v>567151.16442487587</v>
      </c>
      <c r="P41" s="474">
        <f t="shared" si="37"/>
        <v>522107.84297235531</v>
      </c>
      <c r="Q41" s="236"/>
      <c r="R41" s="233"/>
      <c r="S41" s="452"/>
      <c r="T41" s="452"/>
      <c r="U41" s="452"/>
      <c r="V41" s="452"/>
      <c r="W41" s="452"/>
      <c r="X41" s="233"/>
      <c r="Y41" s="233"/>
      <c r="Z41" s="233"/>
      <c r="AA41" s="233"/>
      <c r="AB41" s="233"/>
      <c r="AC41" s="233"/>
      <c r="AD41" s="233"/>
      <c r="AE41" s="233"/>
      <c r="AF41" s="233"/>
    </row>
    <row r="42" spans="1:32" s="2" customFormat="1">
      <c r="A42" s="476"/>
      <c r="B42" s="205" t="s">
        <v>237</v>
      </c>
      <c r="C42" s="263">
        <f>CF!C40</f>
        <v>-51618</v>
      </c>
      <c r="D42" s="263">
        <f>CF!D40</f>
        <v>-120038</v>
      </c>
      <c r="E42" s="263">
        <f>CF!E40</f>
        <v>-97559</v>
      </c>
      <c r="F42" s="263">
        <f>CF!F40</f>
        <v>-51771</v>
      </c>
      <c r="G42" s="263">
        <f>CF!G40</f>
        <v>-55517</v>
      </c>
      <c r="H42" s="308">
        <f>CF!N40</f>
        <v>-20521</v>
      </c>
      <c r="I42" s="263">
        <f>CF!O40</f>
        <v>-19060</v>
      </c>
      <c r="J42" s="263">
        <f>CF!P40</f>
        <v>-19567</v>
      </c>
      <c r="K42" s="309">
        <f>$K$11*S42</f>
        <v>-10199.418489104757</v>
      </c>
      <c r="L42" s="309">
        <f>L$9*S42*L6+H42+I42+J42</f>
        <v>-71064.206375000009</v>
      </c>
      <c r="M42" s="262">
        <f>$M$9*T42</f>
        <v>-83233.548444958898</v>
      </c>
      <c r="N42" s="262">
        <f>$N$9*U42</f>
        <v>-127624.77428227031</v>
      </c>
      <c r="O42" s="262">
        <f>$O$9*V42</f>
        <v>-146768.49042461088</v>
      </c>
      <c r="P42" s="262">
        <f>$P$9*W42</f>
        <v>-168416.84276224097</v>
      </c>
      <c r="Q42" s="236"/>
      <c r="R42" s="131" t="s">
        <v>92</v>
      </c>
      <c r="S42" s="457">
        <v>-0.02</v>
      </c>
      <c r="T42" s="457">
        <v>-0.03</v>
      </c>
      <c r="U42" s="457">
        <v>-0.04</v>
      </c>
      <c r="V42" s="457">
        <v>-0.04</v>
      </c>
      <c r="W42" s="457">
        <v>-0.04</v>
      </c>
      <c r="X42" s="233"/>
      <c r="Y42" s="233"/>
      <c r="Z42" s="233"/>
      <c r="AA42" s="233"/>
      <c r="AB42" s="233"/>
      <c r="AC42" s="233"/>
      <c r="AD42" s="233"/>
      <c r="AE42" s="233"/>
      <c r="AF42" s="233"/>
    </row>
    <row r="43" spans="1:32" s="2" customFormat="1">
      <c r="A43" s="324"/>
      <c r="B43" s="202" t="s">
        <v>192</v>
      </c>
      <c r="C43" s="191">
        <f>SUM(C41:C42)</f>
        <v>138284</v>
      </c>
      <c r="D43" s="191">
        <f t="shared" ref="D43:Q43" si="38">SUM(D41:D42)</f>
        <v>33673</v>
      </c>
      <c r="E43" s="191">
        <f t="shared" si="38"/>
        <v>267478</v>
      </c>
      <c r="F43" s="191">
        <f t="shared" si="38"/>
        <v>387469</v>
      </c>
      <c r="G43" s="191">
        <f t="shared" si="38"/>
        <v>435715</v>
      </c>
      <c r="H43" s="435"/>
      <c r="I43" s="194"/>
      <c r="J43" s="194"/>
      <c r="K43" s="420">
        <f>SUM(K41:K42)</f>
        <v>-10199.418489104757</v>
      </c>
      <c r="L43" s="420">
        <f t="shared" si="38"/>
        <v>1140552.7362763826</v>
      </c>
      <c r="M43" s="191">
        <f t="shared" si="38"/>
        <v>466182.02349728718</v>
      </c>
      <c r="N43" s="191">
        <f>SUM(N41:N42)</f>
        <v>431487.61189995706</v>
      </c>
      <c r="O43" s="191">
        <f>SUM(O41:O42)</f>
        <v>420382.67400026496</v>
      </c>
      <c r="P43" s="191">
        <f>SUM(P41:P42)</f>
        <v>353691.00021011435</v>
      </c>
      <c r="Q43" s="368">
        <f t="shared" si="38"/>
        <v>0</v>
      </c>
      <c r="R43" s="233"/>
      <c r="S43" s="452"/>
      <c r="T43" s="452"/>
      <c r="U43" s="452"/>
      <c r="V43" s="452"/>
      <c r="W43" s="452"/>
      <c r="X43" s="233"/>
      <c r="Y43" s="233"/>
      <c r="Z43" s="233"/>
      <c r="AA43" s="233"/>
      <c r="AB43" s="233"/>
      <c r="AC43" s="233"/>
      <c r="AD43" s="233"/>
      <c r="AE43" s="233"/>
      <c r="AF43" s="233"/>
    </row>
    <row r="44" spans="1:32" s="3" customFormat="1">
      <c r="A44" s="272"/>
      <c r="B44" s="207" t="s">
        <v>191</v>
      </c>
      <c r="C44" s="194"/>
      <c r="D44" s="194"/>
      <c r="E44" s="194"/>
      <c r="F44" s="194"/>
      <c r="G44" s="194"/>
      <c r="H44" s="435"/>
      <c r="I44" s="194"/>
      <c r="J44" s="194"/>
      <c r="K44" s="420">
        <f t="shared" ref="K44:P44" si="39">K43/(1+$J$55)^K6</f>
        <v>-10199.418489104757</v>
      </c>
      <c r="L44" s="420">
        <f t="shared" si="39"/>
        <v>1112619.5084584532</v>
      </c>
      <c r="M44" s="191">
        <f t="shared" si="39"/>
        <v>411824.34976088669</v>
      </c>
      <c r="N44" s="191">
        <f t="shared" si="39"/>
        <v>345183.50106227101</v>
      </c>
      <c r="O44" s="191">
        <f t="shared" si="39"/>
        <v>304545.16230250557</v>
      </c>
      <c r="P44" s="191">
        <f t="shared" si="39"/>
        <v>232036.39258005237</v>
      </c>
      <c r="Q44" s="238"/>
      <c r="R44" s="237"/>
      <c r="S44" s="320"/>
      <c r="T44" s="320"/>
      <c r="U44" s="320"/>
      <c r="V44" s="320"/>
      <c r="W44" s="320"/>
      <c r="X44" s="237"/>
      <c r="Y44" s="237"/>
      <c r="Z44" s="237"/>
      <c r="AA44" s="237"/>
      <c r="AB44" s="237"/>
      <c r="AC44" s="237"/>
      <c r="AD44" s="237"/>
      <c r="AE44" s="237"/>
      <c r="AF44" s="237"/>
    </row>
    <row r="45" spans="1:32" s="2" customFormat="1">
      <c r="A45" s="324"/>
      <c r="B45" s="298"/>
      <c r="C45" s="239"/>
      <c r="D45" s="232"/>
      <c r="E45" s="232"/>
      <c r="F45" s="232"/>
      <c r="G45" s="232"/>
      <c r="H45" s="233"/>
      <c r="I45" s="233"/>
      <c r="J45" s="239"/>
      <c r="K45" s="239"/>
      <c r="L45" s="232"/>
      <c r="M45" s="232"/>
      <c r="N45" s="232"/>
      <c r="O45" s="232"/>
      <c r="P45" s="232"/>
      <c r="Q45" s="232"/>
      <c r="R45" s="324"/>
      <c r="S45" s="324"/>
      <c r="T45" s="324"/>
      <c r="U45" s="324"/>
      <c r="V45" s="233"/>
      <c r="W45" s="233"/>
      <c r="X45" s="233"/>
      <c r="Y45" s="233"/>
      <c r="Z45" s="233"/>
      <c r="AA45" s="233"/>
      <c r="AB45" s="233"/>
      <c r="AC45" s="233"/>
      <c r="AD45" s="233"/>
      <c r="AE45" s="233"/>
      <c r="AF45" s="233"/>
    </row>
    <row r="46" spans="1:32" s="2" customFormat="1">
      <c r="A46" s="324"/>
      <c r="B46" s="132" t="s">
        <v>121</v>
      </c>
      <c r="C46" s="322"/>
      <c r="D46" s="133" t="s">
        <v>205</v>
      </c>
      <c r="E46" s="233"/>
      <c r="F46" s="132" t="s">
        <v>203</v>
      </c>
      <c r="G46" s="322"/>
      <c r="H46" s="233"/>
      <c r="I46" s="132" t="s">
        <v>103</v>
      </c>
      <c r="J46" s="322"/>
      <c r="K46" s="239"/>
      <c r="L46" s="132" t="s">
        <v>131</v>
      </c>
      <c r="M46" s="322"/>
      <c r="N46" s="322"/>
      <c r="O46" s="277"/>
      <c r="P46" s="233"/>
      <c r="Q46" s="233"/>
      <c r="R46" s="233"/>
      <c r="S46" s="23"/>
      <c r="T46" s="23"/>
      <c r="U46" s="23"/>
      <c r="V46" s="23"/>
      <c r="W46" s="23"/>
      <c r="X46" s="233"/>
      <c r="Y46" s="233"/>
      <c r="Z46" s="233"/>
      <c r="AA46" s="233"/>
      <c r="AB46" s="233"/>
      <c r="AC46" s="233"/>
      <c r="AD46" s="233"/>
      <c r="AE46" s="233"/>
      <c r="AF46" s="233"/>
    </row>
    <row r="47" spans="1:32" s="2" customFormat="1">
      <c r="A47" s="324"/>
      <c r="B47" s="134" t="s">
        <v>122</v>
      </c>
      <c r="C47" s="262">
        <f>SUM(L44:P44)</f>
        <v>2406208.9141641688</v>
      </c>
      <c r="D47" s="308">
        <f>C47</f>
        <v>2406208.9141641688</v>
      </c>
      <c r="E47" s="233"/>
      <c r="F47" s="131" t="s">
        <v>204</v>
      </c>
      <c r="G47" s="354">
        <f>'Comparable - unchanged weights'!J29</f>
        <v>23.075499999999998</v>
      </c>
      <c r="H47" s="233"/>
      <c r="I47" s="135" t="s">
        <v>11</v>
      </c>
      <c r="J47" s="332">
        <f>IF(MAX(Beta!I16,Beta!S16,Beta!AC16)&gt;=0.18,INDEX(Beta!H10:AC10,1,MATCH(MAX(Beta!I16,Beta!S16,Beta!AC16),Beta!H16:AC16,0)),'Bottom-Up Beta'!C14)</f>
        <v>1.3178533940953687</v>
      </c>
      <c r="K47" s="239"/>
      <c r="L47" s="136" t="s">
        <v>109</v>
      </c>
      <c r="M47" s="331">
        <f>N47/(N47+N48)</f>
        <v>0.94395371477071055</v>
      </c>
      <c r="N47" s="258">
        <f>C53*Valuation!C12</f>
        <v>15089533.199999999</v>
      </c>
      <c r="O47" s="137" t="s">
        <v>132</v>
      </c>
      <c r="P47" s="233"/>
      <c r="Q47" s="233"/>
      <c r="R47" s="233"/>
      <c r="S47" s="324"/>
      <c r="T47" s="324"/>
      <c r="U47" s="324"/>
      <c r="V47" s="233"/>
      <c r="W47" s="233"/>
      <c r="X47" s="233"/>
      <c r="Y47" s="233"/>
      <c r="Z47" s="233"/>
      <c r="AA47" s="233"/>
      <c r="AB47" s="233"/>
      <c r="AC47" s="233"/>
      <c r="AD47" s="233"/>
      <c r="AE47" s="233"/>
      <c r="AF47" s="233"/>
    </row>
    <row r="48" spans="1:32" s="2" customFormat="1">
      <c r="A48" s="324"/>
      <c r="B48" s="134" t="s">
        <v>123</v>
      </c>
      <c r="C48" s="262">
        <f>((P43*(1+J50))/(J55-J50))/((1+J55)^P6)</f>
        <v>3218006.6308507645</v>
      </c>
      <c r="D48" s="308">
        <f>G52</f>
        <v>12218858.462978952</v>
      </c>
      <c r="E48" s="233"/>
      <c r="F48" s="307" t="str">
        <f>P7&amp;"E "&amp;"EBITDA"</f>
        <v>2021E EBITDA</v>
      </c>
      <c r="G48" s="274">
        <f>P19</f>
        <v>807137.30114392866</v>
      </c>
      <c r="H48" s="233"/>
      <c r="I48" s="138" t="s">
        <v>72</v>
      </c>
      <c r="J48" s="139">
        <v>0.06</v>
      </c>
      <c r="K48" s="441"/>
      <c r="L48" s="140" t="s">
        <v>125</v>
      </c>
      <c r="M48" s="327">
        <f>N48/(N47+N48)</f>
        <v>5.6046285229289526E-2</v>
      </c>
      <c r="N48" s="299">
        <f>Obligations!C17+BS!P37</f>
        <v>895925.58244178339</v>
      </c>
      <c r="O48" s="137" t="s">
        <v>132</v>
      </c>
      <c r="P48" s="233"/>
      <c r="Q48" s="233"/>
      <c r="R48" s="233"/>
      <c r="S48" s="324"/>
      <c r="T48" s="324"/>
      <c r="U48" s="324"/>
      <c r="V48" s="233"/>
      <c r="W48" s="233"/>
      <c r="X48" s="233"/>
      <c r="Y48" s="233"/>
      <c r="Z48" s="233"/>
      <c r="AA48" s="233"/>
      <c r="AB48" s="233"/>
      <c r="AC48" s="233"/>
      <c r="AD48" s="233"/>
      <c r="AE48" s="233"/>
      <c r="AF48" s="233"/>
    </row>
    <row r="49" spans="1:32" s="2" customFormat="1">
      <c r="A49" s="324"/>
      <c r="B49" s="134" t="s">
        <v>124</v>
      </c>
      <c r="C49" s="262">
        <f>C47+C48</f>
        <v>5624215.5450149328</v>
      </c>
      <c r="D49" s="309">
        <f>D47+D48</f>
        <v>14625067.37714312</v>
      </c>
      <c r="E49" s="233"/>
      <c r="F49" s="307" t="str">
        <f>"FY"&amp;G7&amp;" EBITDA"</f>
        <v>FY2016 EBITDA</v>
      </c>
      <c r="G49" s="274">
        <f>G19</f>
        <v>364136</v>
      </c>
      <c r="H49" s="233"/>
      <c r="I49" s="135" t="s">
        <v>71</v>
      </c>
      <c r="J49" s="139">
        <v>2.9700000000000001E-2</v>
      </c>
      <c r="K49" s="441"/>
      <c r="L49" s="251"/>
      <c r="M49" s="251"/>
      <c r="N49" s="251"/>
      <c r="O49" s="252"/>
      <c r="P49" s="233"/>
      <c r="Q49" s="233"/>
      <c r="R49" s="233"/>
      <c r="S49" s="324"/>
      <c r="T49" s="324"/>
      <c r="U49" s="324"/>
      <c r="V49" s="233"/>
      <c r="W49" s="233"/>
      <c r="X49" s="233"/>
      <c r="Y49" s="233"/>
      <c r="Z49" s="233"/>
      <c r="AA49" s="233"/>
      <c r="AB49" s="233"/>
      <c r="AC49" s="233"/>
      <c r="AD49" s="233"/>
      <c r="AE49" s="233"/>
      <c r="AF49" s="233"/>
    </row>
    <row r="50" spans="1:32" s="2" customFormat="1">
      <c r="A50" s="477"/>
      <c r="B50" s="134" t="s">
        <v>217</v>
      </c>
      <c r="C50" s="336">
        <f>BS!P7</f>
        <v>916678</v>
      </c>
      <c r="D50" s="308">
        <f>C50</f>
        <v>916678</v>
      </c>
      <c r="E50" s="233"/>
      <c r="F50" s="307" t="str">
        <f>"Implied "&amp;G7&amp;" EV"</f>
        <v>Implied 2016 EV</v>
      </c>
      <c r="G50" s="295">
        <f>G47*G49</f>
        <v>8402620.2679999992</v>
      </c>
      <c r="H50" s="233"/>
      <c r="I50" s="138" t="s">
        <v>104</v>
      </c>
      <c r="J50" s="139">
        <v>0.03</v>
      </c>
      <c r="K50" s="441"/>
      <c r="L50" s="132" t="s">
        <v>133</v>
      </c>
      <c r="M50" s="322"/>
      <c r="N50" s="322"/>
      <c r="O50" s="252"/>
      <c r="P50" s="233"/>
      <c r="Q50" s="233"/>
      <c r="R50" s="233"/>
      <c r="S50" s="324"/>
      <c r="T50" s="324"/>
      <c r="U50" s="324"/>
      <c r="V50" s="233"/>
      <c r="W50" s="233"/>
      <c r="X50" s="233"/>
      <c r="Y50" s="233"/>
      <c r="Z50" s="233"/>
      <c r="AA50" s="233"/>
      <c r="AB50" s="233"/>
      <c r="AC50" s="233"/>
      <c r="AD50" s="233"/>
      <c r="AE50" s="233"/>
      <c r="AF50" s="233"/>
    </row>
    <row r="51" spans="1:32" s="2" customFormat="1">
      <c r="A51" s="324"/>
      <c r="B51" s="134" t="s">
        <v>125</v>
      </c>
      <c r="C51" s="263">
        <f>N48</f>
        <v>895925.58244178339</v>
      </c>
      <c r="D51" s="308">
        <f>C51</f>
        <v>895925.58244178339</v>
      </c>
      <c r="E51" s="233"/>
      <c r="F51" s="307" t="str">
        <f>"Implied "&amp;P7&amp;" EV"</f>
        <v>Implied 2021 EV</v>
      </c>
      <c r="G51" s="295">
        <f>G47*G48</f>
        <v>18625096.792546723</v>
      </c>
      <c r="H51" s="233"/>
      <c r="I51" s="239"/>
      <c r="J51" s="329"/>
      <c r="K51" s="259"/>
      <c r="L51" s="136" t="s">
        <v>69</v>
      </c>
      <c r="M51" s="278"/>
      <c r="N51" s="139">
        <v>0.35</v>
      </c>
      <c r="O51" s="252"/>
      <c r="P51" s="233"/>
      <c r="Q51" s="233"/>
      <c r="R51" s="233"/>
      <c r="S51" s="324"/>
      <c r="T51" s="324"/>
      <c r="U51" s="324"/>
      <c r="V51" s="233"/>
      <c r="W51" s="233"/>
      <c r="X51" s="233"/>
      <c r="Y51" s="233"/>
      <c r="Z51" s="233"/>
      <c r="AA51" s="233"/>
      <c r="AB51" s="233"/>
      <c r="AC51" s="233"/>
      <c r="AD51" s="233"/>
      <c r="AE51" s="233"/>
      <c r="AF51" s="233"/>
    </row>
    <row r="52" spans="1:32" s="2" customFormat="1">
      <c r="A52" s="324"/>
      <c r="B52" s="205" t="s">
        <v>126</v>
      </c>
      <c r="C52" s="262">
        <f>C49-(C51-C50)</f>
        <v>5644967.9625731492</v>
      </c>
      <c r="D52" s="309">
        <f>D49-(D51-D50)</f>
        <v>14645819.794701338</v>
      </c>
      <c r="E52" s="233"/>
      <c r="F52" s="131" t="s">
        <v>123</v>
      </c>
      <c r="G52" s="295">
        <f>G51/(1+J55)^P6</f>
        <v>12218858.462978952</v>
      </c>
      <c r="H52" s="233"/>
      <c r="I52" s="132" t="s">
        <v>128</v>
      </c>
      <c r="J52" s="330"/>
      <c r="K52" s="441"/>
      <c r="L52" s="239"/>
      <c r="M52" s="239"/>
      <c r="N52" s="239"/>
      <c r="O52" s="233"/>
      <c r="P52" s="233"/>
      <c r="Q52" s="233"/>
      <c r="R52" s="233"/>
      <c r="S52" s="324"/>
      <c r="T52" s="324"/>
      <c r="U52" s="324"/>
      <c r="V52" s="233"/>
      <c r="W52" s="233"/>
      <c r="X52" s="233"/>
      <c r="Y52" s="233"/>
      <c r="Z52" s="233"/>
      <c r="AA52" s="233"/>
      <c r="AB52" s="233"/>
      <c r="AC52" s="233"/>
      <c r="AD52" s="233"/>
      <c r="AE52" s="233"/>
      <c r="AF52" s="233"/>
    </row>
    <row r="53" spans="1:32" s="2" customFormat="1">
      <c r="A53" s="475"/>
      <c r="B53" s="134" t="s">
        <v>214</v>
      </c>
      <c r="C53" s="229">
        <f>IS!P26</f>
        <v>182682</v>
      </c>
      <c r="D53" s="333">
        <f>C53</f>
        <v>182682</v>
      </c>
      <c r="E53" s="233"/>
      <c r="F53" s="233"/>
      <c r="G53" s="233"/>
      <c r="H53" s="233"/>
      <c r="I53" s="141" t="s">
        <v>43</v>
      </c>
      <c r="J53" s="331">
        <f>J49+J47*J48</f>
        <v>0.10877120364572213</v>
      </c>
      <c r="K53" s="441"/>
      <c r="L53" s="239"/>
      <c r="M53" s="239"/>
      <c r="N53" s="239"/>
      <c r="O53" s="233"/>
      <c r="P53" s="233"/>
      <c r="Q53" s="233"/>
      <c r="R53" s="233"/>
      <c r="S53" s="324"/>
      <c r="T53" s="324"/>
      <c r="U53" s="324"/>
      <c r="V53" s="233"/>
      <c r="W53" s="233"/>
      <c r="X53" s="233"/>
      <c r="Y53" s="233"/>
      <c r="Z53" s="233"/>
      <c r="AA53" s="233"/>
      <c r="AB53" s="233"/>
      <c r="AC53" s="233"/>
      <c r="AD53" s="233"/>
      <c r="AE53" s="233"/>
      <c r="AF53" s="233"/>
    </row>
    <row r="54" spans="1:32" s="2" customFormat="1">
      <c r="A54" s="324"/>
      <c r="B54" s="142" t="s">
        <v>127</v>
      </c>
      <c r="C54" s="358">
        <f>C52/C53</f>
        <v>30.900515445271836</v>
      </c>
      <c r="D54" s="359">
        <f>D52/D53</f>
        <v>80.171115899220169</v>
      </c>
      <c r="E54" s="233"/>
      <c r="F54" s="233"/>
      <c r="G54" s="233"/>
      <c r="H54" s="233"/>
      <c r="I54" s="134" t="s">
        <v>129</v>
      </c>
      <c r="J54" s="139">
        <v>4.3749999999999997E-2</v>
      </c>
      <c r="K54" s="441"/>
      <c r="L54" s="239"/>
      <c r="M54" s="239"/>
      <c r="N54" s="239"/>
      <c r="O54" s="233"/>
      <c r="P54" s="233"/>
      <c r="Q54" s="233"/>
      <c r="R54" s="233"/>
      <c r="S54" s="324"/>
      <c r="T54" s="324"/>
      <c r="U54" s="324"/>
      <c r="V54" s="233"/>
      <c r="W54" s="233"/>
      <c r="X54" s="233"/>
      <c r="Y54" s="233"/>
      <c r="Z54" s="233"/>
      <c r="AA54" s="233"/>
      <c r="AB54" s="233"/>
      <c r="AC54" s="233"/>
      <c r="AD54" s="233"/>
      <c r="AE54" s="233"/>
      <c r="AF54" s="233"/>
    </row>
    <row r="55" spans="1:32" s="2" customFormat="1">
      <c r="A55" s="324"/>
      <c r="B55" s="250"/>
      <c r="C55" s="233"/>
      <c r="D55" s="239"/>
      <c r="E55" s="233"/>
      <c r="F55" s="233"/>
      <c r="G55" s="233"/>
      <c r="H55" s="324"/>
      <c r="I55" s="141" t="s">
        <v>130</v>
      </c>
      <c r="J55" s="331">
        <f>(M47*J53)+((M48*J54)*(1-N51))</f>
        <v>0.10426879797766878</v>
      </c>
      <c r="K55" s="239"/>
      <c r="L55" s="239"/>
      <c r="M55" s="239"/>
      <c r="N55" s="239"/>
      <c r="O55" s="233"/>
      <c r="P55" s="233"/>
      <c r="Q55" s="233"/>
      <c r="R55" s="233"/>
      <c r="S55" s="324"/>
      <c r="T55" s="324"/>
      <c r="U55" s="324"/>
      <c r="V55" s="233"/>
      <c r="W55" s="233"/>
      <c r="X55" s="233"/>
      <c r="Y55" s="233"/>
      <c r="Z55" s="233"/>
      <c r="AA55" s="233"/>
      <c r="AB55" s="233"/>
      <c r="AC55" s="233"/>
      <c r="AD55" s="233"/>
      <c r="AE55" s="233"/>
      <c r="AF55" s="233"/>
    </row>
    <row r="56" spans="1:32" s="2" customFormat="1">
      <c r="A56" s="324"/>
      <c r="B56" s="250"/>
      <c r="C56" s="233"/>
      <c r="D56" s="233"/>
      <c r="E56" s="233"/>
      <c r="F56" s="233"/>
      <c r="G56" s="233"/>
      <c r="H56" s="233"/>
      <c r="I56" s="233"/>
      <c r="J56" s="233"/>
      <c r="K56" s="233"/>
      <c r="L56" s="233"/>
      <c r="M56" s="233"/>
      <c r="N56" s="324"/>
      <c r="O56" s="324"/>
      <c r="P56" s="324"/>
      <c r="Q56" s="324"/>
      <c r="R56" s="233"/>
      <c r="S56" s="233"/>
      <c r="T56" s="233"/>
      <c r="U56" s="233"/>
      <c r="V56" s="233"/>
      <c r="W56" s="233"/>
      <c r="X56" s="233"/>
      <c r="Y56" s="233"/>
      <c r="Z56" s="233"/>
      <c r="AA56" s="233"/>
      <c r="AB56" s="233"/>
      <c r="AC56" s="233"/>
      <c r="AD56" s="233"/>
      <c r="AE56" s="233"/>
      <c r="AF56" s="233"/>
    </row>
    <row r="57" spans="1:32" s="2" customFormat="1">
      <c r="A57" s="324"/>
      <c r="B57" s="250"/>
      <c r="C57" s="233"/>
      <c r="D57" s="233"/>
      <c r="E57" s="233"/>
      <c r="F57" s="233"/>
      <c r="G57" s="233"/>
      <c r="H57" s="233"/>
      <c r="I57" s="233"/>
      <c r="J57" s="233"/>
      <c r="K57" s="233"/>
      <c r="L57" s="233"/>
      <c r="M57" s="233"/>
      <c r="N57" s="233"/>
      <c r="O57" s="233"/>
      <c r="P57" s="233"/>
      <c r="Q57" s="233"/>
      <c r="R57" s="233"/>
      <c r="S57" s="233"/>
      <c r="T57" s="233"/>
      <c r="U57" s="233"/>
      <c r="V57" s="233"/>
      <c r="W57" s="233"/>
      <c r="X57" s="233"/>
      <c r="Y57" s="233"/>
      <c r="Z57" s="233"/>
      <c r="AA57" s="233"/>
      <c r="AB57" s="233"/>
      <c r="AC57" s="233"/>
      <c r="AD57" s="233"/>
      <c r="AE57" s="233"/>
      <c r="AF57" s="233"/>
    </row>
    <row r="58" spans="1:32" s="2" customFormat="1">
      <c r="A58" s="324"/>
      <c r="B58" s="250"/>
      <c r="C58" s="250"/>
      <c r="D58" s="250"/>
      <c r="E58" s="250"/>
      <c r="F58" s="250"/>
      <c r="G58" s="250"/>
      <c r="H58" s="250"/>
      <c r="I58" s="250"/>
      <c r="J58" s="250"/>
      <c r="K58" s="250"/>
      <c r="L58" s="250"/>
      <c r="M58" s="233"/>
      <c r="N58" s="233"/>
      <c r="O58" s="233"/>
      <c r="P58" s="233"/>
      <c r="Q58" s="233"/>
      <c r="R58" s="233"/>
      <c r="S58" s="233"/>
      <c r="T58" s="233"/>
      <c r="U58" s="233"/>
      <c r="V58" s="233"/>
      <c r="W58" s="233"/>
      <c r="X58" s="233"/>
      <c r="Y58" s="233"/>
      <c r="Z58" s="233"/>
      <c r="AA58" s="233"/>
      <c r="AB58" s="233"/>
      <c r="AC58" s="233"/>
      <c r="AD58" s="233"/>
      <c r="AE58" s="233"/>
      <c r="AF58" s="233"/>
    </row>
    <row r="59" spans="1:32" s="2" customFormat="1">
      <c r="A59" s="324"/>
      <c r="B59" s="250"/>
      <c r="C59" s="233"/>
      <c r="D59" s="250"/>
      <c r="E59" s="233"/>
      <c r="F59" s="233"/>
      <c r="G59" s="233"/>
      <c r="H59" s="233"/>
      <c r="I59" s="233"/>
      <c r="J59" s="233"/>
      <c r="K59" s="233"/>
      <c r="L59" s="233"/>
      <c r="M59" s="233"/>
      <c r="N59" s="233"/>
      <c r="O59" s="233"/>
      <c r="P59" s="233"/>
      <c r="Q59" s="233"/>
      <c r="R59" s="233"/>
      <c r="S59" s="233"/>
      <c r="T59" s="233"/>
      <c r="U59" s="233"/>
      <c r="V59" s="233"/>
      <c r="W59" s="233"/>
      <c r="X59" s="233"/>
      <c r="Y59" s="233"/>
      <c r="Z59" s="233"/>
      <c r="AA59" s="233"/>
      <c r="AB59" s="233"/>
      <c r="AC59" s="233"/>
      <c r="AD59" s="233"/>
      <c r="AE59" s="233"/>
      <c r="AF59" s="233"/>
    </row>
    <row r="60" spans="1:32" s="2" customFormat="1" ht="3" customHeight="1">
      <c r="A60" s="324"/>
      <c r="B60" s="297"/>
      <c r="C60" s="234"/>
      <c r="D60" s="234"/>
      <c r="E60" s="234"/>
      <c r="F60" s="234"/>
      <c r="G60" s="234"/>
      <c r="H60" s="234"/>
      <c r="I60" s="234"/>
      <c r="J60" s="234"/>
      <c r="K60" s="234"/>
      <c r="L60" s="234"/>
      <c r="M60" s="234"/>
      <c r="N60" s="234"/>
      <c r="O60" s="233"/>
      <c r="P60" s="233"/>
      <c r="Q60" s="233"/>
      <c r="R60" s="233"/>
      <c r="S60" s="233"/>
      <c r="T60" s="233"/>
      <c r="U60" s="233"/>
      <c r="V60" s="233"/>
      <c r="W60" s="233"/>
      <c r="X60" s="233"/>
      <c r="Y60" s="233"/>
      <c r="Z60" s="233"/>
      <c r="AA60" s="233"/>
      <c r="AB60" s="233"/>
      <c r="AC60" s="233"/>
      <c r="AD60" s="233"/>
      <c r="AE60" s="233"/>
      <c r="AF60" s="233"/>
    </row>
    <row r="61" spans="1:32" s="2" customFormat="1">
      <c r="A61" s="324"/>
      <c r="B61" s="199" t="s">
        <v>136</v>
      </c>
      <c r="C61" s="233"/>
      <c r="D61" s="233"/>
      <c r="E61" s="233"/>
      <c r="F61" s="233"/>
      <c r="G61" s="233"/>
      <c r="H61" s="233"/>
      <c r="I61" s="233"/>
      <c r="J61" s="233"/>
      <c r="K61" s="233"/>
      <c r="L61" s="233"/>
      <c r="M61" s="324"/>
      <c r="N61" s="233"/>
      <c r="O61" s="233"/>
      <c r="P61" s="233"/>
      <c r="Q61" s="233"/>
      <c r="R61" s="233"/>
      <c r="S61" s="233"/>
      <c r="T61" s="233"/>
      <c r="U61" s="233"/>
      <c r="V61" s="233"/>
      <c r="W61" s="233"/>
      <c r="X61" s="233"/>
      <c r="Y61" s="233"/>
      <c r="Z61" s="233"/>
      <c r="AA61" s="233"/>
      <c r="AB61" s="233"/>
      <c r="AC61" s="233"/>
      <c r="AD61" s="233"/>
      <c r="AE61" s="233"/>
      <c r="AF61" s="233"/>
    </row>
    <row r="62" spans="1:32" s="2" customFormat="1">
      <c r="A62" s="324"/>
      <c r="B62" s="250"/>
      <c r="C62" s="233"/>
      <c r="D62" s="259"/>
      <c r="E62" s="280"/>
      <c r="F62" s="487" t="s">
        <v>134</v>
      </c>
      <c r="G62" s="488"/>
      <c r="H62" s="488"/>
      <c r="I62" s="488"/>
      <c r="J62" s="488"/>
      <c r="K62" s="488"/>
      <c r="L62" s="488"/>
      <c r="M62" s="488"/>
      <c r="N62" s="488"/>
      <c r="O62" s="233"/>
      <c r="P62" s="233"/>
      <c r="Q62" s="233"/>
      <c r="R62" s="233"/>
      <c r="S62" s="233"/>
      <c r="T62" s="233"/>
      <c r="U62" s="233"/>
      <c r="V62" s="233"/>
      <c r="W62" s="233"/>
      <c r="X62" s="233"/>
      <c r="Y62" s="233"/>
      <c r="Z62" s="233"/>
      <c r="AA62" s="233"/>
      <c r="AB62" s="233"/>
      <c r="AC62" s="233"/>
      <c r="AD62" s="233"/>
      <c r="AE62" s="233"/>
      <c r="AF62" s="233"/>
    </row>
    <row r="63" spans="1:32" s="2" customFormat="1">
      <c r="A63" s="324"/>
      <c r="B63" s="250"/>
      <c r="C63" s="233"/>
      <c r="D63" s="259"/>
      <c r="E63" s="303">
        <f>C54</f>
        <v>30.900515445271836</v>
      </c>
      <c r="F63" s="360">
        <f>ROUND(G63-0.0025,3)</f>
        <v>9.4E-2</v>
      </c>
      <c r="G63" s="360">
        <f>ROUND(H63-0.0025,3)</f>
        <v>9.6000000000000002E-2</v>
      </c>
      <c r="H63" s="360">
        <f>ROUND(I63-0.0025,3)</f>
        <v>9.8000000000000004E-2</v>
      </c>
      <c r="I63" s="360">
        <f>ROUND(J63-0.0025,3)</f>
        <v>0.1</v>
      </c>
      <c r="J63" s="381">
        <v>0.10199999999999999</v>
      </c>
      <c r="K63" s="360">
        <f>ROUND(J63+0.0025,3)</f>
        <v>0.105</v>
      </c>
      <c r="L63" s="360">
        <f>ROUND(K63+0.0025,3)</f>
        <v>0.108</v>
      </c>
      <c r="M63" s="360">
        <f>ROUND(L63+0.0025,3)</f>
        <v>0.111</v>
      </c>
      <c r="N63" s="360">
        <f>ROUND(M63+0.0025,3)</f>
        <v>0.114</v>
      </c>
      <c r="O63" s="233"/>
      <c r="P63" s="233"/>
      <c r="Q63" s="233"/>
      <c r="R63" s="233"/>
      <c r="S63" s="233"/>
      <c r="T63" s="233"/>
      <c r="U63" s="233"/>
      <c r="V63" s="233"/>
      <c r="W63" s="233"/>
      <c r="X63" s="233"/>
      <c r="Y63" s="233"/>
      <c r="Z63" s="233"/>
      <c r="AA63" s="233"/>
      <c r="AB63" s="233"/>
      <c r="AC63" s="233"/>
      <c r="AD63" s="233"/>
      <c r="AE63" s="233"/>
      <c r="AF63" s="233"/>
    </row>
    <row r="64" spans="1:32" s="2" customFormat="1" ht="15" customHeight="1">
      <c r="A64" s="324"/>
      <c r="B64" s="250"/>
      <c r="C64" s="233"/>
      <c r="D64" s="485" t="s">
        <v>135</v>
      </c>
      <c r="E64" s="292">
        <f>E65-0.0025</f>
        <v>2.2500000000000003E-2</v>
      </c>
      <c r="F64" s="334">
        <f t="dataTable" ref="F64:N70" dt2D="1" dtr="1" r1="J55" r2="J50" ca="1"/>
        <v>32.368880950223883</v>
      </c>
      <c r="G64" s="334">
        <v>31.67613505623526</v>
      </c>
      <c r="H64" s="334">
        <v>31.019738228353376</v>
      </c>
      <c r="I64" s="334">
        <v>30.396878805602331</v>
      </c>
      <c r="J64" s="334">
        <v>29.805028037195253</v>
      </c>
      <c r="K64" s="334">
        <v>28.970464864302382</v>
      </c>
      <c r="L64" s="334">
        <v>28.193788941702365</v>
      </c>
      <c r="M64" s="334">
        <v>27.469120360655545</v>
      </c>
      <c r="N64" s="334">
        <v>26.791350247740219</v>
      </c>
      <c r="O64" s="233"/>
      <c r="P64" s="233"/>
      <c r="Q64" s="233"/>
      <c r="R64" s="233"/>
      <c r="S64" s="233"/>
      <c r="T64" s="233"/>
      <c r="U64" s="233"/>
      <c r="V64" s="233"/>
      <c r="W64" s="233"/>
      <c r="X64" s="233"/>
      <c r="Y64" s="233"/>
      <c r="Z64" s="233"/>
      <c r="AA64" s="233"/>
      <c r="AB64" s="233"/>
      <c r="AC64" s="233"/>
      <c r="AD64" s="233"/>
      <c r="AE64" s="233"/>
      <c r="AF64" s="233"/>
    </row>
    <row r="65" spans="1:32" s="2" customFormat="1">
      <c r="A65" s="324"/>
      <c r="B65" s="250"/>
      <c r="C65" s="233"/>
      <c r="D65" s="486"/>
      <c r="E65" s="292">
        <f>E66-0.0025</f>
        <v>2.5000000000000001E-2</v>
      </c>
      <c r="F65" s="334">
        <v>33.101548288066802</v>
      </c>
      <c r="G65" s="334">
        <v>32.364689477788808</v>
      </c>
      <c r="H65" s="334">
        <v>31.667836469926844</v>
      </c>
      <c r="I65" s="334">
        <v>31.007791384620596</v>
      </c>
      <c r="J65" s="334">
        <v>30.381688563808702</v>
      </c>
      <c r="K65" s="334">
        <v>29.500612612562275</v>
      </c>
      <c r="L65" s="334">
        <v>28.682519879636089</v>
      </c>
      <c r="M65" s="334">
        <v>27.920826347572152</v>
      </c>
      <c r="N65" s="334">
        <v>27.209835626789992</v>
      </c>
      <c r="O65" s="233"/>
      <c r="P65" s="233"/>
      <c r="Q65" s="233"/>
      <c r="R65" s="233"/>
      <c r="S65" s="233"/>
      <c r="T65" s="233"/>
      <c r="U65" s="233"/>
      <c r="V65" s="233"/>
      <c r="W65" s="233"/>
      <c r="X65" s="233"/>
      <c r="Y65" s="233"/>
      <c r="Z65" s="233"/>
      <c r="AA65" s="233"/>
      <c r="AB65" s="233"/>
      <c r="AC65" s="233"/>
      <c r="AD65" s="233"/>
      <c r="AE65" s="233"/>
      <c r="AF65" s="233"/>
    </row>
    <row r="66" spans="1:32" s="2" customFormat="1">
      <c r="A66" s="324"/>
      <c r="B66" s="250"/>
      <c r="C66" s="233"/>
      <c r="D66" s="486"/>
      <c r="E66" s="292">
        <f>E67-0.0025</f>
        <v>2.75E-2</v>
      </c>
      <c r="F66" s="334">
        <v>33.889303395672357</v>
      </c>
      <c r="G66" s="334">
        <v>33.103503346171088</v>
      </c>
      <c r="H66" s="334">
        <v>32.361899125796306</v>
      </c>
      <c r="I66" s="334">
        <v>31.660835865640134</v>
      </c>
      <c r="J66" s="334">
        <v>30.997051139188155</v>
      </c>
      <c r="K66" s="334">
        <v>30.064963441355058</v>
      </c>
      <c r="L66" s="334">
        <v>29.201606776447676</v>
      </c>
      <c r="M66" s="334">
        <v>28.399580597178382</v>
      </c>
      <c r="N66" s="334">
        <v>27.652510912143224</v>
      </c>
      <c r="O66" s="233"/>
      <c r="P66" s="233"/>
      <c r="Q66" s="233"/>
      <c r="R66" s="233"/>
      <c r="S66" s="233"/>
      <c r="T66" s="233"/>
      <c r="U66" s="233"/>
      <c r="V66" s="233"/>
      <c r="W66" s="233"/>
      <c r="X66" s="233"/>
      <c r="Y66" s="233"/>
      <c r="Z66" s="233"/>
      <c r="AA66" s="233"/>
      <c r="AB66" s="233"/>
      <c r="AC66" s="233"/>
      <c r="AD66" s="233"/>
      <c r="AE66" s="233"/>
      <c r="AF66" s="233"/>
    </row>
    <row r="67" spans="1:32" s="2" customFormat="1">
      <c r="A67" s="324"/>
      <c r="B67" s="250"/>
      <c r="C67" s="233"/>
      <c r="D67" s="486"/>
      <c r="E67" s="381">
        <v>0.03</v>
      </c>
      <c r="F67" s="334">
        <v>34.738601871059593</v>
      </c>
      <c r="G67" s="334">
        <v>33.898287962158079</v>
      </c>
      <c r="H67" s="334">
        <v>33.106995800479687</v>
      </c>
      <c r="I67" s="334">
        <v>32.360526381018204</v>
      </c>
      <c r="J67" s="339">
        <v>31.655147226746742</v>
      </c>
      <c r="K67" s="334">
        <v>30.666937658734035</v>
      </c>
      <c r="L67" s="334">
        <v>29.75396847433694</v>
      </c>
      <c r="M67" s="334">
        <v>28.90788757824178</v>
      </c>
      <c r="N67" s="334">
        <v>28.121535916862726</v>
      </c>
      <c r="O67" s="233"/>
      <c r="P67" s="233"/>
      <c r="Q67" s="233"/>
      <c r="R67" s="233"/>
      <c r="S67" s="233"/>
      <c r="T67" s="233"/>
      <c r="U67" s="233"/>
      <c r="V67" s="233"/>
      <c r="W67" s="233"/>
      <c r="X67" s="233"/>
      <c r="Y67" s="233"/>
      <c r="Z67" s="233"/>
      <c r="AA67" s="233"/>
      <c r="AB67" s="233"/>
      <c r="AC67" s="233"/>
      <c r="AD67" s="233"/>
      <c r="AE67" s="233"/>
      <c r="AF67" s="233"/>
    </row>
    <row r="68" spans="1:32" s="2" customFormat="1">
      <c r="A68" s="324"/>
      <c r="B68" s="250"/>
      <c r="C68" s="233"/>
      <c r="D68" s="486"/>
      <c r="E68" s="292">
        <f>E67+0.0025</f>
        <v>3.2500000000000001E-2</v>
      </c>
      <c r="F68" s="334">
        <v>35.656949002982373</v>
      </c>
      <c r="G68" s="334">
        <v>34.755654043970821</v>
      </c>
      <c r="H68" s="334">
        <v>33.908970083917538</v>
      </c>
      <c r="I68" s="334">
        <v>33.112045823461315</v>
      </c>
      <c r="J68" s="334">
        <v>32.360588356575725</v>
      </c>
      <c r="K68" s="334">
        <v>31.310427339380524</v>
      </c>
      <c r="L68" s="334">
        <v>30.342910417119533</v>
      </c>
      <c r="M68" s="334">
        <v>29.448570800137244</v>
      </c>
      <c r="N68" s="334">
        <v>28.619335461749056</v>
      </c>
      <c r="O68" s="233"/>
      <c r="P68" s="233"/>
      <c r="Q68" s="233"/>
      <c r="R68" s="233"/>
      <c r="S68" s="233"/>
      <c r="T68" s="233"/>
      <c r="U68" s="233"/>
      <c r="V68" s="233"/>
      <c r="W68" s="233"/>
      <c r="X68" s="233"/>
      <c r="Y68" s="233"/>
      <c r="Z68" s="233"/>
      <c r="AA68" s="233"/>
      <c r="AB68" s="233"/>
      <c r="AC68" s="233"/>
      <c r="AD68" s="233"/>
      <c r="AE68" s="233"/>
      <c r="AF68" s="233"/>
    </row>
    <row r="69" spans="1:32" s="2" customFormat="1">
      <c r="A69" s="324"/>
      <c r="B69" s="250"/>
      <c r="C69" s="233"/>
      <c r="D69" s="486"/>
      <c r="E69" s="292">
        <f>E68+0.0025</f>
        <v>3.5000000000000003E-2</v>
      </c>
      <c r="F69" s="334">
        <v>36.653122163034205</v>
      </c>
      <c r="G69" s="334">
        <v>35.683296034128873</v>
      </c>
      <c r="H69" s="334">
        <v>34.774593120009172</v>
      </c>
      <c r="I69" s="334">
        <v>33.921374453784665</v>
      </c>
      <c r="J69" s="334">
        <v>33.118674346839704</v>
      </c>
      <c r="K69" s="334">
        <v>31.999880568644617</v>
      </c>
      <c r="L69" s="334">
        <v>30.972190849133803</v>
      </c>
      <c r="M69" s="334">
        <v>30.024825286631092</v>
      </c>
      <c r="N69" s="334">
        <v>29.148641306944651</v>
      </c>
      <c r="O69" s="233"/>
      <c r="P69" s="233"/>
      <c r="Q69" s="233"/>
      <c r="R69" s="233"/>
      <c r="S69" s="233"/>
      <c r="T69" s="233"/>
      <c r="U69" s="233"/>
      <c r="V69" s="233"/>
      <c r="W69" s="233"/>
      <c r="X69" s="233"/>
      <c r="Y69" s="233"/>
      <c r="Z69" s="233"/>
      <c r="AA69" s="233"/>
      <c r="AB69" s="233"/>
      <c r="AC69" s="233"/>
      <c r="AD69" s="233"/>
      <c r="AE69" s="233"/>
      <c r="AF69" s="233"/>
    </row>
    <row r="70" spans="1:32" s="2" customFormat="1">
      <c r="A70" s="324"/>
      <c r="B70" s="250"/>
      <c r="C70" s="233"/>
      <c r="D70" s="486"/>
      <c r="E70" s="292">
        <f>E69+0.0025</f>
        <v>3.7500000000000006E-2</v>
      </c>
      <c r="F70" s="334">
        <v>37.737452239904798</v>
      </c>
      <c r="G70" s="334">
        <v>36.690223664471375</v>
      </c>
      <c r="H70" s="334">
        <v>35.711755249992699</v>
      </c>
      <c r="I70" s="334">
        <v>34.795449374533895</v>
      </c>
      <c r="J70" s="334">
        <v>33.935526692938112</v>
      </c>
      <c r="K70" s="334">
        <v>32.740404407483837</v>
      </c>
      <c r="L70" s="334">
        <v>31.646101099021436</v>
      </c>
      <c r="M70" s="334">
        <v>30.640280758600721</v>
      </c>
      <c r="N70" s="334">
        <v>29.712542305421007</v>
      </c>
      <c r="O70" s="233"/>
      <c r="P70" s="233"/>
      <c r="Q70" s="233"/>
      <c r="R70" s="233"/>
      <c r="S70" s="233"/>
      <c r="T70" s="233"/>
      <c r="U70" s="233"/>
      <c r="V70" s="233"/>
      <c r="W70" s="233"/>
      <c r="X70" s="233"/>
      <c r="Y70" s="233"/>
      <c r="Z70" s="233"/>
      <c r="AA70" s="233"/>
      <c r="AB70" s="233"/>
      <c r="AC70" s="233"/>
      <c r="AD70" s="233"/>
      <c r="AE70" s="233"/>
      <c r="AF70" s="233"/>
    </row>
    <row r="71" spans="1:32" s="2" customFormat="1">
      <c r="A71" s="324"/>
      <c r="B71" s="250"/>
      <c r="C71" s="233"/>
      <c r="D71" s="233"/>
      <c r="E71" s="233"/>
      <c r="F71" s="233"/>
      <c r="G71" s="233"/>
      <c r="H71" s="233"/>
      <c r="I71" s="233"/>
      <c r="J71" s="233"/>
      <c r="K71" s="233"/>
      <c r="L71" s="233"/>
      <c r="M71" s="233"/>
      <c r="N71" s="233"/>
      <c r="O71" s="233"/>
      <c r="P71" s="233"/>
      <c r="Q71" s="233"/>
      <c r="R71" s="233"/>
      <c r="S71" s="233"/>
      <c r="T71" s="233"/>
      <c r="U71" s="233"/>
      <c r="V71" s="233"/>
      <c r="W71" s="233"/>
      <c r="X71" s="233"/>
      <c r="Y71" s="233"/>
      <c r="Z71" s="233"/>
      <c r="AA71" s="233"/>
      <c r="AB71" s="233"/>
      <c r="AC71" s="233"/>
      <c r="AD71" s="233"/>
      <c r="AE71" s="233"/>
      <c r="AF71" s="233"/>
    </row>
    <row r="72" spans="1:32">
      <c r="A72" s="324"/>
      <c r="B72" s="324"/>
      <c r="C72" s="324"/>
      <c r="D72" s="324"/>
      <c r="E72" s="324"/>
      <c r="F72" s="324"/>
      <c r="G72" s="324"/>
      <c r="H72" s="324"/>
      <c r="I72" s="324"/>
      <c r="J72" s="324"/>
      <c r="K72" s="324"/>
      <c r="L72" s="324"/>
      <c r="M72" s="324"/>
      <c r="N72" s="324"/>
      <c r="O72" s="324"/>
      <c r="P72" s="324"/>
      <c r="Q72" s="324"/>
      <c r="R72" s="324"/>
      <c r="S72" s="324"/>
      <c r="T72" s="324"/>
      <c r="U72" s="324"/>
      <c r="V72" s="324"/>
      <c r="W72" s="324"/>
      <c r="X72" s="324"/>
      <c r="Y72" s="324"/>
      <c r="Z72" s="324"/>
      <c r="AA72" s="324"/>
      <c r="AB72" s="324"/>
      <c r="AC72" s="324"/>
      <c r="AD72" s="324"/>
      <c r="AE72" s="324"/>
      <c r="AF72" s="324"/>
    </row>
    <row r="73" spans="1:32">
      <c r="A73" s="324"/>
      <c r="B73" s="324"/>
      <c r="C73" s="324"/>
      <c r="D73" s="324"/>
      <c r="E73" s="324"/>
      <c r="F73" s="324"/>
      <c r="G73" s="324"/>
      <c r="H73" s="324"/>
      <c r="I73" s="324"/>
      <c r="J73" s="324"/>
      <c r="K73" s="324"/>
      <c r="L73" s="324"/>
      <c r="M73" s="324"/>
      <c r="N73" s="324"/>
      <c r="O73" s="324"/>
      <c r="P73" s="324"/>
      <c r="Q73" s="324"/>
      <c r="R73" s="324"/>
      <c r="S73" s="324"/>
      <c r="T73" s="324"/>
      <c r="U73" s="324"/>
      <c r="V73" s="324"/>
      <c r="W73" s="324"/>
      <c r="X73" s="324"/>
      <c r="Y73" s="324"/>
      <c r="Z73" s="324"/>
      <c r="AA73" s="324"/>
      <c r="AB73" s="324"/>
      <c r="AC73" s="324"/>
      <c r="AD73" s="324"/>
      <c r="AE73" s="324"/>
      <c r="AF73" s="324"/>
    </row>
    <row r="74" spans="1:32" ht="15" customHeight="1">
      <c r="A74" s="324"/>
      <c r="B74" s="324"/>
      <c r="C74" s="324"/>
      <c r="D74" s="324"/>
      <c r="E74" s="324"/>
      <c r="F74" s="324"/>
      <c r="G74" s="324"/>
      <c r="H74" s="324"/>
      <c r="I74" s="324"/>
      <c r="J74" s="324"/>
      <c r="K74" s="324"/>
      <c r="L74" s="324"/>
      <c r="M74" s="324"/>
      <c r="N74" s="324"/>
      <c r="O74" s="324"/>
      <c r="P74" s="324"/>
      <c r="Q74" s="324"/>
      <c r="R74" s="324"/>
      <c r="S74" s="324"/>
      <c r="T74" s="324"/>
      <c r="U74" s="324"/>
      <c r="V74" s="324"/>
      <c r="W74" s="324"/>
      <c r="X74" s="324"/>
      <c r="Y74" s="324"/>
      <c r="Z74" s="324"/>
      <c r="AA74" s="324"/>
      <c r="AB74" s="324"/>
      <c r="AC74" s="324"/>
      <c r="AD74" s="324"/>
      <c r="AE74" s="324"/>
      <c r="AF74" s="324"/>
    </row>
  </sheetData>
  <mergeCells count="3">
    <mergeCell ref="D64:D70"/>
    <mergeCell ref="F62:N62"/>
    <mergeCell ref="R6:W6"/>
  </mergeCells>
  <conditionalFormatting sqref="B47:C49 B52:C52 B50:B51 B44:P44 B43:Q43 B39:P42">
    <cfRule type="expression" dxfId="24" priority="14">
      <formula>MOD(ROW(),2)=0</formula>
    </cfRule>
  </conditionalFormatting>
  <conditionalFormatting sqref="F64:N66 F68:N70 F67:I67 K67:N67">
    <cfRule type="expression" dxfId="23" priority="10">
      <formula>MOD(ROW(),2)=0</formula>
    </cfRule>
  </conditionalFormatting>
  <conditionalFormatting sqref="F47:G47 F50:G52 F48:F49">
    <cfRule type="expression" dxfId="22" priority="8">
      <formula>MOD(ROW(),2)=0</formula>
    </cfRule>
  </conditionalFormatting>
  <conditionalFormatting sqref="B47:D49 B51:D52 B50 D50 B53 D53">
    <cfRule type="expression" dxfId="21" priority="7">
      <formula>MOD(ROW(),2)=0</formula>
    </cfRule>
  </conditionalFormatting>
  <pageMargins left="0.7" right="0.7" top="0.75" bottom="0.75" header="0.3" footer="0.3"/>
  <pageSetup fitToHeight="0"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5" tint="0.79998168889431442"/>
  </sheetPr>
  <dimension ref="A1:AF25"/>
  <sheetViews>
    <sheetView showGridLines="0" topLeftCell="R1" workbookViewId="0">
      <selection activeCell="V35" sqref="V35"/>
    </sheetView>
  </sheetViews>
  <sheetFormatPr defaultRowHeight="15"/>
  <cols>
    <col min="1" max="1" width="1.7109375" style="1" customWidth="1"/>
    <col min="2" max="2" width="25" style="1" bestFit="1" customWidth="1"/>
    <col min="3" max="7" width="12.28515625" style="1" bestFit="1" customWidth="1"/>
    <col min="8" max="8" width="15" style="1" customWidth="1"/>
    <col min="9" max="10" width="12.28515625" style="1" bestFit="1" customWidth="1"/>
    <col min="11" max="32" width="14" style="1" bestFit="1" customWidth="1"/>
    <col min="33" max="16384" width="9.140625" style="1"/>
  </cols>
  <sheetData>
    <row r="1" spans="1:32" ht="23.25">
      <c r="A1" s="83"/>
      <c r="B1" s="42" t="str">
        <f>Valuation!B1</f>
        <v>RHT</v>
      </c>
      <c r="C1" s="113"/>
      <c r="D1" s="113"/>
      <c r="E1" s="113"/>
      <c r="F1" s="113"/>
      <c r="G1" s="113"/>
      <c r="H1" s="113"/>
      <c r="I1" s="113"/>
      <c r="J1" s="113"/>
      <c r="K1" s="113"/>
      <c r="L1" s="113"/>
      <c r="M1" s="113"/>
      <c r="N1" s="83"/>
      <c r="O1" s="83"/>
      <c r="P1" s="83"/>
      <c r="Q1" s="83"/>
      <c r="R1" s="83"/>
      <c r="S1" s="83"/>
      <c r="T1" s="83"/>
      <c r="U1" s="83"/>
      <c r="V1" s="83"/>
      <c r="W1" s="83"/>
      <c r="X1" s="83"/>
      <c r="Y1" s="83"/>
      <c r="Z1" s="83"/>
      <c r="AA1" s="83"/>
      <c r="AB1" s="83"/>
      <c r="AC1" s="83"/>
      <c r="AD1" s="83"/>
      <c r="AE1" s="83"/>
      <c r="AF1" s="83"/>
    </row>
    <row r="2" spans="1:32">
      <c r="A2" s="83"/>
      <c r="B2" s="43" t="str">
        <f>Valuation!B2</f>
        <v>Red Hat .Inc</v>
      </c>
      <c r="C2" s="83"/>
      <c r="D2" s="113"/>
      <c r="E2" s="83"/>
      <c r="F2" s="83"/>
      <c r="G2" s="83"/>
      <c r="H2" s="83"/>
      <c r="I2" s="83"/>
      <c r="J2" s="83"/>
      <c r="K2" s="83"/>
      <c r="L2" s="83"/>
      <c r="M2" s="83"/>
      <c r="N2" s="83"/>
      <c r="O2" s="83"/>
      <c r="P2" s="83"/>
      <c r="Q2" s="83"/>
      <c r="R2" s="83"/>
      <c r="S2" s="83"/>
      <c r="T2" s="83"/>
      <c r="U2" s="83"/>
      <c r="V2" s="83"/>
      <c r="W2" s="83"/>
      <c r="X2" s="83"/>
      <c r="Y2" s="83"/>
      <c r="Z2" s="83"/>
      <c r="AA2" s="83"/>
      <c r="AB2" s="83"/>
      <c r="AC2" s="83"/>
      <c r="AD2" s="83"/>
      <c r="AE2" s="83"/>
      <c r="AF2" s="83"/>
    </row>
    <row r="3" spans="1:32" ht="3" customHeight="1">
      <c r="A3" s="83"/>
      <c r="B3" s="7"/>
      <c r="C3" s="7"/>
      <c r="D3" s="7"/>
      <c r="E3" s="7"/>
      <c r="F3" s="7"/>
      <c r="G3" s="7"/>
      <c r="H3" s="7"/>
      <c r="I3" s="7"/>
      <c r="J3" s="7"/>
      <c r="K3" s="7"/>
      <c r="L3" s="7"/>
      <c r="M3" s="7"/>
      <c r="N3" s="7"/>
      <c r="O3" s="7"/>
      <c r="P3" s="7"/>
      <c r="Q3" s="7"/>
      <c r="R3" s="7"/>
      <c r="S3" s="7"/>
      <c r="T3" s="7"/>
      <c r="U3" s="7"/>
      <c r="V3" s="7"/>
      <c r="W3" s="7"/>
      <c r="X3" s="7"/>
      <c r="Y3" s="7"/>
      <c r="Z3" s="7"/>
      <c r="AA3" s="7"/>
      <c r="AB3" s="7"/>
      <c r="AC3" s="7"/>
      <c r="AD3" s="7"/>
      <c r="AE3" s="7"/>
      <c r="AF3" s="7"/>
    </row>
    <row r="4" spans="1:32">
      <c r="A4" s="83"/>
      <c r="B4" s="116" t="s">
        <v>1</v>
      </c>
      <c r="C4" s="83"/>
      <c r="D4" s="113"/>
      <c r="E4" s="83"/>
      <c r="F4" s="83"/>
      <c r="G4" s="83"/>
      <c r="H4" s="83"/>
      <c r="I4" s="83"/>
      <c r="J4" s="83"/>
      <c r="K4" s="83"/>
      <c r="L4" s="83"/>
      <c r="M4" s="83"/>
      <c r="N4" s="83"/>
      <c r="O4" s="83"/>
      <c r="P4" s="83"/>
      <c r="Q4" s="83"/>
      <c r="R4" s="83"/>
      <c r="S4" s="83"/>
      <c r="T4" s="83"/>
      <c r="U4" s="83"/>
      <c r="V4" s="83"/>
      <c r="W4" s="83"/>
      <c r="X4" s="83"/>
      <c r="Y4" s="83"/>
      <c r="Z4" s="83"/>
      <c r="AA4" s="83"/>
      <c r="AB4" s="83"/>
      <c r="AC4" s="83"/>
      <c r="AD4" s="83"/>
      <c r="AE4" s="83"/>
      <c r="AF4" s="83"/>
    </row>
    <row r="5" spans="1:32">
      <c r="A5" s="83"/>
      <c r="B5" s="83"/>
      <c r="C5" s="83"/>
      <c r="D5" s="83"/>
      <c r="E5" s="83"/>
      <c r="F5" s="83"/>
      <c r="G5" s="83"/>
      <c r="H5" s="83"/>
      <c r="I5" s="83"/>
      <c r="J5" s="83"/>
      <c r="K5" s="83"/>
      <c r="L5" s="83"/>
      <c r="M5" s="83"/>
      <c r="N5" s="83"/>
      <c r="O5" s="83"/>
      <c r="P5" s="83"/>
      <c r="Q5" s="83"/>
      <c r="R5" s="83"/>
      <c r="S5" s="83"/>
      <c r="T5" s="83"/>
      <c r="U5" s="83"/>
      <c r="V5" s="83"/>
      <c r="W5" s="83"/>
      <c r="X5" s="83"/>
      <c r="Y5" s="83"/>
      <c r="Z5" s="83"/>
      <c r="AA5" s="83"/>
      <c r="AB5" s="83"/>
      <c r="AC5" s="83"/>
      <c r="AD5" s="83"/>
      <c r="AE5" s="83"/>
      <c r="AF5" s="83"/>
    </row>
    <row r="6" spans="1:32">
      <c r="A6" s="83"/>
      <c r="B6" s="143" t="s">
        <v>37</v>
      </c>
      <c r="C6" s="48">
        <f>CF!C6</f>
        <v>2012</v>
      </c>
      <c r="D6" s="49">
        <f>C6+1</f>
        <v>2013</v>
      </c>
      <c r="E6" s="49">
        <f>D6+1</f>
        <v>2014</v>
      </c>
      <c r="F6" s="49">
        <f>E6+1</f>
        <v>2015</v>
      </c>
      <c r="G6" s="49">
        <f>F6+1</f>
        <v>2016</v>
      </c>
      <c r="H6" s="45">
        <f>G6+1</f>
        <v>2017</v>
      </c>
      <c r="I6" s="39">
        <f t="shared" ref="I6:AF6" si="0">H6+1</f>
        <v>2018</v>
      </c>
      <c r="J6" s="39">
        <f t="shared" si="0"/>
        <v>2019</v>
      </c>
      <c r="K6" s="39">
        <f t="shared" si="0"/>
        <v>2020</v>
      </c>
      <c r="L6" s="39">
        <f t="shared" si="0"/>
        <v>2021</v>
      </c>
      <c r="M6" s="39">
        <f t="shared" si="0"/>
        <v>2022</v>
      </c>
      <c r="N6" s="39">
        <f t="shared" si="0"/>
        <v>2023</v>
      </c>
      <c r="O6" s="39">
        <f t="shared" si="0"/>
        <v>2024</v>
      </c>
      <c r="P6" s="39">
        <f t="shared" si="0"/>
        <v>2025</v>
      </c>
      <c r="Q6" s="39">
        <f t="shared" si="0"/>
        <v>2026</v>
      </c>
      <c r="R6" s="39">
        <f t="shared" si="0"/>
        <v>2027</v>
      </c>
      <c r="S6" s="39">
        <f t="shared" si="0"/>
        <v>2028</v>
      </c>
      <c r="T6" s="39">
        <f t="shared" si="0"/>
        <v>2029</v>
      </c>
      <c r="U6" s="39">
        <f t="shared" si="0"/>
        <v>2030</v>
      </c>
      <c r="V6" s="39">
        <f t="shared" si="0"/>
        <v>2031</v>
      </c>
      <c r="W6" s="39">
        <f t="shared" si="0"/>
        <v>2032</v>
      </c>
      <c r="X6" s="39">
        <f t="shared" si="0"/>
        <v>2033</v>
      </c>
      <c r="Y6" s="39">
        <f t="shared" si="0"/>
        <v>2034</v>
      </c>
      <c r="Z6" s="39">
        <f t="shared" si="0"/>
        <v>2035</v>
      </c>
      <c r="AA6" s="39">
        <f t="shared" si="0"/>
        <v>2036</v>
      </c>
      <c r="AB6" s="39">
        <f t="shared" si="0"/>
        <v>2037</v>
      </c>
      <c r="AC6" s="39">
        <f t="shared" si="0"/>
        <v>2038</v>
      </c>
      <c r="AD6" s="39">
        <f t="shared" si="0"/>
        <v>2039</v>
      </c>
      <c r="AE6" s="39">
        <f t="shared" si="0"/>
        <v>2040</v>
      </c>
      <c r="AF6" s="39">
        <f t="shared" si="0"/>
        <v>2041</v>
      </c>
    </row>
    <row r="7" spans="1:32">
      <c r="A7" s="83"/>
      <c r="B7" s="144" t="s">
        <v>38</v>
      </c>
      <c r="C7" s="91">
        <f>BS!C44/CF!C28</f>
        <v>0</v>
      </c>
      <c r="D7" s="91">
        <f>BS!D44/CF!D28</f>
        <v>0</v>
      </c>
      <c r="E7" s="91">
        <f>BS!E44/CF!E28</f>
        <v>0</v>
      </c>
      <c r="F7" s="91">
        <f>BS!F44/CF!F28</f>
        <v>0</v>
      </c>
      <c r="G7" s="91">
        <f>BS!G44/CF!G28</f>
        <v>0</v>
      </c>
      <c r="H7" s="96" t="e">
        <f t="shared" ref="H7:AF7" si="1">G7+H9-H11</f>
        <v>#REF!</v>
      </c>
      <c r="I7" s="91" t="e">
        <f t="shared" si="1"/>
        <v>#REF!</v>
      </c>
      <c r="J7" s="91" t="e">
        <f t="shared" si="1"/>
        <v>#REF!</v>
      </c>
      <c r="K7" s="91" t="e">
        <f t="shared" si="1"/>
        <v>#REF!</v>
      </c>
      <c r="L7" s="91" t="e">
        <f t="shared" si="1"/>
        <v>#REF!</v>
      </c>
      <c r="M7" s="91" t="e">
        <f t="shared" si="1"/>
        <v>#REF!</v>
      </c>
      <c r="N7" s="91" t="e">
        <f t="shared" si="1"/>
        <v>#REF!</v>
      </c>
      <c r="O7" s="91" t="e">
        <f t="shared" si="1"/>
        <v>#REF!</v>
      </c>
      <c r="P7" s="91" t="e">
        <f t="shared" si="1"/>
        <v>#REF!</v>
      </c>
      <c r="Q7" s="91" t="e">
        <f t="shared" si="1"/>
        <v>#REF!</v>
      </c>
      <c r="R7" s="91" t="e">
        <f t="shared" si="1"/>
        <v>#REF!</v>
      </c>
      <c r="S7" s="91" t="e">
        <f t="shared" si="1"/>
        <v>#REF!</v>
      </c>
      <c r="T7" s="91" t="e">
        <f t="shared" si="1"/>
        <v>#REF!</v>
      </c>
      <c r="U7" s="91" t="e">
        <f t="shared" si="1"/>
        <v>#REF!</v>
      </c>
      <c r="V7" s="91" t="e">
        <f t="shared" si="1"/>
        <v>#REF!</v>
      </c>
      <c r="W7" s="91" t="e">
        <f t="shared" si="1"/>
        <v>#REF!</v>
      </c>
      <c r="X7" s="91" t="e">
        <f t="shared" si="1"/>
        <v>#REF!</v>
      </c>
      <c r="Y7" s="91" t="e">
        <f t="shared" si="1"/>
        <v>#REF!</v>
      </c>
      <c r="Z7" s="91" t="e">
        <f t="shared" si="1"/>
        <v>#REF!</v>
      </c>
      <c r="AA7" s="91" t="e">
        <f t="shared" si="1"/>
        <v>#REF!</v>
      </c>
      <c r="AB7" s="91" t="e">
        <f t="shared" si="1"/>
        <v>#REF!</v>
      </c>
      <c r="AC7" s="91" t="e">
        <f t="shared" si="1"/>
        <v>#REF!</v>
      </c>
      <c r="AD7" s="91" t="e">
        <f t="shared" si="1"/>
        <v>#REF!</v>
      </c>
      <c r="AE7" s="91" t="e">
        <f t="shared" si="1"/>
        <v>#REF!</v>
      </c>
      <c r="AF7" s="91" t="e">
        <f t="shared" si="1"/>
        <v>#REF!</v>
      </c>
    </row>
    <row r="8" spans="1:32">
      <c r="A8" s="83"/>
      <c r="B8" s="145" t="s">
        <v>39</v>
      </c>
      <c r="C8" s="27"/>
      <c r="D8" s="27"/>
      <c r="E8" s="27"/>
      <c r="F8" s="27"/>
      <c r="G8" s="27"/>
      <c r="H8" s="31"/>
      <c r="I8" s="146" t="s">
        <v>140</v>
      </c>
      <c r="J8" s="112"/>
      <c r="K8" s="27"/>
      <c r="L8" s="27"/>
      <c r="M8" s="27"/>
      <c r="N8" s="146" t="s">
        <v>138</v>
      </c>
      <c r="O8" s="112"/>
      <c r="P8" s="27"/>
      <c r="Q8" s="27"/>
      <c r="R8" s="146" t="s">
        <v>139</v>
      </c>
      <c r="S8" s="112"/>
      <c r="T8" s="27"/>
      <c r="U8" s="27"/>
      <c r="V8" s="27"/>
      <c r="W8" s="27"/>
      <c r="X8" s="27"/>
      <c r="Y8" s="27"/>
      <c r="Z8" s="27"/>
      <c r="AA8" s="27"/>
      <c r="AB8" s="27"/>
      <c r="AC8" s="27"/>
      <c r="AD8" s="27"/>
      <c r="AE8" s="27"/>
      <c r="AF8" s="27"/>
    </row>
    <row r="9" spans="1:32">
      <c r="A9" s="83"/>
      <c r="B9" s="144" t="s">
        <v>40</v>
      </c>
      <c r="C9" s="95">
        <f>CF!C30</f>
        <v>-133220</v>
      </c>
      <c r="D9" s="95">
        <f>CF!D30</f>
        <v>-170646</v>
      </c>
      <c r="E9" s="95">
        <f>CF!E30</f>
        <v>-276765</v>
      </c>
      <c r="F9" s="95">
        <f>CF!F30</f>
        <v>-535062</v>
      </c>
      <c r="G9" s="95">
        <f>CF!G30</f>
        <v>-262643</v>
      </c>
      <c r="H9" s="96">
        <f>G9*(1+$J8)</f>
        <v>-262643</v>
      </c>
      <c r="I9" s="91">
        <f>H9*(1+$J8)</f>
        <v>-262643</v>
      </c>
      <c r="J9" s="91">
        <f>I9*(1+$J8)</f>
        <v>-262643</v>
      </c>
      <c r="K9" s="91">
        <f>J9*(1+$J8)</f>
        <v>-262643</v>
      </c>
      <c r="L9" s="91">
        <f>K9*(1+$J8)</f>
        <v>-262643</v>
      </c>
      <c r="M9" s="91">
        <f>L9*(1+$O8)</f>
        <v>-262643</v>
      </c>
      <c r="N9" s="91">
        <f>M9*(1+$O8)</f>
        <v>-262643</v>
      </c>
      <c r="O9" s="91">
        <f>N9*(1+$O8)</f>
        <v>-262643</v>
      </c>
      <c r="P9" s="91">
        <f>O9*(1+$O8)</f>
        <v>-262643</v>
      </c>
      <c r="Q9" s="91">
        <f>P9*(1+$O8)</f>
        <v>-262643</v>
      </c>
      <c r="R9" s="91">
        <f t="shared" ref="R9:AF9" si="2">Q9*(1+$S$8)</f>
        <v>-262643</v>
      </c>
      <c r="S9" s="91">
        <f t="shared" si="2"/>
        <v>-262643</v>
      </c>
      <c r="T9" s="91">
        <f t="shared" si="2"/>
        <v>-262643</v>
      </c>
      <c r="U9" s="91">
        <f t="shared" si="2"/>
        <v>-262643</v>
      </c>
      <c r="V9" s="91">
        <f t="shared" si="2"/>
        <v>-262643</v>
      </c>
      <c r="W9" s="91">
        <f t="shared" si="2"/>
        <v>-262643</v>
      </c>
      <c r="X9" s="91">
        <f t="shared" si="2"/>
        <v>-262643</v>
      </c>
      <c r="Y9" s="91">
        <f t="shared" si="2"/>
        <v>-262643</v>
      </c>
      <c r="Z9" s="91">
        <f t="shared" si="2"/>
        <v>-262643</v>
      </c>
      <c r="AA9" s="91">
        <f t="shared" si="2"/>
        <v>-262643</v>
      </c>
      <c r="AB9" s="91">
        <f t="shared" si="2"/>
        <v>-262643</v>
      </c>
      <c r="AC9" s="91">
        <f t="shared" si="2"/>
        <v>-262643</v>
      </c>
      <c r="AD9" s="91">
        <f t="shared" si="2"/>
        <v>-262643</v>
      </c>
      <c r="AE9" s="91">
        <f t="shared" si="2"/>
        <v>-262643</v>
      </c>
      <c r="AF9" s="91">
        <f t="shared" si="2"/>
        <v>-262643</v>
      </c>
    </row>
    <row r="10" spans="1:32">
      <c r="A10" s="83"/>
      <c r="B10" s="145" t="s">
        <v>41</v>
      </c>
      <c r="C10" s="27"/>
      <c r="D10" s="27"/>
      <c r="E10" s="27"/>
      <c r="F10" s="27"/>
      <c r="G10" s="27"/>
      <c r="H10" s="31"/>
      <c r="I10" s="146" t="s">
        <v>137</v>
      </c>
      <c r="J10" s="112"/>
      <c r="K10" s="27"/>
      <c r="L10" s="27"/>
      <c r="M10" s="27"/>
      <c r="N10" s="146" t="s">
        <v>138</v>
      </c>
      <c r="O10" s="112"/>
      <c r="P10" s="15"/>
      <c r="Q10" s="27"/>
      <c r="R10" s="146" t="s">
        <v>139</v>
      </c>
      <c r="S10" s="112"/>
      <c r="T10" s="27"/>
      <c r="U10" s="27"/>
      <c r="V10" s="27"/>
      <c r="W10" s="27"/>
      <c r="X10" s="27"/>
      <c r="Y10" s="27"/>
      <c r="Z10" s="27"/>
      <c r="AA10" s="27"/>
      <c r="AB10" s="27"/>
      <c r="AC10" s="27"/>
      <c r="AD10" s="27"/>
      <c r="AE10" s="27"/>
      <c r="AF10" s="27"/>
    </row>
    <row r="11" spans="1:32">
      <c r="A11" s="83"/>
      <c r="B11" s="144" t="s">
        <v>42</v>
      </c>
      <c r="C11" s="95" t="e">
        <f>#REF!</f>
        <v>#REF!</v>
      </c>
      <c r="D11" s="95" t="e">
        <f>#REF!</f>
        <v>#REF!</v>
      </c>
      <c r="E11" s="95" t="e">
        <f>#REF!</f>
        <v>#REF!</v>
      </c>
      <c r="F11" s="95" t="e">
        <f>#REF!</f>
        <v>#REF!</v>
      </c>
      <c r="G11" s="95" t="e">
        <f>#REF!</f>
        <v>#REF!</v>
      </c>
      <c r="H11" s="96" t="e">
        <f>G11*(1+$J10)</f>
        <v>#REF!</v>
      </c>
      <c r="I11" s="91" t="e">
        <f>H11*(1+$J10)</f>
        <v>#REF!</v>
      </c>
      <c r="J11" s="91" t="e">
        <f>I11*(1+$J10)</f>
        <v>#REF!</v>
      </c>
      <c r="K11" s="91" t="e">
        <f>J11*(1+$J10)</f>
        <v>#REF!</v>
      </c>
      <c r="L11" s="91" t="e">
        <f>K11*(1+$J10)</f>
        <v>#REF!</v>
      </c>
      <c r="M11" s="91" t="e">
        <f>L11*(1+$O10)</f>
        <v>#REF!</v>
      </c>
      <c r="N11" s="91" t="e">
        <f>M11*(1+$O10)</f>
        <v>#REF!</v>
      </c>
      <c r="O11" s="91" t="e">
        <f>N11*(1+$O10)</f>
        <v>#REF!</v>
      </c>
      <c r="P11" s="91" t="e">
        <f>O11*(1+$O10)</f>
        <v>#REF!</v>
      </c>
      <c r="Q11" s="91" t="e">
        <f>P11*(1+$O10)</f>
        <v>#REF!</v>
      </c>
      <c r="R11" s="91" t="e">
        <f t="shared" ref="R11:AF11" si="3">Q11*(1+$S10)</f>
        <v>#REF!</v>
      </c>
      <c r="S11" s="91" t="e">
        <f t="shared" si="3"/>
        <v>#REF!</v>
      </c>
      <c r="T11" s="91" t="e">
        <f t="shared" si="3"/>
        <v>#REF!</v>
      </c>
      <c r="U11" s="91" t="e">
        <f t="shared" si="3"/>
        <v>#REF!</v>
      </c>
      <c r="V11" s="91" t="e">
        <f t="shared" si="3"/>
        <v>#REF!</v>
      </c>
      <c r="W11" s="91" t="e">
        <f t="shared" si="3"/>
        <v>#REF!</v>
      </c>
      <c r="X11" s="91" t="e">
        <f t="shared" si="3"/>
        <v>#REF!</v>
      </c>
      <c r="Y11" s="91" t="e">
        <f t="shared" si="3"/>
        <v>#REF!</v>
      </c>
      <c r="Z11" s="91" t="e">
        <f t="shared" si="3"/>
        <v>#REF!</v>
      </c>
      <c r="AA11" s="91" t="e">
        <f t="shared" si="3"/>
        <v>#REF!</v>
      </c>
      <c r="AB11" s="91" t="e">
        <f t="shared" si="3"/>
        <v>#REF!</v>
      </c>
      <c r="AC11" s="91" t="e">
        <f t="shared" si="3"/>
        <v>#REF!</v>
      </c>
      <c r="AD11" s="91" t="e">
        <f t="shared" si="3"/>
        <v>#REF!</v>
      </c>
      <c r="AE11" s="91" t="e">
        <f t="shared" si="3"/>
        <v>#REF!</v>
      </c>
      <c r="AF11" s="91" t="e">
        <f t="shared" si="3"/>
        <v>#REF!</v>
      </c>
    </row>
    <row r="12" spans="1:32">
      <c r="A12" s="83"/>
      <c r="B12" s="145" t="s">
        <v>28</v>
      </c>
      <c r="C12" s="85" t="e">
        <f t="shared" ref="C12:AF12" si="4">C9/C7</f>
        <v>#DIV/0!</v>
      </c>
      <c r="D12" s="85" t="e">
        <f t="shared" si="4"/>
        <v>#DIV/0!</v>
      </c>
      <c r="E12" s="85" t="e">
        <f t="shared" si="4"/>
        <v>#DIV/0!</v>
      </c>
      <c r="F12" s="85" t="e">
        <f t="shared" si="4"/>
        <v>#DIV/0!</v>
      </c>
      <c r="G12" s="85" t="e">
        <f t="shared" si="4"/>
        <v>#DIV/0!</v>
      </c>
      <c r="H12" s="84" t="e">
        <f t="shared" si="4"/>
        <v>#REF!</v>
      </c>
      <c r="I12" s="85" t="e">
        <f t="shared" si="4"/>
        <v>#REF!</v>
      </c>
      <c r="J12" s="85" t="e">
        <f t="shared" si="4"/>
        <v>#REF!</v>
      </c>
      <c r="K12" s="85" t="e">
        <f t="shared" si="4"/>
        <v>#REF!</v>
      </c>
      <c r="L12" s="85" t="e">
        <f t="shared" si="4"/>
        <v>#REF!</v>
      </c>
      <c r="M12" s="85" t="e">
        <f t="shared" si="4"/>
        <v>#REF!</v>
      </c>
      <c r="N12" s="85" t="e">
        <f t="shared" si="4"/>
        <v>#REF!</v>
      </c>
      <c r="O12" s="85" t="e">
        <f t="shared" si="4"/>
        <v>#REF!</v>
      </c>
      <c r="P12" s="85" t="e">
        <f t="shared" si="4"/>
        <v>#REF!</v>
      </c>
      <c r="Q12" s="85" t="e">
        <f t="shared" si="4"/>
        <v>#REF!</v>
      </c>
      <c r="R12" s="85" t="e">
        <f t="shared" si="4"/>
        <v>#REF!</v>
      </c>
      <c r="S12" s="85" t="e">
        <f t="shared" si="4"/>
        <v>#REF!</v>
      </c>
      <c r="T12" s="85" t="e">
        <f t="shared" si="4"/>
        <v>#REF!</v>
      </c>
      <c r="U12" s="85" t="e">
        <f t="shared" si="4"/>
        <v>#REF!</v>
      </c>
      <c r="V12" s="85" t="e">
        <f t="shared" si="4"/>
        <v>#REF!</v>
      </c>
      <c r="W12" s="85" t="e">
        <f t="shared" si="4"/>
        <v>#REF!</v>
      </c>
      <c r="X12" s="85" t="e">
        <f t="shared" si="4"/>
        <v>#REF!</v>
      </c>
      <c r="Y12" s="85" t="e">
        <f t="shared" si="4"/>
        <v>#REF!</v>
      </c>
      <c r="Z12" s="85" t="e">
        <f t="shared" si="4"/>
        <v>#REF!</v>
      </c>
      <c r="AA12" s="85" t="e">
        <f t="shared" si="4"/>
        <v>#REF!</v>
      </c>
      <c r="AB12" s="85" t="e">
        <f t="shared" si="4"/>
        <v>#REF!</v>
      </c>
      <c r="AC12" s="85" t="e">
        <f t="shared" si="4"/>
        <v>#REF!</v>
      </c>
      <c r="AD12" s="85" t="e">
        <f t="shared" si="4"/>
        <v>#REF!</v>
      </c>
      <c r="AE12" s="85" t="e">
        <f t="shared" si="4"/>
        <v>#REF!</v>
      </c>
      <c r="AF12" s="85" t="e">
        <f t="shared" si="4"/>
        <v>#REF!</v>
      </c>
    </row>
    <row r="13" spans="1:32">
      <c r="A13" s="83"/>
      <c r="B13" s="66"/>
      <c r="C13" s="33"/>
      <c r="D13" s="33"/>
      <c r="E13" s="33"/>
      <c r="F13" s="33"/>
      <c r="G13" s="33"/>
      <c r="H13" s="46"/>
      <c r="I13" s="33"/>
      <c r="J13" s="33"/>
      <c r="K13" s="33"/>
      <c r="L13" s="33"/>
      <c r="M13" s="33"/>
      <c r="N13" s="33"/>
      <c r="O13" s="33"/>
      <c r="P13" s="33"/>
      <c r="Q13" s="33"/>
      <c r="R13" s="33"/>
      <c r="S13" s="33"/>
      <c r="T13" s="33"/>
      <c r="U13" s="33"/>
      <c r="V13" s="33"/>
      <c r="W13" s="33"/>
      <c r="X13" s="33"/>
      <c r="Y13" s="33"/>
      <c r="Z13" s="33"/>
      <c r="AA13" s="33"/>
      <c r="AB13" s="33"/>
      <c r="AC13" s="33"/>
      <c r="AD13" s="33"/>
      <c r="AE13" s="33"/>
      <c r="AF13" s="33"/>
    </row>
    <row r="14" spans="1:32">
      <c r="A14" s="83"/>
      <c r="B14" s="144" t="s">
        <v>43</v>
      </c>
      <c r="C14" s="102">
        <f>DCF!J53</f>
        <v>0.10877120364572213</v>
      </c>
      <c r="D14" s="26"/>
      <c r="E14" s="26"/>
      <c r="F14" s="36"/>
      <c r="G14" s="36"/>
      <c r="H14" s="32"/>
      <c r="I14" s="26"/>
      <c r="J14" s="26"/>
      <c r="K14" s="26"/>
      <c r="L14" s="26"/>
      <c r="M14" s="26"/>
      <c r="N14" s="26"/>
      <c r="O14" s="26"/>
      <c r="P14" s="26"/>
      <c r="Q14" s="26"/>
      <c r="R14" s="26"/>
      <c r="S14" s="26"/>
      <c r="T14" s="26"/>
      <c r="U14" s="26"/>
      <c r="V14" s="26"/>
      <c r="W14" s="26"/>
      <c r="X14" s="26"/>
      <c r="Y14" s="26"/>
      <c r="Z14" s="26"/>
      <c r="AA14" s="26"/>
      <c r="AB14" s="26"/>
      <c r="AC14" s="26"/>
      <c r="AD14" s="26"/>
      <c r="AE14" s="26"/>
      <c r="AF14" s="26"/>
    </row>
    <row r="15" spans="1:32">
      <c r="A15" s="83"/>
      <c r="B15" s="25"/>
      <c r="C15" s="47"/>
      <c r="D15" s="27"/>
      <c r="E15" s="27"/>
      <c r="F15" s="24"/>
      <c r="G15" s="24"/>
      <c r="H15" s="31"/>
      <c r="I15" s="27"/>
      <c r="J15" s="27"/>
      <c r="K15" s="27"/>
      <c r="L15" s="27"/>
      <c r="M15" s="27"/>
      <c r="N15" s="27"/>
      <c r="O15" s="27"/>
      <c r="P15" s="27"/>
      <c r="Q15" s="27"/>
      <c r="R15" s="27"/>
      <c r="S15" s="27"/>
      <c r="T15" s="27"/>
      <c r="U15" s="27"/>
      <c r="V15" s="27"/>
      <c r="W15" s="27"/>
      <c r="X15" s="27"/>
      <c r="Y15" s="27"/>
      <c r="Z15" s="27"/>
      <c r="AA15" s="27"/>
      <c r="AB15" s="27"/>
      <c r="AC15" s="27"/>
      <c r="AD15" s="27"/>
      <c r="AE15" s="27"/>
      <c r="AF15" s="27"/>
    </row>
    <row r="16" spans="1:32" s="56" customFormat="1">
      <c r="A16" s="44"/>
      <c r="B16" s="118" t="s">
        <v>37</v>
      </c>
      <c r="C16" s="79">
        <f t="shared" ref="C16:H16" si="5">C6</f>
        <v>2012</v>
      </c>
      <c r="D16" s="79">
        <f t="shared" si="5"/>
        <v>2013</v>
      </c>
      <c r="E16" s="79">
        <f t="shared" si="5"/>
        <v>2014</v>
      </c>
      <c r="F16" s="79">
        <f t="shared" si="5"/>
        <v>2015</v>
      </c>
      <c r="G16" s="79">
        <f t="shared" si="5"/>
        <v>2016</v>
      </c>
      <c r="H16" s="52">
        <f t="shared" si="5"/>
        <v>2017</v>
      </c>
      <c r="I16" s="53">
        <f t="shared" ref="I16:AF16" si="6">I6</f>
        <v>2018</v>
      </c>
      <c r="J16" s="53">
        <f t="shared" si="6"/>
        <v>2019</v>
      </c>
      <c r="K16" s="53">
        <f t="shared" si="6"/>
        <v>2020</v>
      </c>
      <c r="L16" s="53">
        <f t="shared" si="6"/>
        <v>2021</v>
      </c>
      <c r="M16" s="53">
        <f t="shared" si="6"/>
        <v>2022</v>
      </c>
      <c r="N16" s="53">
        <f t="shared" si="6"/>
        <v>2023</v>
      </c>
      <c r="O16" s="53">
        <f t="shared" si="6"/>
        <v>2024</v>
      </c>
      <c r="P16" s="53">
        <f t="shared" si="6"/>
        <v>2025</v>
      </c>
      <c r="Q16" s="53">
        <f t="shared" si="6"/>
        <v>2026</v>
      </c>
      <c r="R16" s="53">
        <f t="shared" si="6"/>
        <v>2027</v>
      </c>
      <c r="S16" s="53">
        <f t="shared" si="6"/>
        <v>2028</v>
      </c>
      <c r="T16" s="53">
        <f t="shared" si="6"/>
        <v>2029</v>
      </c>
      <c r="U16" s="53">
        <f t="shared" si="6"/>
        <v>2030</v>
      </c>
      <c r="V16" s="53">
        <f t="shared" si="6"/>
        <v>2031</v>
      </c>
      <c r="W16" s="53">
        <f t="shared" si="6"/>
        <v>2032</v>
      </c>
      <c r="X16" s="53">
        <f t="shared" si="6"/>
        <v>2033</v>
      </c>
      <c r="Y16" s="53">
        <f t="shared" si="6"/>
        <v>2034</v>
      </c>
      <c r="Z16" s="53">
        <f t="shared" si="6"/>
        <v>2035</v>
      </c>
      <c r="AA16" s="53">
        <f t="shared" si="6"/>
        <v>2036</v>
      </c>
      <c r="AB16" s="53">
        <f t="shared" si="6"/>
        <v>2037</v>
      </c>
      <c r="AC16" s="53">
        <f t="shared" si="6"/>
        <v>2038</v>
      </c>
      <c r="AD16" s="53">
        <f t="shared" si="6"/>
        <v>2039</v>
      </c>
      <c r="AE16" s="53">
        <f t="shared" si="6"/>
        <v>2040</v>
      </c>
      <c r="AF16" s="53">
        <f t="shared" si="6"/>
        <v>2041</v>
      </c>
    </row>
    <row r="17" spans="1:32">
      <c r="A17" s="83"/>
      <c r="B17" s="144" t="s">
        <v>44</v>
      </c>
      <c r="C17" s="26"/>
      <c r="D17" s="36"/>
      <c r="E17" s="36"/>
      <c r="F17" s="36"/>
      <c r="G17" s="36"/>
      <c r="H17" s="96">
        <f t="shared" ref="H17:O17" si="7">H9-(G7*$C14)</f>
        <v>-262643</v>
      </c>
      <c r="I17" s="91" t="e">
        <f t="shared" si="7"/>
        <v>#REF!</v>
      </c>
      <c r="J17" s="91" t="e">
        <f t="shared" si="7"/>
        <v>#REF!</v>
      </c>
      <c r="K17" s="91" t="e">
        <f t="shared" si="7"/>
        <v>#REF!</v>
      </c>
      <c r="L17" s="91" t="e">
        <f t="shared" si="7"/>
        <v>#REF!</v>
      </c>
      <c r="M17" s="91" t="e">
        <f t="shared" si="7"/>
        <v>#REF!</v>
      </c>
      <c r="N17" s="91" t="e">
        <f t="shared" si="7"/>
        <v>#REF!</v>
      </c>
      <c r="O17" s="91" t="e">
        <f t="shared" si="7"/>
        <v>#REF!</v>
      </c>
      <c r="P17" s="91" t="e">
        <f t="shared" ref="P17:AF17" si="8">P9-(O7*$C14)</f>
        <v>#REF!</v>
      </c>
      <c r="Q17" s="91" t="e">
        <f t="shared" si="8"/>
        <v>#REF!</v>
      </c>
      <c r="R17" s="91" t="e">
        <f t="shared" si="8"/>
        <v>#REF!</v>
      </c>
      <c r="S17" s="91" t="e">
        <f t="shared" si="8"/>
        <v>#REF!</v>
      </c>
      <c r="T17" s="91" t="e">
        <f t="shared" si="8"/>
        <v>#REF!</v>
      </c>
      <c r="U17" s="91" t="e">
        <f t="shared" si="8"/>
        <v>#REF!</v>
      </c>
      <c r="V17" s="91" t="e">
        <f t="shared" si="8"/>
        <v>#REF!</v>
      </c>
      <c r="W17" s="91" t="e">
        <f t="shared" si="8"/>
        <v>#REF!</v>
      </c>
      <c r="X17" s="91" t="e">
        <f t="shared" si="8"/>
        <v>#REF!</v>
      </c>
      <c r="Y17" s="91" t="e">
        <f t="shared" si="8"/>
        <v>#REF!</v>
      </c>
      <c r="Z17" s="91" t="e">
        <f t="shared" si="8"/>
        <v>#REF!</v>
      </c>
      <c r="AA17" s="91" t="e">
        <f t="shared" si="8"/>
        <v>#REF!</v>
      </c>
      <c r="AB17" s="91" t="e">
        <f t="shared" si="8"/>
        <v>#REF!</v>
      </c>
      <c r="AC17" s="91" t="e">
        <f t="shared" si="8"/>
        <v>#REF!</v>
      </c>
      <c r="AD17" s="91" t="e">
        <f t="shared" si="8"/>
        <v>#REF!</v>
      </c>
      <c r="AE17" s="91" t="e">
        <f t="shared" si="8"/>
        <v>#REF!</v>
      </c>
      <c r="AF17" s="91" t="e">
        <f t="shared" si="8"/>
        <v>#REF!</v>
      </c>
    </row>
    <row r="18" spans="1:32">
      <c r="A18" s="83"/>
      <c r="B18" s="145" t="s">
        <v>45</v>
      </c>
      <c r="C18" s="27"/>
      <c r="D18" s="24"/>
      <c r="E18" s="24"/>
      <c r="F18" s="24"/>
      <c r="G18" s="67"/>
      <c r="H18" s="147"/>
      <c r="I18" s="89">
        <f>H18+1</f>
        <v>1</v>
      </c>
      <c r="J18" s="89">
        <f>I18+1</f>
        <v>2</v>
      </c>
      <c r="K18" s="89">
        <f t="shared" ref="K18:Q18" si="9">J18+1</f>
        <v>3</v>
      </c>
      <c r="L18" s="89">
        <f>K18+1</f>
        <v>4</v>
      </c>
      <c r="M18" s="89">
        <f t="shared" si="9"/>
        <v>5</v>
      </c>
      <c r="N18" s="89">
        <f t="shared" si="9"/>
        <v>6</v>
      </c>
      <c r="O18" s="89">
        <f>N18+1</f>
        <v>7</v>
      </c>
      <c r="P18" s="89">
        <f t="shared" si="9"/>
        <v>8</v>
      </c>
      <c r="Q18" s="89">
        <f t="shared" si="9"/>
        <v>9</v>
      </c>
      <c r="R18" s="89">
        <f>Q18+1</f>
        <v>10</v>
      </c>
      <c r="S18" s="89">
        <f t="shared" ref="S18:AF18" si="10">R18+1</f>
        <v>11</v>
      </c>
      <c r="T18" s="89">
        <f t="shared" si="10"/>
        <v>12</v>
      </c>
      <c r="U18" s="89">
        <f t="shared" si="10"/>
        <v>13</v>
      </c>
      <c r="V18" s="89">
        <f t="shared" si="10"/>
        <v>14</v>
      </c>
      <c r="W18" s="89">
        <f t="shared" si="10"/>
        <v>15</v>
      </c>
      <c r="X18" s="89">
        <f t="shared" si="10"/>
        <v>16</v>
      </c>
      <c r="Y18" s="89">
        <f t="shared" si="10"/>
        <v>17</v>
      </c>
      <c r="Z18" s="89">
        <f t="shared" si="10"/>
        <v>18</v>
      </c>
      <c r="AA18" s="89">
        <f t="shared" si="10"/>
        <v>19</v>
      </c>
      <c r="AB18" s="89">
        <f t="shared" si="10"/>
        <v>20</v>
      </c>
      <c r="AC18" s="89">
        <f t="shared" si="10"/>
        <v>21</v>
      </c>
      <c r="AD18" s="89">
        <f t="shared" si="10"/>
        <v>22</v>
      </c>
      <c r="AE18" s="89">
        <f t="shared" si="10"/>
        <v>23</v>
      </c>
      <c r="AF18" s="89">
        <f t="shared" si="10"/>
        <v>24</v>
      </c>
    </row>
    <row r="19" spans="1:32">
      <c r="A19" s="83"/>
      <c r="B19" s="144" t="s">
        <v>46</v>
      </c>
      <c r="C19" s="26"/>
      <c r="D19" s="36"/>
      <c r="E19" s="36"/>
      <c r="F19" s="36"/>
      <c r="G19" s="36"/>
      <c r="H19" s="97">
        <f t="shared" ref="H19:AF19" si="11">H17/(1+$C14)^H18</f>
        <v>-262643</v>
      </c>
      <c r="I19" s="98" t="e">
        <f t="shared" si="11"/>
        <v>#REF!</v>
      </c>
      <c r="J19" s="98" t="e">
        <f t="shared" si="11"/>
        <v>#REF!</v>
      </c>
      <c r="K19" s="98" t="e">
        <f t="shared" si="11"/>
        <v>#REF!</v>
      </c>
      <c r="L19" s="98" t="e">
        <f t="shared" si="11"/>
        <v>#REF!</v>
      </c>
      <c r="M19" s="98" t="e">
        <f t="shared" si="11"/>
        <v>#REF!</v>
      </c>
      <c r="N19" s="98" t="e">
        <f t="shared" si="11"/>
        <v>#REF!</v>
      </c>
      <c r="O19" s="98" t="e">
        <f t="shared" si="11"/>
        <v>#REF!</v>
      </c>
      <c r="P19" s="98" t="e">
        <f t="shared" si="11"/>
        <v>#REF!</v>
      </c>
      <c r="Q19" s="98" t="e">
        <f t="shared" si="11"/>
        <v>#REF!</v>
      </c>
      <c r="R19" s="98" t="e">
        <f t="shared" si="11"/>
        <v>#REF!</v>
      </c>
      <c r="S19" s="98" t="e">
        <f t="shared" si="11"/>
        <v>#REF!</v>
      </c>
      <c r="T19" s="98" t="e">
        <f t="shared" si="11"/>
        <v>#REF!</v>
      </c>
      <c r="U19" s="98" t="e">
        <f t="shared" si="11"/>
        <v>#REF!</v>
      </c>
      <c r="V19" s="98" t="e">
        <f t="shared" si="11"/>
        <v>#REF!</v>
      </c>
      <c r="W19" s="98" t="e">
        <f t="shared" si="11"/>
        <v>#REF!</v>
      </c>
      <c r="X19" s="98" t="e">
        <f t="shared" si="11"/>
        <v>#REF!</v>
      </c>
      <c r="Y19" s="98" t="e">
        <f t="shared" si="11"/>
        <v>#REF!</v>
      </c>
      <c r="Z19" s="98" t="e">
        <f t="shared" si="11"/>
        <v>#REF!</v>
      </c>
      <c r="AA19" s="98" t="e">
        <f t="shared" si="11"/>
        <v>#REF!</v>
      </c>
      <c r="AB19" s="98" t="e">
        <f t="shared" si="11"/>
        <v>#REF!</v>
      </c>
      <c r="AC19" s="98" t="e">
        <f t="shared" si="11"/>
        <v>#REF!</v>
      </c>
      <c r="AD19" s="98" t="e">
        <f t="shared" si="11"/>
        <v>#REF!</v>
      </c>
      <c r="AE19" s="98" t="e">
        <f t="shared" si="11"/>
        <v>#REF!</v>
      </c>
      <c r="AF19" s="98" t="e">
        <f t="shared" si="11"/>
        <v>#REF!</v>
      </c>
    </row>
    <row r="20" spans="1:32">
      <c r="A20" s="83"/>
      <c r="B20" s="25"/>
      <c r="C20" s="27"/>
      <c r="D20" s="27"/>
      <c r="E20" s="27"/>
      <c r="F20" s="27"/>
      <c r="G20" s="27"/>
      <c r="H20" s="27"/>
      <c r="I20" s="27"/>
      <c r="J20" s="27"/>
      <c r="K20" s="27"/>
      <c r="L20" s="27"/>
      <c r="M20" s="27"/>
      <c r="N20" s="27"/>
      <c r="O20" s="27"/>
      <c r="P20" s="27"/>
      <c r="Q20" s="27"/>
      <c r="R20" s="27"/>
      <c r="S20" s="27"/>
      <c r="T20" s="27"/>
      <c r="U20" s="27"/>
      <c r="V20" s="27"/>
      <c r="W20" s="27"/>
      <c r="X20" s="27"/>
      <c r="Y20" s="27"/>
      <c r="Z20" s="27"/>
      <c r="AA20" s="27"/>
      <c r="AB20" s="27"/>
      <c r="AC20" s="27"/>
      <c r="AD20" s="27"/>
      <c r="AE20" s="27"/>
      <c r="AF20" s="27"/>
    </row>
    <row r="21" spans="1:32">
      <c r="A21" s="83"/>
      <c r="B21" s="148" t="s">
        <v>184</v>
      </c>
      <c r="C21" s="99" t="e">
        <f>G7+SUM(H19:AB19)</f>
        <v>#REF!</v>
      </c>
      <c r="D21" s="27"/>
      <c r="E21" s="27"/>
      <c r="F21" s="27"/>
      <c r="G21" s="25"/>
      <c r="H21" s="27"/>
      <c r="I21" s="27"/>
      <c r="J21" s="27"/>
      <c r="K21" s="27"/>
      <c r="L21" s="27"/>
      <c r="M21" s="27"/>
      <c r="N21" s="27"/>
      <c r="O21" s="27"/>
      <c r="P21" s="27"/>
      <c r="Q21" s="27"/>
      <c r="R21" s="27"/>
      <c r="S21" s="27"/>
      <c r="T21" s="27"/>
      <c r="U21" s="27"/>
      <c r="V21" s="27"/>
      <c r="W21" s="27"/>
      <c r="X21" s="27"/>
      <c r="Y21" s="27"/>
      <c r="Z21" s="27"/>
      <c r="AA21" s="27"/>
      <c r="AB21" s="27"/>
      <c r="AC21" s="27"/>
      <c r="AD21" s="27"/>
      <c r="AE21" s="27"/>
      <c r="AF21" s="27"/>
    </row>
    <row r="22" spans="1:32">
      <c r="A22" s="4"/>
      <c r="B22" s="35" t="str">
        <f>Valuation!B12</f>
        <v>Current Price (MM/DD/YY)</v>
      </c>
      <c r="C22" s="100">
        <f>Valuation!C12</f>
        <v>82.6</v>
      </c>
      <c r="D22" s="27"/>
      <c r="E22" s="27"/>
      <c r="F22" s="27"/>
      <c r="G22" s="25"/>
      <c r="H22" s="27"/>
      <c r="I22" s="27"/>
      <c r="J22" s="27"/>
      <c r="K22" s="27"/>
      <c r="L22" s="27"/>
      <c r="M22" s="27"/>
      <c r="N22" s="27"/>
      <c r="O22" s="27"/>
      <c r="P22" s="27"/>
      <c r="Q22" s="27"/>
      <c r="R22" s="27"/>
      <c r="S22" s="27"/>
      <c r="T22" s="27"/>
      <c r="U22" s="27"/>
      <c r="V22" s="27"/>
      <c r="W22" s="27"/>
      <c r="X22" s="27"/>
      <c r="Y22" s="27"/>
      <c r="Z22" s="27"/>
      <c r="AA22" s="27"/>
      <c r="AB22" s="27"/>
      <c r="AC22" s="27"/>
      <c r="AD22" s="27"/>
      <c r="AE22" s="27"/>
      <c r="AF22" s="27"/>
    </row>
    <row r="23" spans="1:32">
      <c r="A23" s="4"/>
      <c r="B23" s="148" t="s">
        <v>47</v>
      </c>
      <c r="C23" s="101" t="e">
        <f>C21/C22-1</f>
        <v>#REF!</v>
      </c>
      <c r="D23" s="27"/>
      <c r="E23" s="27"/>
      <c r="F23" s="27"/>
      <c r="G23" s="25"/>
      <c r="H23" s="27"/>
      <c r="I23" s="27"/>
      <c r="J23" s="27"/>
      <c r="K23" s="27"/>
      <c r="L23" s="27"/>
      <c r="M23" s="27"/>
      <c r="N23" s="27"/>
      <c r="O23" s="27"/>
      <c r="P23" s="27"/>
      <c r="Q23" s="27"/>
      <c r="R23" s="27"/>
      <c r="S23" s="27"/>
      <c r="T23" s="27"/>
      <c r="U23" s="27"/>
      <c r="V23" s="27"/>
      <c r="W23" s="27"/>
      <c r="X23" s="27"/>
      <c r="Y23" s="27"/>
      <c r="Z23" s="27"/>
      <c r="AA23" s="27"/>
      <c r="AB23" s="27"/>
      <c r="AC23" s="27"/>
      <c r="AD23" s="27"/>
      <c r="AE23" s="27"/>
      <c r="AF23" s="27"/>
    </row>
    <row r="24" spans="1:32">
      <c r="A24" s="83"/>
      <c r="B24" s="27"/>
      <c r="C24" s="25"/>
      <c r="D24" s="27"/>
      <c r="E24" s="27"/>
      <c r="F24" s="27"/>
      <c r="G24" s="27"/>
      <c r="H24" s="27"/>
      <c r="I24" s="27"/>
      <c r="J24" s="27"/>
      <c r="K24" s="27"/>
      <c r="L24" s="27"/>
      <c r="M24" s="27"/>
      <c r="N24" s="27"/>
      <c r="O24" s="27"/>
      <c r="P24" s="27"/>
      <c r="Q24" s="27"/>
      <c r="R24" s="27"/>
      <c r="S24" s="27"/>
      <c r="T24" s="27"/>
      <c r="U24" s="27"/>
      <c r="V24" s="27"/>
      <c r="W24" s="27"/>
      <c r="X24" s="27"/>
      <c r="Y24" s="27"/>
      <c r="Z24" s="27"/>
      <c r="AA24" s="27"/>
      <c r="AB24" s="27"/>
      <c r="AC24" s="27"/>
      <c r="AD24" s="27"/>
      <c r="AE24" s="27"/>
      <c r="AF24" s="27"/>
    </row>
    <row r="25" spans="1:32">
      <c r="A25" s="83"/>
      <c r="B25" s="27"/>
      <c r="C25" s="27"/>
      <c r="D25" s="27"/>
      <c r="E25" s="27"/>
      <c r="F25" s="27"/>
      <c r="G25" s="27"/>
      <c r="H25" s="27"/>
      <c r="I25" s="27"/>
      <c r="J25" s="27"/>
      <c r="K25" s="27"/>
      <c r="L25" s="27"/>
      <c r="M25" s="27"/>
      <c r="N25" s="27"/>
      <c r="O25" s="27"/>
      <c r="P25" s="27"/>
      <c r="Q25" s="27"/>
      <c r="R25" s="27"/>
      <c r="S25" s="27"/>
      <c r="T25" s="27"/>
      <c r="U25" s="27"/>
      <c r="V25" s="27"/>
      <c r="W25" s="27"/>
      <c r="X25" s="27"/>
      <c r="Y25" s="27"/>
      <c r="Z25" s="27"/>
      <c r="AA25" s="27"/>
      <c r="AB25" s="27"/>
      <c r="AC25" s="27"/>
      <c r="AD25" s="27"/>
      <c r="AE25" s="27"/>
      <c r="AF25" s="27"/>
    </row>
  </sheetData>
  <pageMargins left="0.7" right="0.7" top="0.75" bottom="0.75" header="0.3" footer="0.3"/>
  <pageSetup fitToHeight="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5" tint="0.79998168889431442"/>
  </sheetPr>
  <dimension ref="B1:W23"/>
  <sheetViews>
    <sheetView showGridLines="0" zoomScale="85" zoomScaleNormal="85" workbookViewId="0">
      <selection activeCell="B46" sqref="B46"/>
    </sheetView>
  </sheetViews>
  <sheetFormatPr defaultRowHeight="15"/>
  <cols>
    <col min="1" max="1" width="1.7109375" style="1" customWidth="1"/>
    <col min="2" max="2" width="20.85546875" style="1" bestFit="1" customWidth="1"/>
    <col min="3" max="3" width="8.42578125" style="1" bestFit="1" customWidth="1"/>
    <col min="4" max="4" width="8" style="1" bestFit="1" customWidth="1"/>
    <col min="5" max="6" width="7.85546875" style="1" bestFit="1" customWidth="1"/>
    <col min="7" max="13" width="12.140625" style="1" bestFit="1" customWidth="1"/>
    <col min="14" max="14" width="7" style="1" bestFit="1" customWidth="1"/>
    <col min="15" max="15" width="1.7109375" style="1" customWidth="1"/>
    <col min="16" max="16384" width="9.140625" style="1"/>
  </cols>
  <sheetData>
    <row r="1" spans="2:23" ht="23.25">
      <c r="B1" s="268" t="str">
        <f>Valuation!B1</f>
        <v>RHT</v>
      </c>
      <c r="C1" s="450"/>
      <c r="D1" s="450"/>
      <c r="E1" s="450"/>
      <c r="F1" s="450"/>
      <c r="G1" s="450"/>
      <c r="H1" s="450"/>
      <c r="I1" s="450"/>
      <c r="J1" s="450"/>
      <c r="K1" s="450"/>
      <c r="L1" s="450"/>
      <c r="M1" s="450"/>
      <c r="N1" s="324"/>
      <c r="O1" s="324"/>
      <c r="P1" s="324"/>
      <c r="Q1" s="324"/>
      <c r="R1" s="324"/>
      <c r="S1" s="324"/>
      <c r="T1" s="324"/>
      <c r="U1" s="324"/>
      <c r="V1" s="324"/>
      <c r="W1" s="324"/>
    </row>
    <row r="2" spans="2:23">
      <c r="B2" s="269" t="str">
        <f>Valuation!B2</f>
        <v>Red Hat .Inc</v>
      </c>
      <c r="C2" s="324"/>
      <c r="D2" s="450"/>
      <c r="E2" s="324"/>
      <c r="F2" s="324"/>
      <c r="G2" s="324"/>
      <c r="H2" s="324"/>
      <c r="I2" s="324"/>
      <c r="J2" s="324"/>
      <c r="K2" s="324"/>
      <c r="L2" s="324"/>
      <c r="M2" s="324"/>
      <c r="N2" s="324"/>
      <c r="O2" s="324"/>
      <c r="P2" s="324"/>
      <c r="Q2" s="324"/>
      <c r="R2" s="324"/>
      <c r="S2" s="324"/>
      <c r="T2" s="324"/>
      <c r="U2" s="324"/>
      <c r="V2" s="324"/>
      <c r="W2" s="324"/>
    </row>
    <row r="3" spans="2:23" ht="3" customHeight="1">
      <c r="B3" s="242"/>
      <c r="C3" s="242"/>
      <c r="D3" s="242"/>
      <c r="E3" s="242"/>
      <c r="F3" s="242"/>
      <c r="G3" s="242"/>
      <c r="H3" s="242"/>
      <c r="I3" s="242"/>
      <c r="J3" s="242"/>
      <c r="K3" s="242"/>
      <c r="L3" s="242"/>
      <c r="M3" s="242"/>
      <c r="N3" s="242"/>
      <c r="O3" s="242"/>
      <c r="P3" s="242"/>
      <c r="Q3" s="242"/>
      <c r="R3" s="242"/>
      <c r="S3" s="242"/>
      <c r="T3" s="242"/>
      <c r="U3" s="242"/>
      <c r="V3" s="242"/>
      <c r="W3" s="242"/>
    </row>
    <row r="4" spans="2:23">
      <c r="B4" s="198" t="s">
        <v>3</v>
      </c>
      <c r="C4" s="324"/>
      <c r="D4" s="450"/>
      <c r="E4" s="324"/>
      <c r="F4" s="324"/>
      <c r="G4" s="324"/>
      <c r="H4" s="324"/>
      <c r="I4" s="324"/>
      <c r="J4" s="324"/>
      <c r="K4" s="324"/>
      <c r="L4" s="324"/>
      <c r="M4" s="324"/>
      <c r="N4" s="324"/>
      <c r="O4" s="324"/>
      <c r="P4" s="324"/>
      <c r="Q4" s="324"/>
      <c r="R4" s="324"/>
      <c r="S4" s="324"/>
      <c r="T4" s="324"/>
      <c r="U4" s="324"/>
      <c r="V4" s="324"/>
      <c r="W4" s="324"/>
    </row>
    <row r="5" spans="2:23">
      <c r="B5" s="324"/>
      <c r="C5" s="324"/>
      <c r="D5" s="324"/>
      <c r="E5" s="324"/>
      <c r="F5" s="324"/>
      <c r="G5" s="324"/>
      <c r="H5" s="324"/>
      <c r="I5" s="324"/>
      <c r="J5" s="324"/>
      <c r="K5" s="324"/>
      <c r="L5" s="324"/>
      <c r="M5" s="324"/>
      <c r="N5" s="324"/>
      <c r="O5" s="324"/>
      <c r="P5" s="324"/>
      <c r="Q5" s="324"/>
      <c r="R5" s="324"/>
      <c r="S5" s="324"/>
      <c r="T5" s="324"/>
      <c r="U5" s="324"/>
      <c r="V5" s="324"/>
      <c r="W5" s="324"/>
    </row>
    <row r="6" spans="2:23">
      <c r="B6" s="313"/>
      <c r="C6" s="314">
        <f t="shared" ref="C6:H6" si="0">D6-1</f>
        <v>2006</v>
      </c>
      <c r="D6" s="314">
        <f t="shared" si="0"/>
        <v>2007</v>
      </c>
      <c r="E6" s="314">
        <f t="shared" si="0"/>
        <v>2008</v>
      </c>
      <c r="F6" s="314">
        <f t="shared" si="0"/>
        <v>2009</v>
      </c>
      <c r="G6" s="314">
        <f t="shared" si="0"/>
        <v>2010</v>
      </c>
      <c r="H6" s="314">
        <f t="shared" si="0"/>
        <v>2011</v>
      </c>
      <c r="I6" s="315">
        <f>CF!C6</f>
        <v>2012</v>
      </c>
      <c r="J6" s="314">
        <f>I6+1</f>
        <v>2013</v>
      </c>
      <c r="K6" s="314">
        <f>J6+1</f>
        <v>2014</v>
      </c>
      <c r="L6" s="314">
        <f>K6+1</f>
        <v>2015</v>
      </c>
      <c r="M6" s="314">
        <f>L6+1</f>
        <v>2016</v>
      </c>
      <c r="N6" s="316">
        <f>M6+1</f>
        <v>2017</v>
      </c>
      <c r="O6" s="324"/>
      <c r="P6" s="324"/>
      <c r="Q6" s="324"/>
      <c r="R6" s="324"/>
      <c r="S6" s="324"/>
      <c r="T6" s="324"/>
      <c r="U6" s="324"/>
      <c r="V6" s="324"/>
      <c r="W6" s="324"/>
    </row>
    <row r="7" spans="2:23">
      <c r="B7" s="119" t="s">
        <v>48</v>
      </c>
      <c r="C7" s="373">
        <v>0.41</v>
      </c>
      <c r="D7" s="373">
        <v>0.28999999999999998</v>
      </c>
      <c r="E7" s="373">
        <v>0.36</v>
      </c>
      <c r="F7" s="373">
        <v>0.39</v>
      </c>
      <c r="G7" s="373">
        <v>0.45</v>
      </c>
      <c r="H7" s="373">
        <v>0.55000000000000004</v>
      </c>
      <c r="I7" s="335">
        <f>IS!C23</f>
        <v>0.75</v>
      </c>
      <c r="J7" s="335">
        <f>IS!D23</f>
        <v>0.77</v>
      </c>
      <c r="K7" s="335">
        <f>IS!E23</f>
        <v>0.93</v>
      </c>
      <c r="L7" s="335">
        <f>IS!F23</f>
        <v>0.95</v>
      </c>
      <c r="M7" s="335">
        <f>IS!G23</f>
        <v>1.07</v>
      </c>
      <c r="N7" s="335">
        <f>DCF!L30</f>
        <v>1.4004002470190986</v>
      </c>
      <c r="O7" s="324"/>
      <c r="P7" s="324"/>
      <c r="Q7" s="324"/>
      <c r="R7" s="324"/>
      <c r="S7" s="324"/>
      <c r="T7" s="324"/>
      <c r="U7" s="324"/>
      <c r="V7" s="324"/>
      <c r="W7" s="324"/>
    </row>
    <row r="8" spans="2:23">
      <c r="B8" s="119" t="s">
        <v>49</v>
      </c>
      <c r="C8" s="374">
        <v>32.270000000000003</v>
      </c>
      <c r="D8" s="374">
        <v>24.58</v>
      </c>
      <c r="E8" s="374">
        <v>24.36</v>
      </c>
      <c r="F8" s="374">
        <v>31.43</v>
      </c>
      <c r="G8" s="374">
        <v>48.45</v>
      </c>
      <c r="H8" s="374">
        <v>52.72</v>
      </c>
      <c r="I8" s="374">
        <v>61.95</v>
      </c>
      <c r="J8" s="374">
        <v>56.9</v>
      </c>
      <c r="K8" s="374">
        <v>71.09</v>
      </c>
      <c r="L8" s="374">
        <v>83.65</v>
      </c>
      <c r="M8" s="374">
        <v>82.91</v>
      </c>
      <c r="N8" s="337"/>
      <c r="O8" s="324"/>
      <c r="P8" s="324"/>
      <c r="Q8" s="324"/>
      <c r="R8" s="324"/>
      <c r="S8" s="324"/>
      <c r="T8" s="324"/>
      <c r="U8" s="324"/>
      <c r="V8" s="324"/>
      <c r="W8" s="324"/>
    </row>
    <row r="9" spans="2:23">
      <c r="B9" s="119" t="s">
        <v>50</v>
      </c>
      <c r="C9" s="374">
        <v>14.83</v>
      </c>
      <c r="D9" s="374">
        <v>18.260000000000002</v>
      </c>
      <c r="E9" s="374">
        <v>7.89</v>
      </c>
      <c r="F9" s="374">
        <v>13.2</v>
      </c>
      <c r="G9" s="374">
        <v>27</v>
      </c>
      <c r="H9" s="374">
        <v>31.87</v>
      </c>
      <c r="I9" s="374">
        <v>41.65</v>
      </c>
      <c r="J9" s="374">
        <v>42.35</v>
      </c>
      <c r="K9" s="374">
        <v>48.19</v>
      </c>
      <c r="L9" s="374">
        <v>63.79</v>
      </c>
      <c r="M9" s="374">
        <v>60.93</v>
      </c>
      <c r="N9" s="337"/>
      <c r="O9" s="324"/>
      <c r="P9" s="324"/>
      <c r="Q9" s="324"/>
      <c r="R9" s="324"/>
      <c r="S9" s="324"/>
      <c r="T9" s="324"/>
      <c r="U9" s="324"/>
      <c r="V9" s="324"/>
      <c r="W9" s="324"/>
    </row>
    <row r="10" spans="2:23">
      <c r="B10" s="259"/>
      <c r="C10" s="337"/>
      <c r="D10" s="337"/>
      <c r="E10" s="337"/>
      <c r="F10" s="337"/>
      <c r="G10" s="337"/>
      <c r="H10" s="337"/>
      <c r="I10" s="337"/>
      <c r="J10" s="337"/>
      <c r="K10" s="337"/>
      <c r="L10" s="337"/>
      <c r="M10" s="337"/>
      <c r="N10" s="337"/>
      <c r="O10" s="324"/>
      <c r="P10" s="324"/>
      <c r="Q10" s="324"/>
      <c r="R10" s="324"/>
      <c r="S10" s="324"/>
      <c r="T10" s="324"/>
      <c r="U10" s="324"/>
      <c r="V10" s="324"/>
      <c r="W10" s="324"/>
    </row>
    <row r="11" spans="2:23">
      <c r="B11" s="119" t="s">
        <v>51</v>
      </c>
      <c r="C11" s="334">
        <f>C8/C7</f>
        <v>78.707317073170742</v>
      </c>
      <c r="D11" s="334">
        <f t="shared" ref="D11:M11" si="1">D8/D7</f>
        <v>84.758620689655174</v>
      </c>
      <c r="E11" s="334">
        <f t="shared" si="1"/>
        <v>67.666666666666671</v>
      </c>
      <c r="F11" s="334">
        <f t="shared" si="1"/>
        <v>80.589743589743591</v>
      </c>
      <c r="G11" s="334">
        <f t="shared" si="1"/>
        <v>107.66666666666667</v>
      </c>
      <c r="H11" s="334">
        <f t="shared" si="1"/>
        <v>95.854545454545445</v>
      </c>
      <c r="I11" s="334">
        <f t="shared" si="1"/>
        <v>82.600000000000009</v>
      </c>
      <c r="J11" s="334">
        <f t="shared" si="1"/>
        <v>73.896103896103895</v>
      </c>
      <c r="K11" s="334">
        <f t="shared" si="1"/>
        <v>76.44086021505376</v>
      </c>
      <c r="L11" s="334">
        <f>L8/L7</f>
        <v>88.052631578947384</v>
      </c>
      <c r="M11" s="334">
        <f t="shared" si="1"/>
        <v>77.485981308411212</v>
      </c>
      <c r="N11" s="337"/>
      <c r="O11" s="324"/>
      <c r="P11" s="324"/>
      <c r="Q11" s="324"/>
      <c r="R11" s="324"/>
      <c r="S11" s="324"/>
      <c r="T11" s="324"/>
      <c r="U11" s="324"/>
      <c r="V11" s="324"/>
      <c r="W11" s="324"/>
    </row>
    <row r="12" spans="2:23">
      <c r="B12" s="119" t="s">
        <v>52</v>
      </c>
      <c r="C12" s="334">
        <f>C9/C7</f>
        <v>36.170731707317074</v>
      </c>
      <c r="D12" s="334">
        <f t="shared" ref="D12:M12" si="2">D9/D7</f>
        <v>62.965517241379317</v>
      </c>
      <c r="E12" s="334">
        <f t="shared" si="2"/>
        <v>21.916666666666668</v>
      </c>
      <c r="F12" s="334">
        <f t="shared" si="2"/>
        <v>33.846153846153847</v>
      </c>
      <c r="G12" s="334">
        <f t="shared" si="2"/>
        <v>60</v>
      </c>
      <c r="H12" s="334">
        <f t="shared" si="2"/>
        <v>57.945454545454545</v>
      </c>
      <c r="I12" s="334">
        <f t="shared" si="2"/>
        <v>55.533333333333331</v>
      </c>
      <c r="J12" s="334">
        <f t="shared" si="2"/>
        <v>55</v>
      </c>
      <c r="K12" s="334">
        <f t="shared" si="2"/>
        <v>51.817204301075265</v>
      </c>
      <c r="L12" s="334">
        <f t="shared" si="2"/>
        <v>67.147368421052633</v>
      </c>
      <c r="M12" s="334">
        <f t="shared" si="2"/>
        <v>56.943925233644855</v>
      </c>
      <c r="N12" s="337"/>
      <c r="O12" s="324"/>
      <c r="P12" s="324"/>
      <c r="Q12" s="324"/>
      <c r="R12" s="324"/>
      <c r="S12" s="324"/>
      <c r="T12" s="324"/>
      <c r="U12" s="324"/>
      <c r="V12" s="324"/>
      <c r="W12" s="324"/>
    </row>
    <row r="13" spans="2:23">
      <c r="B13" s="304"/>
      <c r="C13" s="491" t="s">
        <v>53</v>
      </c>
      <c r="D13" s="492"/>
      <c r="E13" s="492"/>
      <c r="F13" s="492"/>
      <c r="G13" s="493" t="s">
        <v>54</v>
      </c>
      <c r="H13" s="492"/>
      <c r="I13" s="492"/>
      <c r="J13" s="494"/>
      <c r="K13" s="491" t="s">
        <v>55</v>
      </c>
      <c r="L13" s="492"/>
      <c r="M13" s="492"/>
      <c r="N13" s="492"/>
      <c r="O13" s="324"/>
      <c r="P13" s="324"/>
      <c r="Q13" s="324"/>
      <c r="R13" s="324"/>
      <c r="S13" s="324"/>
      <c r="T13" s="324"/>
      <c r="U13" s="324"/>
      <c r="V13" s="324"/>
      <c r="W13" s="324"/>
    </row>
    <row r="14" spans="2:23">
      <c r="B14" s="265"/>
      <c r="C14" s="149" t="s">
        <v>56</v>
      </c>
      <c r="D14" s="149" t="s">
        <v>57</v>
      </c>
      <c r="E14" s="149" t="s">
        <v>58</v>
      </c>
      <c r="F14" s="149" t="s">
        <v>59</v>
      </c>
      <c r="G14" s="150" t="s">
        <v>56</v>
      </c>
      <c r="H14" s="149" t="s">
        <v>57</v>
      </c>
      <c r="I14" s="149" t="s">
        <v>60</v>
      </c>
      <c r="J14" s="151" t="s">
        <v>59</v>
      </c>
      <c r="K14" s="149" t="s">
        <v>56</v>
      </c>
      <c r="L14" s="149" t="s">
        <v>57</v>
      </c>
      <c r="M14" s="149" t="s">
        <v>60</v>
      </c>
      <c r="N14" s="149" t="s">
        <v>59</v>
      </c>
      <c r="O14" s="324"/>
      <c r="P14" s="324"/>
      <c r="Q14" s="324"/>
      <c r="R14" s="324"/>
      <c r="S14" s="324"/>
      <c r="T14" s="324"/>
      <c r="U14" s="324"/>
      <c r="V14" s="324"/>
      <c r="W14" s="324"/>
    </row>
    <row r="15" spans="2:23">
      <c r="B15" s="152" t="s">
        <v>61</v>
      </c>
      <c r="C15" s="334">
        <f>AVERAGE(K11:M11)</f>
        <v>80.65982436747079</v>
      </c>
      <c r="D15" s="334">
        <f>MEDIAN(K11:M11)</f>
        <v>77.485981308411212</v>
      </c>
      <c r="E15" s="334">
        <f>MAX(K11:M11)</f>
        <v>88.052631578947384</v>
      </c>
      <c r="F15" s="334">
        <f>MIN(K11:M11)</f>
        <v>76.44086021505376</v>
      </c>
      <c r="G15" s="351">
        <f>AVERAGE(I11:M11)</f>
        <v>79.695115399703255</v>
      </c>
      <c r="H15" s="334">
        <f>MEDIAN(I11:M11)</f>
        <v>77.485981308411212</v>
      </c>
      <c r="I15" s="334">
        <f>MAX(I11:M11)</f>
        <v>88.052631578947384</v>
      </c>
      <c r="J15" s="352">
        <f>MIN(I11:M11)</f>
        <v>73.896103896103895</v>
      </c>
      <c r="K15" s="334">
        <f>AVERAGE(G11:M11)</f>
        <v>85.999541302818329</v>
      </c>
      <c r="L15" s="334">
        <f>MEDIAN(G11:M11)</f>
        <v>82.600000000000009</v>
      </c>
      <c r="M15" s="334">
        <f>MAX(G11:M11)</f>
        <v>107.66666666666667</v>
      </c>
      <c r="N15" s="334">
        <f>MIN(G11:M11)</f>
        <v>73.896103896103895</v>
      </c>
      <c r="O15" s="324"/>
      <c r="P15" s="324"/>
      <c r="Q15" s="324"/>
      <c r="R15" s="324"/>
      <c r="S15" s="324"/>
      <c r="T15" s="324"/>
      <c r="U15" s="324"/>
      <c r="V15" s="324"/>
      <c r="W15" s="324"/>
    </row>
    <row r="16" spans="2:23">
      <c r="B16" s="152" t="s">
        <v>62</v>
      </c>
      <c r="C16" s="334">
        <f>AVERAGE(K12:M12)</f>
        <v>58.636165985257584</v>
      </c>
      <c r="D16" s="334">
        <f>MEDIAN(K12:M12)</f>
        <v>56.943925233644855</v>
      </c>
      <c r="E16" s="334">
        <f>MAX(K12:M12)</f>
        <v>67.147368421052633</v>
      </c>
      <c r="F16" s="334">
        <f>MIN(K12:M12)</f>
        <v>51.817204301075265</v>
      </c>
      <c r="G16" s="351">
        <f>AVERAGE(I12:M12)</f>
        <v>57.28836625782121</v>
      </c>
      <c r="H16" s="334">
        <f>MEDIAN(I12:M12)</f>
        <v>55.533333333333331</v>
      </c>
      <c r="I16" s="334">
        <f>MAX(I12:M12)</f>
        <v>67.147368421052633</v>
      </c>
      <c r="J16" s="352">
        <f>MIN(I12:M12)</f>
        <v>51.817204301075265</v>
      </c>
      <c r="K16" s="334">
        <f>AVERAGE(G12:M12)</f>
        <v>57.769612262080088</v>
      </c>
      <c r="L16" s="334">
        <f>MEDIAN(G12:M12)</f>
        <v>56.943925233644855</v>
      </c>
      <c r="M16" s="334">
        <f>MAX(G12:M12)</f>
        <v>67.147368421052633</v>
      </c>
      <c r="N16" s="334">
        <f>MIN(G12:M12)</f>
        <v>51.817204301075265</v>
      </c>
      <c r="O16" s="324"/>
      <c r="P16" s="324"/>
      <c r="Q16" s="324"/>
      <c r="R16" s="324"/>
      <c r="S16" s="324"/>
      <c r="T16" s="324"/>
      <c r="U16" s="324"/>
      <c r="V16" s="324"/>
      <c r="W16" s="324"/>
    </row>
    <row r="17" spans="2:23">
      <c r="B17" s="152" t="s">
        <v>56</v>
      </c>
      <c r="C17" s="334">
        <f>AVERAGE(C15:C16)</f>
        <v>69.647995176364191</v>
      </c>
      <c r="D17" s="334">
        <f>AVERAGE(D15:D16)</f>
        <v>67.214953271028037</v>
      </c>
      <c r="E17" s="337"/>
      <c r="F17" s="337"/>
      <c r="G17" s="351">
        <f>AVERAGE(G15:G16)</f>
        <v>68.491740828762232</v>
      </c>
      <c r="H17" s="334">
        <f>AVERAGE(H15:H16)</f>
        <v>66.509657320872265</v>
      </c>
      <c r="I17" s="337"/>
      <c r="J17" s="353"/>
      <c r="K17" s="334">
        <f>AVERAGE(K15:K16)</f>
        <v>71.884576782449216</v>
      </c>
      <c r="L17" s="334">
        <f>AVERAGE(L15:L16)</f>
        <v>69.771962616822435</v>
      </c>
      <c r="M17" s="337"/>
      <c r="N17" s="337"/>
      <c r="O17" s="324"/>
      <c r="P17" s="324"/>
      <c r="Q17" s="324"/>
      <c r="R17" s="324"/>
      <c r="S17" s="324"/>
      <c r="T17" s="324"/>
      <c r="U17" s="324"/>
      <c r="V17" s="324"/>
      <c r="W17" s="324"/>
    </row>
    <row r="18" spans="2:23">
      <c r="B18" s="153" t="s">
        <v>0</v>
      </c>
      <c r="C18" s="334">
        <f>C17*N7</f>
        <v>97.535069649365397</v>
      </c>
      <c r="D18" s="334">
        <f>D17*N7</f>
        <v>94.127837164124827</v>
      </c>
      <c r="E18" s="337"/>
      <c r="F18" s="337"/>
      <c r="G18" s="351">
        <f>G17*N7</f>
        <v>95.915850775366707</v>
      </c>
      <c r="H18" s="334">
        <f>H17*N7</f>
        <v>93.140140541305115</v>
      </c>
      <c r="I18" s="337"/>
      <c r="J18" s="353"/>
      <c r="K18" s="334">
        <f>K17*N7</f>
        <v>100.66717908300524</v>
      </c>
      <c r="L18" s="334">
        <f>L17*N7</f>
        <v>97.708673683605454</v>
      </c>
      <c r="M18" s="337"/>
      <c r="N18" s="337"/>
      <c r="O18" s="324"/>
      <c r="P18" s="324"/>
      <c r="Q18" s="324"/>
      <c r="R18" s="324"/>
      <c r="S18" s="324"/>
      <c r="T18" s="324"/>
      <c r="U18" s="324"/>
      <c r="V18" s="324"/>
      <c r="W18" s="324"/>
    </row>
    <row r="19" spans="2:23">
      <c r="B19" s="259"/>
      <c r="C19" s="337"/>
      <c r="D19" s="337"/>
      <c r="E19" s="337"/>
      <c r="F19" s="337"/>
      <c r="G19" s="337"/>
      <c r="H19" s="337"/>
      <c r="I19" s="337"/>
      <c r="J19" s="337"/>
      <c r="K19" s="337"/>
      <c r="L19" s="337"/>
      <c r="M19" s="337"/>
      <c r="N19" s="337"/>
      <c r="O19" s="324"/>
      <c r="P19" s="324"/>
      <c r="Q19" s="324"/>
      <c r="R19" s="324"/>
      <c r="S19" s="324"/>
      <c r="T19" s="324"/>
      <c r="U19" s="324"/>
      <c r="V19" s="324"/>
      <c r="W19" s="324"/>
    </row>
    <row r="20" spans="2:23">
      <c r="B20" s="154" t="s">
        <v>64</v>
      </c>
      <c r="C20" s="334">
        <f>AVERAGE(C18,D18,G18,H18,K18,L18)</f>
        <v>96.515791816128797</v>
      </c>
      <c r="D20" s="337"/>
      <c r="E20" s="337"/>
      <c r="F20" s="337"/>
      <c r="G20" s="337"/>
      <c r="H20" s="337"/>
      <c r="I20" s="337"/>
      <c r="J20" s="337"/>
      <c r="K20" s="337"/>
      <c r="L20" s="337"/>
      <c r="M20" s="337"/>
      <c r="N20" s="337"/>
      <c r="O20" s="324"/>
      <c r="P20" s="324"/>
      <c r="Q20" s="324"/>
      <c r="R20" s="324"/>
      <c r="S20" s="324"/>
      <c r="T20" s="324"/>
      <c r="U20" s="324"/>
      <c r="V20" s="324"/>
      <c r="W20" s="324"/>
    </row>
    <row r="21" spans="2:23">
      <c r="B21" s="155" t="s">
        <v>63</v>
      </c>
      <c r="C21" s="348">
        <f>C20/(1+DCF!J53)^'Comparable - changed weights'!Q8</f>
        <v>94.056300656073148</v>
      </c>
      <c r="D21" s="337"/>
      <c r="E21" s="337"/>
      <c r="F21" s="337"/>
      <c r="G21" s="337"/>
      <c r="H21" s="337"/>
      <c r="I21" s="337"/>
      <c r="J21" s="337"/>
      <c r="K21" s="337"/>
      <c r="L21" s="337"/>
      <c r="M21" s="337"/>
      <c r="N21" s="337"/>
      <c r="O21" s="324"/>
      <c r="P21" s="324"/>
      <c r="Q21" s="324"/>
      <c r="R21" s="324"/>
      <c r="S21" s="324"/>
      <c r="T21" s="324"/>
      <c r="U21" s="324"/>
      <c r="V21" s="324"/>
      <c r="W21" s="324"/>
    </row>
    <row r="22" spans="2:23">
      <c r="B22" s="324"/>
      <c r="C22" s="366"/>
      <c r="D22" s="366"/>
      <c r="E22" s="366"/>
      <c r="F22" s="366"/>
      <c r="G22" s="366"/>
      <c r="H22" s="366"/>
      <c r="I22" s="366"/>
      <c r="J22" s="366"/>
      <c r="K22" s="366"/>
      <c r="L22" s="366"/>
      <c r="M22" s="366"/>
      <c r="N22" s="366"/>
      <c r="O22" s="324"/>
      <c r="P22" s="324"/>
      <c r="Q22" s="324"/>
      <c r="R22" s="324"/>
      <c r="S22" s="324"/>
      <c r="T22" s="324"/>
      <c r="U22" s="324"/>
      <c r="V22" s="324"/>
      <c r="W22" s="324"/>
    </row>
    <row r="23" spans="2:23">
      <c r="B23" s="324"/>
      <c r="C23" s="366"/>
      <c r="D23" s="366"/>
      <c r="E23" s="366"/>
      <c r="F23" s="366"/>
      <c r="G23" s="366"/>
      <c r="H23" s="366"/>
      <c r="I23" s="366"/>
      <c r="J23" s="366"/>
      <c r="K23" s="366"/>
      <c r="L23" s="366"/>
      <c r="M23" s="366"/>
      <c r="N23" s="366"/>
      <c r="O23" s="324"/>
      <c r="P23" s="324"/>
      <c r="Q23" s="324"/>
      <c r="R23" s="324"/>
      <c r="S23" s="324"/>
      <c r="T23" s="324"/>
      <c r="U23" s="324"/>
      <c r="V23" s="324"/>
      <c r="W23" s="324"/>
    </row>
  </sheetData>
  <mergeCells count="3">
    <mergeCell ref="C13:F13"/>
    <mergeCell ref="G13:J13"/>
    <mergeCell ref="K13:N13"/>
  </mergeCells>
  <conditionalFormatting sqref="B7:N12">
    <cfRule type="expression" dxfId="20" priority="2">
      <formula>MOD(ROW(),2)=0</formula>
    </cfRule>
  </conditionalFormatting>
  <conditionalFormatting sqref="B15:N18">
    <cfRule type="expression" dxfId="19" priority="1">
      <formula>MOD(ROW(),2)=0</formula>
    </cfRule>
  </conditionalFormatting>
  <pageMargins left="0.7" right="0.7" top="0.75" bottom="0.75" header="0.3" footer="0.3"/>
  <pageSetup fitToHeight="0"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5" tint="0.79998168889431442"/>
  </sheetPr>
  <dimension ref="B1:S32"/>
  <sheetViews>
    <sheetView showGridLines="0" zoomScale="80" zoomScaleNormal="80" workbookViewId="0">
      <selection sqref="A1:XFD1048576"/>
    </sheetView>
  </sheetViews>
  <sheetFormatPr defaultRowHeight="15"/>
  <cols>
    <col min="1" max="1" width="1.7109375" style="1" customWidth="1"/>
    <col min="2" max="2" width="25.85546875" style="1" bestFit="1" customWidth="1"/>
    <col min="3" max="3" width="20.85546875" style="1" bestFit="1" customWidth="1"/>
    <col min="4" max="4" width="22.5703125" style="1" bestFit="1" customWidth="1"/>
    <col min="5" max="5" width="26.7109375" style="1" bestFit="1" customWidth="1"/>
    <col min="6" max="6" width="26.140625" style="1" bestFit="1" customWidth="1"/>
    <col min="7" max="7" width="15.5703125" style="1" bestFit="1" customWidth="1"/>
    <col min="8" max="8" width="19.85546875" style="1" bestFit="1" customWidth="1"/>
    <col min="9" max="9" width="13.140625" style="1" bestFit="1" customWidth="1"/>
    <col min="10" max="10" width="9.85546875" style="1" bestFit="1" customWidth="1"/>
    <col min="11" max="11" width="17" style="1" bestFit="1" customWidth="1"/>
    <col min="12" max="12" width="11.7109375" style="1" customWidth="1"/>
    <col min="13" max="13" width="11.42578125" style="1" bestFit="1" customWidth="1"/>
    <col min="14" max="14" width="8.42578125" style="1" bestFit="1" customWidth="1"/>
    <col min="15" max="15" width="1.7109375" style="1" customWidth="1"/>
    <col min="16" max="16" width="24.42578125" style="1" customWidth="1"/>
    <col min="17" max="17" width="12.28515625" style="1" bestFit="1" customWidth="1"/>
    <col min="18" max="18" width="9.140625" style="1"/>
    <col min="19" max="19" width="11.5703125" style="1" bestFit="1" customWidth="1"/>
    <col min="20" max="16384" width="9.140625" style="1"/>
  </cols>
  <sheetData>
    <row r="1" spans="2:19" ht="23.25">
      <c r="B1" s="268" t="str">
        <f>Valuation!B1</f>
        <v>RHT</v>
      </c>
      <c r="C1" s="480"/>
      <c r="D1" s="480"/>
      <c r="E1" s="480"/>
      <c r="F1" s="480"/>
      <c r="G1" s="480"/>
      <c r="H1" s="480"/>
      <c r="I1" s="480"/>
      <c r="J1" s="480"/>
      <c r="K1" s="480"/>
      <c r="L1" s="324"/>
      <c r="M1" s="324"/>
      <c r="N1" s="324"/>
      <c r="O1" s="324"/>
      <c r="P1" s="324"/>
      <c r="Q1" s="324"/>
      <c r="R1" s="324"/>
      <c r="S1" s="324"/>
    </row>
    <row r="2" spans="2:19">
      <c r="B2" s="269" t="str">
        <f>Valuation!B2</f>
        <v>Red Hat .Inc</v>
      </c>
      <c r="C2" s="324"/>
      <c r="D2" s="324"/>
      <c r="E2" s="324"/>
      <c r="F2" s="324"/>
      <c r="G2" s="324"/>
      <c r="H2" s="480"/>
      <c r="I2" s="324"/>
      <c r="J2" s="324"/>
      <c r="K2" s="324"/>
      <c r="L2" s="324"/>
      <c r="M2" s="324"/>
      <c r="N2" s="324"/>
      <c r="O2" s="324"/>
      <c r="P2" s="324"/>
      <c r="Q2" s="324"/>
      <c r="R2" s="324"/>
      <c r="S2" s="324"/>
    </row>
    <row r="3" spans="2:19" ht="3" customHeight="1">
      <c r="B3" s="242"/>
      <c r="C3" s="242"/>
      <c r="D3" s="242"/>
      <c r="E3" s="242"/>
      <c r="F3" s="242"/>
      <c r="G3" s="242"/>
      <c r="H3" s="242"/>
      <c r="I3" s="242"/>
      <c r="J3" s="242"/>
      <c r="K3" s="242"/>
      <c r="L3" s="242"/>
      <c r="M3" s="242"/>
      <c r="N3" s="242"/>
      <c r="O3" s="242"/>
      <c r="P3" s="242"/>
      <c r="Q3" s="242"/>
      <c r="R3" s="324"/>
      <c r="S3" s="324"/>
    </row>
    <row r="4" spans="2:19">
      <c r="B4" s="198" t="s">
        <v>2</v>
      </c>
      <c r="C4" s="324"/>
      <c r="D4" s="324"/>
      <c r="E4" s="324"/>
      <c r="F4" s="324"/>
      <c r="G4" s="324"/>
      <c r="H4" s="480"/>
      <c r="I4" s="324"/>
      <c r="J4" s="324"/>
      <c r="K4" s="324"/>
      <c r="L4" s="324"/>
      <c r="M4" s="324"/>
      <c r="N4" s="324"/>
      <c r="O4" s="324"/>
      <c r="P4" s="324"/>
      <c r="Q4" s="324"/>
      <c r="R4" s="324"/>
      <c r="S4" s="324"/>
    </row>
    <row r="5" spans="2:19">
      <c r="B5" s="248"/>
      <c r="C5" s="248"/>
      <c r="D5" s="248"/>
      <c r="E5" s="324"/>
      <c r="F5" s="324"/>
      <c r="G5" s="324"/>
      <c r="H5" s="324"/>
      <c r="I5" s="324"/>
      <c r="J5" s="248"/>
      <c r="K5" s="248"/>
      <c r="L5" s="248"/>
      <c r="M5" s="248"/>
      <c r="N5" s="248"/>
      <c r="O5" s="248"/>
      <c r="P5" s="248"/>
      <c r="Q5" s="248"/>
      <c r="R5" s="324"/>
      <c r="S5" s="248"/>
    </row>
    <row r="6" spans="2:19">
      <c r="B6" s="264"/>
      <c r="C6" s="70" t="str">
        <f>B1</f>
        <v>RHT</v>
      </c>
      <c r="D6" s="478" t="s">
        <v>365</v>
      </c>
      <c r="E6" s="478" t="s">
        <v>366</v>
      </c>
      <c r="F6" s="478" t="s">
        <v>367</v>
      </c>
      <c r="G6" s="478" t="s">
        <v>368</v>
      </c>
      <c r="H6" s="478" t="s">
        <v>369</v>
      </c>
      <c r="I6" s="478" t="s">
        <v>370</v>
      </c>
      <c r="J6" s="479" t="s">
        <v>212</v>
      </c>
      <c r="K6" s="497" t="str">
        <f>B1&amp;" "&amp;"Multiple"</f>
        <v>RHT Multiple</v>
      </c>
      <c r="L6" s="499" t="s">
        <v>0</v>
      </c>
      <c r="M6" s="479" t="s">
        <v>213</v>
      </c>
      <c r="N6" s="499" t="s">
        <v>105</v>
      </c>
      <c r="O6" s="248"/>
      <c r="P6" s="495" t="s">
        <v>186</v>
      </c>
      <c r="Q6" s="496"/>
      <c r="R6" s="324"/>
      <c r="S6" s="248"/>
    </row>
    <row r="7" spans="2:19">
      <c r="B7" s="264"/>
      <c r="C7" s="70" t="str">
        <f>B2</f>
        <v>Red Hat .Inc</v>
      </c>
      <c r="D7" s="478" t="s">
        <v>361</v>
      </c>
      <c r="E7" s="478" t="s">
        <v>360</v>
      </c>
      <c r="F7" s="478" t="s">
        <v>359</v>
      </c>
      <c r="G7" s="478" t="s">
        <v>358</v>
      </c>
      <c r="H7" s="478" t="s">
        <v>356</v>
      </c>
      <c r="I7" s="478" t="s">
        <v>371</v>
      </c>
      <c r="J7" s="479" t="s">
        <v>56</v>
      </c>
      <c r="K7" s="498"/>
      <c r="L7" s="498"/>
      <c r="M7" s="479" t="s">
        <v>157</v>
      </c>
      <c r="N7" s="498"/>
      <c r="O7" s="248"/>
      <c r="P7" s="496"/>
      <c r="Q7" s="496"/>
      <c r="R7" s="324"/>
      <c r="S7" s="248"/>
    </row>
    <row r="8" spans="2:19">
      <c r="B8" s="122" t="s">
        <v>194</v>
      </c>
      <c r="C8" s="373">
        <v>14.1</v>
      </c>
      <c r="D8" s="373">
        <v>36.49</v>
      </c>
      <c r="E8" s="373">
        <v>15.02</v>
      </c>
      <c r="F8" s="373">
        <v>17.100000000000001</v>
      </c>
      <c r="G8" s="373">
        <v>4.12</v>
      </c>
      <c r="H8" s="373">
        <v>164.5</v>
      </c>
      <c r="I8" s="373">
        <v>11.9</v>
      </c>
      <c r="J8" s="337"/>
      <c r="K8" s="60"/>
      <c r="L8" s="60"/>
      <c r="M8" s="60"/>
      <c r="N8" s="61"/>
      <c r="O8" s="248"/>
      <c r="P8" s="122" t="s">
        <v>45</v>
      </c>
      <c r="Q8" s="335">
        <f>DCF!L6</f>
        <v>0.25</v>
      </c>
      <c r="R8" s="324"/>
      <c r="S8" s="248"/>
    </row>
    <row r="9" spans="2:19">
      <c r="B9" s="249"/>
      <c r="C9" s="334">
        <f>Q12*Valuation!C12/1000</f>
        <v>15089.5332</v>
      </c>
      <c r="D9" s="337"/>
      <c r="E9" s="337"/>
      <c r="F9" s="337"/>
      <c r="G9" s="337"/>
      <c r="H9" s="337"/>
      <c r="I9" s="337"/>
      <c r="J9" s="337"/>
      <c r="K9" s="261"/>
      <c r="L9" s="261"/>
      <c r="M9" s="261"/>
      <c r="N9" s="37"/>
      <c r="O9" s="248"/>
      <c r="P9" s="156" t="s">
        <v>378</v>
      </c>
      <c r="Q9" s="274">
        <f>DCF!L9</f>
        <v>2383241.2749999999</v>
      </c>
      <c r="R9" s="324"/>
      <c r="S9" s="14"/>
    </row>
    <row r="10" spans="2:19">
      <c r="B10" s="157" t="s">
        <v>193</v>
      </c>
      <c r="C10" s="105"/>
      <c r="D10" s="105"/>
      <c r="E10" s="105"/>
      <c r="F10" s="105"/>
      <c r="G10" s="105"/>
      <c r="H10" s="105"/>
      <c r="I10" s="105"/>
      <c r="J10" s="105"/>
      <c r="K10" s="158" t="s">
        <v>106</v>
      </c>
      <c r="L10" s="361"/>
      <c r="M10" s="361"/>
      <c r="N10" s="106"/>
      <c r="O10" s="248"/>
      <c r="P10" s="156" t="s">
        <v>377</v>
      </c>
      <c r="Q10" s="274">
        <f>DCF!L28</f>
        <v>255827.91792594298</v>
      </c>
      <c r="R10" s="324"/>
      <c r="S10" s="14"/>
    </row>
    <row r="11" spans="2:19">
      <c r="B11" s="159" t="s">
        <v>107</v>
      </c>
      <c r="C11" s="462">
        <v>65.790000000000006</v>
      </c>
      <c r="D11" s="462">
        <v>33.97</v>
      </c>
      <c r="E11" s="462">
        <v>-32.26</v>
      </c>
      <c r="F11" s="462">
        <v>-43.58</v>
      </c>
      <c r="G11" s="462">
        <v>-23.33</v>
      </c>
      <c r="H11" s="462">
        <v>19.05</v>
      </c>
      <c r="I11" s="462">
        <v>25.51</v>
      </c>
      <c r="J11" s="103">
        <f>SUMPRODUCT(D11:I11,D12:I12)</f>
        <v>28.125</v>
      </c>
      <c r="K11" s="335">
        <f>Q11</f>
        <v>1.4004002470190986</v>
      </c>
      <c r="L11" s="334">
        <f>K11*J11</f>
        <v>39.38625694741215</v>
      </c>
      <c r="M11" s="334">
        <f>L11/(1+$Q$16)^Q8</f>
        <v>38.382585434522461</v>
      </c>
      <c r="N11" s="457">
        <v>0.15</v>
      </c>
      <c r="O11" s="248"/>
      <c r="P11" s="156" t="s">
        <v>379</v>
      </c>
      <c r="Q11" s="463">
        <f>DCF!L30</f>
        <v>1.4004002470190986</v>
      </c>
      <c r="R11" s="324"/>
      <c r="S11" s="14"/>
    </row>
    <row r="12" spans="2:19">
      <c r="B12" s="161" t="s">
        <v>105</v>
      </c>
      <c r="C12" s="62"/>
      <c r="D12" s="457">
        <v>0.5</v>
      </c>
      <c r="E12" s="457">
        <v>0</v>
      </c>
      <c r="F12" s="457">
        <v>0</v>
      </c>
      <c r="G12" s="457">
        <v>0</v>
      </c>
      <c r="H12" s="457">
        <v>0.25</v>
      </c>
      <c r="I12" s="457">
        <v>0.25</v>
      </c>
      <c r="J12" s="41"/>
      <c r="K12" s="34"/>
      <c r="L12" s="261"/>
      <c r="M12" s="261"/>
      <c r="N12" s="37"/>
      <c r="O12" s="259"/>
      <c r="P12" s="156" t="s">
        <v>108</v>
      </c>
      <c r="Q12" s="463">
        <f>DCF!C53</f>
        <v>182682</v>
      </c>
      <c r="R12" s="324"/>
      <c r="S12" s="16"/>
    </row>
    <row r="13" spans="2:19">
      <c r="B13" s="249"/>
      <c r="C13" s="28"/>
      <c r="D13" s="28"/>
      <c r="E13" s="28"/>
      <c r="F13" s="28"/>
      <c r="G13" s="28"/>
      <c r="H13" s="28"/>
      <c r="I13" s="28"/>
      <c r="J13" s="41"/>
      <c r="K13" s="34"/>
      <c r="L13" s="261"/>
      <c r="M13" s="261"/>
      <c r="N13" s="37"/>
      <c r="O13" s="248"/>
      <c r="P13" s="156" t="s">
        <v>109</v>
      </c>
      <c r="Q13" s="274">
        <f>BS!G50</f>
        <v>1334432</v>
      </c>
      <c r="R13" s="324"/>
      <c r="S13" s="14"/>
    </row>
    <row r="14" spans="2:19">
      <c r="B14" s="157" t="s">
        <v>197</v>
      </c>
      <c r="C14" s="107"/>
      <c r="D14" s="107"/>
      <c r="E14" s="107"/>
      <c r="F14" s="107"/>
      <c r="G14" s="107"/>
      <c r="H14" s="107"/>
      <c r="I14" s="107"/>
      <c r="J14" s="108"/>
      <c r="K14" s="162" t="s">
        <v>111</v>
      </c>
      <c r="L14" s="361"/>
      <c r="M14" s="361"/>
      <c r="N14" s="106"/>
      <c r="O14" s="248"/>
      <c r="P14" s="156" t="s">
        <v>110</v>
      </c>
      <c r="Q14" s="455">
        <f>'DCF Growth Rates'!J118</f>
        <v>6.8294824838337792E-2</v>
      </c>
      <c r="R14" s="324"/>
      <c r="S14" s="17"/>
    </row>
    <row r="15" spans="2:19">
      <c r="B15" s="122" t="s">
        <v>112</v>
      </c>
      <c r="C15" s="462">
        <v>5.99</v>
      </c>
      <c r="D15" s="462">
        <v>5.15</v>
      </c>
      <c r="E15" s="462">
        <v>10.8</v>
      </c>
      <c r="F15" s="462">
        <v>56.91</v>
      </c>
      <c r="G15" s="462">
        <v>4.9800000000000004</v>
      </c>
      <c r="H15" s="462">
        <v>4.42</v>
      </c>
      <c r="I15" s="462">
        <v>3.48</v>
      </c>
      <c r="J15" s="103">
        <f>SUMPRODUCT(D15:I15,D16:I16)</f>
        <v>16.207999999999998</v>
      </c>
      <c r="K15" s="334">
        <f>Q9/Q12</f>
        <v>13.045846197217021</v>
      </c>
      <c r="L15" s="334">
        <f>K15*J15</f>
        <v>211.44707516449344</v>
      </c>
      <c r="M15" s="334">
        <f>L15/(1+$Q$16)^Q8</f>
        <v>206.05881483526733</v>
      </c>
      <c r="N15" s="457">
        <v>0.15</v>
      </c>
      <c r="O15" s="248"/>
      <c r="P15" s="156" t="s">
        <v>380</v>
      </c>
      <c r="Q15" s="274">
        <f>DCF!L19</f>
        <v>417823.30296599364</v>
      </c>
      <c r="R15" s="324"/>
      <c r="S15" s="14"/>
    </row>
    <row r="16" spans="2:19">
      <c r="B16" s="161" t="s">
        <v>105</v>
      </c>
      <c r="C16" s="62"/>
      <c r="D16" s="457">
        <v>0.2</v>
      </c>
      <c r="E16" s="457">
        <v>0.2</v>
      </c>
      <c r="F16" s="457">
        <v>0.2</v>
      </c>
      <c r="G16" s="457">
        <v>0.1</v>
      </c>
      <c r="H16" s="457">
        <v>0.1</v>
      </c>
      <c r="I16" s="457">
        <v>0.2</v>
      </c>
      <c r="J16" s="41"/>
      <c r="K16" s="34"/>
      <c r="L16" s="261"/>
      <c r="M16" s="261"/>
      <c r="N16" s="37"/>
      <c r="O16" s="248"/>
      <c r="P16" s="156" t="s">
        <v>43</v>
      </c>
      <c r="Q16" s="340">
        <f>DCF!J53</f>
        <v>0.10877120364572213</v>
      </c>
      <c r="R16" s="324"/>
      <c r="S16" s="18"/>
    </row>
    <row r="17" spans="2:19">
      <c r="B17" s="259"/>
      <c r="C17" s="28"/>
      <c r="D17" s="28"/>
      <c r="E17" s="28"/>
      <c r="F17" s="28"/>
      <c r="G17" s="28"/>
      <c r="H17" s="28"/>
      <c r="I17" s="28"/>
      <c r="J17" s="41"/>
      <c r="K17" s="34"/>
      <c r="L17" s="261"/>
      <c r="M17" s="261"/>
      <c r="N17" s="37"/>
      <c r="O17" s="248"/>
      <c r="P17" s="156" t="s">
        <v>4</v>
      </c>
      <c r="Q17" s="263">
        <f>DCF!C50</f>
        <v>916678</v>
      </c>
      <c r="R17" s="324"/>
      <c r="S17" s="19"/>
    </row>
    <row r="18" spans="2:19">
      <c r="B18" s="157" t="s">
        <v>196</v>
      </c>
      <c r="C18" s="107"/>
      <c r="D18" s="107"/>
      <c r="E18" s="107"/>
      <c r="F18" s="107"/>
      <c r="G18" s="107"/>
      <c r="H18" s="107"/>
      <c r="I18" s="107"/>
      <c r="J18" s="108"/>
      <c r="K18" s="162" t="s">
        <v>113</v>
      </c>
      <c r="L18" s="361"/>
      <c r="M18" s="361"/>
      <c r="N18" s="106"/>
      <c r="O18" s="248"/>
      <c r="P18" s="156" t="s">
        <v>5</v>
      </c>
      <c r="Q18" s="274">
        <f>BS!G37</f>
        <v>723942</v>
      </c>
      <c r="R18" s="324"/>
      <c r="S18" s="20"/>
    </row>
    <row r="19" spans="2:19">
      <c r="B19" s="122" t="s">
        <v>115</v>
      </c>
      <c r="C19" s="462">
        <v>10.65</v>
      </c>
      <c r="D19" s="462">
        <v>4.55</v>
      </c>
      <c r="E19" s="462">
        <v>41.44</v>
      </c>
      <c r="F19" s="462">
        <v>11.78</v>
      </c>
      <c r="G19" s="462">
        <v>5.37</v>
      </c>
      <c r="H19" s="462">
        <v>3.47</v>
      </c>
      <c r="I19" s="462">
        <v>5.05</v>
      </c>
      <c r="J19" s="103">
        <f>SUMPRODUCT(D19:I19,D20:I20)</f>
        <v>13.448</v>
      </c>
      <c r="K19" s="334">
        <f>Q13/Q12</f>
        <v>7.3046715056765308</v>
      </c>
      <c r="L19" s="334">
        <f>K19*J19</f>
        <v>98.233222408337994</v>
      </c>
      <c r="M19" s="335">
        <f>L19</f>
        <v>98.233222408337994</v>
      </c>
      <c r="N19" s="457">
        <v>0.4</v>
      </c>
      <c r="O19" s="248"/>
      <c r="P19" s="156" t="s">
        <v>114</v>
      </c>
      <c r="Q19" s="464">
        <v>0</v>
      </c>
      <c r="R19" s="324"/>
      <c r="S19" s="248"/>
    </row>
    <row r="20" spans="2:19">
      <c r="B20" s="161" t="s">
        <v>105</v>
      </c>
      <c r="C20" s="62"/>
      <c r="D20" s="457">
        <v>0.2</v>
      </c>
      <c r="E20" s="457">
        <v>0.2</v>
      </c>
      <c r="F20" s="457">
        <v>0.2</v>
      </c>
      <c r="G20" s="457">
        <v>0.1</v>
      </c>
      <c r="H20" s="457">
        <v>0.1</v>
      </c>
      <c r="I20" s="457">
        <v>0.2</v>
      </c>
      <c r="J20" s="41"/>
      <c r="K20" s="34"/>
      <c r="L20" s="261"/>
      <c r="M20" s="261"/>
      <c r="N20" s="37"/>
      <c r="O20" s="248"/>
      <c r="P20" s="156" t="s">
        <v>116</v>
      </c>
      <c r="Q20" s="464">
        <v>0</v>
      </c>
      <c r="R20" s="324"/>
      <c r="S20" s="248"/>
    </row>
    <row r="21" spans="2:19">
      <c r="B21" s="259"/>
      <c r="C21" s="28"/>
      <c r="D21" s="28"/>
      <c r="E21" s="28"/>
      <c r="F21" s="28"/>
      <c r="G21" s="28"/>
      <c r="H21" s="28"/>
      <c r="I21" s="28"/>
      <c r="J21" s="41"/>
      <c r="K21" s="34"/>
      <c r="L21" s="261"/>
      <c r="M21" s="261"/>
      <c r="N21" s="37"/>
      <c r="O21" s="248"/>
      <c r="P21" s="21"/>
      <c r="Q21" s="13"/>
      <c r="R21" s="324"/>
      <c r="S21" s="248"/>
    </row>
    <row r="22" spans="2:19">
      <c r="B22" s="157" t="s">
        <v>195</v>
      </c>
      <c r="C22" s="107"/>
      <c r="D22" s="107"/>
      <c r="E22" s="107"/>
      <c r="F22" s="107"/>
      <c r="G22" s="107"/>
      <c r="H22" s="107"/>
      <c r="I22" s="107"/>
      <c r="J22" s="108"/>
      <c r="K22" s="162" t="s">
        <v>117</v>
      </c>
      <c r="L22" s="361"/>
      <c r="M22" s="361"/>
      <c r="N22" s="106"/>
      <c r="O22" s="248"/>
      <c r="P22" s="248"/>
      <c r="Q22" s="248"/>
      <c r="R22" s="324"/>
      <c r="S22" s="248"/>
    </row>
    <row r="23" spans="2:19">
      <c r="B23" s="122" t="s">
        <v>118</v>
      </c>
      <c r="C23" s="373">
        <v>2.1800000000000002</v>
      </c>
      <c r="D23" s="373">
        <v>1.91</v>
      </c>
      <c r="E23" s="373">
        <v>1.91</v>
      </c>
      <c r="F23" s="373">
        <v>15.09</v>
      </c>
      <c r="G23" s="373">
        <v>259.97000000000003</v>
      </c>
      <c r="H23" s="373">
        <v>1.85</v>
      </c>
      <c r="I23" s="373">
        <v>1.37</v>
      </c>
      <c r="J23" s="334">
        <f>SUMPRODUCT(D23:I23,D24:I24)</f>
        <v>30.238000000000003</v>
      </c>
      <c r="K23" s="335">
        <f>Q14</f>
        <v>6.8294824838337792E-2</v>
      </c>
      <c r="L23" s="334">
        <f>J23*(K23*100)*(Q11)</f>
        <v>289.19650285305784</v>
      </c>
      <c r="M23" s="334">
        <f>L23/(1+$Q$16)^Q8</f>
        <v>281.8269705837568</v>
      </c>
      <c r="N23" s="457">
        <v>0.1</v>
      </c>
      <c r="O23" s="248"/>
      <c r="P23" s="248"/>
      <c r="Q23" s="248"/>
      <c r="R23" s="324"/>
      <c r="S23" s="248"/>
    </row>
    <row r="24" spans="2:19">
      <c r="B24" s="161" t="s">
        <v>105</v>
      </c>
      <c r="C24" s="63"/>
      <c r="D24" s="457">
        <v>0.2</v>
      </c>
      <c r="E24" s="457">
        <v>0.2</v>
      </c>
      <c r="F24" s="457">
        <v>0.2</v>
      </c>
      <c r="G24" s="457">
        <v>0.1</v>
      </c>
      <c r="H24" s="457">
        <v>0.1</v>
      </c>
      <c r="I24" s="457">
        <v>0.2</v>
      </c>
      <c r="J24" s="41"/>
      <c r="K24" s="34"/>
      <c r="L24" s="261"/>
      <c r="M24" s="261"/>
      <c r="N24" s="37"/>
      <c r="O24" s="248"/>
      <c r="P24" s="248"/>
      <c r="Q24" s="13"/>
      <c r="R24" s="324"/>
      <c r="S24" s="248"/>
    </row>
    <row r="25" spans="2:19">
      <c r="B25" s="259"/>
      <c r="C25" s="29"/>
      <c r="D25" s="29"/>
      <c r="E25" s="30"/>
      <c r="F25" s="30"/>
      <c r="G25" s="30"/>
      <c r="H25" s="30"/>
      <c r="I25" s="30"/>
      <c r="J25" s="41"/>
      <c r="K25" s="34"/>
      <c r="L25" s="261"/>
      <c r="M25" s="261"/>
      <c r="N25" s="37"/>
      <c r="O25" s="248"/>
      <c r="P25" s="248"/>
      <c r="Q25" s="248"/>
      <c r="R25" s="324"/>
      <c r="S25" s="248"/>
    </row>
    <row r="26" spans="2:19">
      <c r="B26" s="157" t="s">
        <v>198</v>
      </c>
      <c r="C26" s="109"/>
      <c r="D26" s="109"/>
      <c r="E26" s="110"/>
      <c r="F26" s="110"/>
      <c r="G26" s="110"/>
      <c r="H26" s="110"/>
      <c r="I26" s="110"/>
      <c r="J26" s="108"/>
      <c r="K26" s="162" t="s">
        <v>119</v>
      </c>
      <c r="L26" s="361"/>
      <c r="M26" s="361"/>
      <c r="N26" s="106"/>
      <c r="O26" s="248"/>
      <c r="P26" s="248"/>
      <c r="Q26" s="248"/>
      <c r="R26" s="324"/>
      <c r="S26" s="248"/>
    </row>
    <row r="27" spans="2:19">
      <c r="B27" s="122" t="s">
        <v>120</v>
      </c>
      <c r="C27" s="462">
        <v>33.619999999999997</v>
      </c>
      <c r="D27" s="462">
        <v>16.05</v>
      </c>
      <c r="E27" s="462">
        <v>-213.94</v>
      </c>
      <c r="F27" s="462">
        <v>-65.540000000000006</v>
      </c>
      <c r="G27" s="462">
        <v>-33.42</v>
      </c>
      <c r="H27" s="462">
        <v>11</v>
      </c>
      <c r="I27" s="462">
        <v>11.04</v>
      </c>
      <c r="J27" s="103">
        <f>SUMPRODUCT(D27:I27,D28:I28)</f>
        <v>13.535</v>
      </c>
      <c r="K27" s="334">
        <f>Q15/Q12</f>
        <v>2.2871618603146104</v>
      </c>
      <c r="L27" s="334">
        <f>J27*K27-(Q18+Q19+Q20)/Q12+(Q17)/Q12</f>
        <v>32.011771305573205</v>
      </c>
      <c r="M27" s="334">
        <f>L27/(1+$Q$16)^Q8</f>
        <v>31.196022223870877</v>
      </c>
      <c r="N27" s="457">
        <v>0.2</v>
      </c>
      <c r="O27" s="248"/>
      <c r="P27" s="248"/>
      <c r="Q27" s="248"/>
      <c r="R27" s="324"/>
      <c r="S27" s="248"/>
    </row>
    <row r="28" spans="2:19">
      <c r="B28" s="161" t="s">
        <v>105</v>
      </c>
      <c r="C28" s="63"/>
      <c r="D28" s="457">
        <v>0.5</v>
      </c>
      <c r="E28" s="457">
        <v>0</v>
      </c>
      <c r="F28" s="457">
        <v>0</v>
      </c>
      <c r="G28" s="457">
        <v>0</v>
      </c>
      <c r="H28" s="457">
        <v>0.25</v>
      </c>
      <c r="I28" s="457">
        <v>0.25</v>
      </c>
      <c r="J28" s="160"/>
      <c r="K28" s="261"/>
      <c r="L28" s="261"/>
      <c r="M28" s="261"/>
      <c r="N28" s="64" t="str">
        <f>SUM(N11:N27)&amp;":"&amp;SUM(D12:I12)</f>
        <v>1:1</v>
      </c>
      <c r="O28" s="248"/>
      <c r="P28" s="248"/>
      <c r="Q28" s="248"/>
      <c r="R28" s="324"/>
      <c r="S28" s="248"/>
    </row>
    <row r="29" spans="2:19">
      <c r="B29" s="259"/>
      <c r="C29" s="23"/>
      <c r="D29" s="23"/>
      <c r="E29" s="22"/>
      <c r="F29" s="23"/>
      <c r="G29" s="23"/>
      <c r="H29" s="23"/>
      <c r="I29" s="23"/>
      <c r="J29" s="482">
        <f>((C27-J27)/2)+J27</f>
        <v>23.577500000000001</v>
      </c>
      <c r="K29" s="259"/>
      <c r="L29" s="259"/>
      <c r="M29" s="163" t="s">
        <v>0</v>
      </c>
      <c r="N29" s="339">
        <f>SUMPRODUCT(M11:M27,N11:N27)</f>
        <v>110.38140050695353</v>
      </c>
      <c r="O29" s="248"/>
      <c r="P29" s="248"/>
      <c r="Q29" s="248"/>
      <c r="R29" s="324"/>
      <c r="S29" s="248"/>
    </row>
    <row r="30" spans="2:19">
      <c r="B30" s="324"/>
      <c r="C30" s="324"/>
      <c r="D30" s="324"/>
      <c r="E30" s="324"/>
      <c r="F30" s="324"/>
      <c r="G30" s="324"/>
      <c r="H30" s="324"/>
      <c r="I30" s="324"/>
      <c r="J30" s="324"/>
      <c r="K30" s="324"/>
      <c r="L30" s="324"/>
      <c r="M30" s="324"/>
      <c r="N30" s="324"/>
      <c r="O30" s="248"/>
      <c r="P30" s="248"/>
      <c r="Q30" s="248"/>
      <c r="R30" s="324"/>
      <c r="S30" s="248"/>
    </row>
    <row r="31" spans="2:19">
      <c r="B31" s="248"/>
      <c r="C31" s="248"/>
      <c r="D31" s="248"/>
      <c r="E31" s="248"/>
      <c r="F31" s="248"/>
      <c r="G31" s="248"/>
      <c r="H31" s="248"/>
      <c r="I31" s="248"/>
      <c r="J31" s="248"/>
      <c r="K31" s="248"/>
      <c r="L31" s="248"/>
      <c r="M31" s="248"/>
      <c r="N31" s="248"/>
      <c r="O31" s="248"/>
      <c r="P31" s="248"/>
      <c r="Q31" s="248"/>
      <c r="R31" s="324"/>
      <c r="S31" s="248"/>
    </row>
    <row r="32" spans="2:19">
      <c r="B32" s="324"/>
      <c r="C32" s="324"/>
      <c r="D32" s="324"/>
      <c r="E32" s="324"/>
      <c r="F32" s="324"/>
      <c r="G32" s="324"/>
      <c r="H32" s="324"/>
      <c r="I32" s="324"/>
      <c r="J32" s="324"/>
      <c r="K32" s="324"/>
      <c r="L32" s="324"/>
      <c r="M32" s="324"/>
      <c r="N32" s="324"/>
      <c r="O32" s="324"/>
      <c r="P32" s="324"/>
      <c r="Q32" s="324"/>
      <c r="R32" s="324"/>
      <c r="S32" s="324"/>
    </row>
  </sheetData>
  <mergeCells count="4">
    <mergeCell ref="P6:Q7"/>
    <mergeCell ref="K6:K7"/>
    <mergeCell ref="L6:L7"/>
    <mergeCell ref="N6:N7"/>
  </mergeCells>
  <conditionalFormatting sqref="B8:N9 B12:C12 J12:N12 B16:C16 J16:N16 B20:C20 J20:N20 B24:C24 J24:N24 B28:C28 B13:N13 B17:N17 B21:N21 B25:N25 B11:N11 B15:N15 B19:N19 B23:N23 B27:N27 J28:N28">
    <cfRule type="expression" dxfId="18" priority="4">
      <formula>MOD(ROW(),2)=0</formula>
    </cfRule>
  </conditionalFormatting>
  <conditionalFormatting sqref="P8:P20">
    <cfRule type="expression" dxfId="17" priority="3">
      <formula>MOD(ROW(),2)=0</formula>
    </cfRule>
  </conditionalFormatting>
  <conditionalFormatting sqref="Q8">
    <cfRule type="expression" dxfId="16" priority="2">
      <formula>MOD(ROW(),2)=0</formula>
    </cfRule>
  </conditionalFormatting>
  <conditionalFormatting sqref="Q16">
    <cfRule type="expression" dxfId="15" priority="1">
      <formula>MOD(ROW(),2)=0</formula>
    </cfRule>
  </conditionalFormatting>
  <pageMargins left="0.7" right="0.7" top="0.75" bottom="0.75" header="0.3" footer="0.3"/>
  <pageSetup fitToHeight="0" orientation="portrait"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5" tint="0.79998168889431442"/>
  </sheetPr>
  <dimension ref="B1:S33"/>
  <sheetViews>
    <sheetView showGridLines="0" zoomScale="80" zoomScaleNormal="80" workbookViewId="0">
      <selection sqref="A1:XFD1048576"/>
    </sheetView>
  </sheetViews>
  <sheetFormatPr defaultRowHeight="15"/>
  <cols>
    <col min="1" max="1" width="1.7109375" style="231" customWidth="1"/>
    <col min="2" max="2" width="25.85546875" style="231" bestFit="1" customWidth="1"/>
    <col min="3" max="3" width="20.85546875" style="231" bestFit="1" customWidth="1"/>
    <col min="4" max="4" width="22.5703125" style="231" bestFit="1" customWidth="1"/>
    <col min="5" max="5" width="26.7109375" style="231" bestFit="1" customWidth="1"/>
    <col min="6" max="6" width="26.140625" style="231" bestFit="1" customWidth="1"/>
    <col min="7" max="7" width="15.5703125" style="231" bestFit="1" customWidth="1"/>
    <col min="8" max="8" width="19.85546875" style="231" bestFit="1" customWidth="1"/>
    <col min="9" max="9" width="13.140625" style="231" bestFit="1" customWidth="1"/>
    <col min="10" max="10" width="10.85546875" style="231" bestFit="1" customWidth="1"/>
    <col min="11" max="11" width="17" style="231" bestFit="1" customWidth="1"/>
    <col min="12" max="12" width="11.7109375" style="231" customWidth="1"/>
    <col min="13" max="13" width="11.42578125" style="231" bestFit="1" customWidth="1"/>
    <col min="14" max="14" width="8.42578125" style="231" bestFit="1" customWidth="1"/>
    <col min="15" max="15" width="1.7109375" style="231" customWidth="1"/>
    <col min="16" max="16" width="24.42578125" style="231" customWidth="1"/>
    <col min="17" max="17" width="12.28515625" style="231" bestFit="1" customWidth="1"/>
    <col min="18" max="18" width="9.140625" style="231"/>
    <col min="19" max="19" width="11.5703125" style="231" bestFit="1" customWidth="1"/>
    <col min="20" max="16384" width="9.140625" style="231"/>
  </cols>
  <sheetData>
    <row r="1" spans="2:19" ht="23.25">
      <c r="B1" s="465" t="str">
        <f>[1]Valuation!B1</f>
        <v>RHT</v>
      </c>
      <c r="C1" s="450"/>
      <c r="D1" s="450"/>
      <c r="E1" s="450"/>
      <c r="F1" s="450"/>
      <c r="G1" s="450"/>
      <c r="H1" s="450"/>
      <c r="I1" s="450"/>
      <c r="J1" s="450"/>
      <c r="K1" s="450"/>
      <c r="L1" s="324"/>
      <c r="M1" s="324"/>
      <c r="N1" s="324"/>
      <c r="O1" s="324"/>
      <c r="P1" s="324"/>
      <c r="Q1" s="324"/>
      <c r="R1" s="324"/>
      <c r="S1" s="324"/>
    </row>
    <row r="2" spans="2:19">
      <c r="B2" s="214" t="str">
        <f>[1]Valuation!B2</f>
        <v>Red Hat .Inc</v>
      </c>
      <c r="C2" s="324"/>
      <c r="D2" s="324"/>
      <c r="E2" s="324"/>
      <c r="F2" s="324"/>
      <c r="G2" s="324"/>
      <c r="H2" s="450"/>
      <c r="I2" s="324"/>
      <c r="J2" s="324"/>
      <c r="K2" s="324"/>
      <c r="L2" s="324"/>
      <c r="M2" s="324"/>
      <c r="N2" s="324"/>
      <c r="O2" s="324"/>
      <c r="P2" s="324"/>
      <c r="Q2" s="324"/>
      <c r="R2" s="324"/>
      <c r="S2" s="324"/>
    </row>
    <row r="3" spans="2:19" ht="3" customHeight="1">
      <c r="B3" s="242"/>
      <c r="C3" s="242"/>
      <c r="D3" s="242"/>
      <c r="E3" s="242"/>
      <c r="F3" s="242"/>
      <c r="G3" s="242"/>
      <c r="H3" s="242"/>
      <c r="I3" s="242"/>
      <c r="J3" s="242"/>
      <c r="K3" s="242"/>
      <c r="L3" s="242"/>
      <c r="M3" s="242"/>
      <c r="N3" s="242"/>
      <c r="O3" s="242"/>
      <c r="P3" s="242"/>
      <c r="Q3" s="242"/>
      <c r="R3" s="324"/>
      <c r="S3" s="324"/>
    </row>
    <row r="4" spans="2:19">
      <c r="B4" s="198" t="s">
        <v>2</v>
      </c>
      <c r="C4" s="324"/>
      <c r="D4" s="324"/>
      <c r="E4" s="324"/>
      <c r="F4" s="324"/>
      <c r="G4" s="324"/>
      <c r="H4" s="450"/>
      <c r="I4" s="324"/>
      <c r="J4" s="324"/>
      <c r="K4" s="324"/>
      <c r="L4" s="324"/>
      <c r="M4" s="324"/>
      <c r="N4" s="324"/>
      <c r="O4" s="324"/>
      <c r="P4" s="324"/>
      <c r="Q4" s="324"/>
      <c r="R4" s="324"/>
      <c r="S4" s="324"/>
    </row>
    <row r="5" spans="2:19">
      <c r="B5" s="248"/>
      <c r="C5" s="248"/>
      <c r="D5" s="248"/>
      <c r="E5" s="324"/>
      <c r="F5" s="324"/>
      <c r="G5" s="324"/>
      <c r="H5" s="324"/>
      <c r="I5" s="324"/>
      <c r="J5" s="248"/>
      <c r="K5" s="248"/>
      <c r="L5" s="248"/>
      <c r="M5" s="248"/>
      <c r="N5" s="248"/>
      <c r="O5" s="248"/>
      <c r="P5" s="248"/>
      <c r="Q5" s="248"/>
      <c r="R5" s="324"/>
      <c r="S5" s="248"/>
    </row>
    <row r="6" spans="2:19">
      <c r="B6" s="264"/>
      <c r="C6" s="70" t="str">
        <f>B1</f>
        <v>RHT</v>
      </c>
      <c r="D6" s="446" t="s">
        <v>365</v>
      </c>
      <c r="E6" s="446" t="s">
        <v>366</v>
      </c>
      <c r="F6" s="446" t="s">
        <v>367</v>
      </c>
      <c r="G6" s="446" t="s">
        <v>368</v>
      </c>
      <c r="H6" s="446" t="s">
        <v>369</v>
      </c>
      <c r="I6" s="446" t="s">
        <v>370</v>
      </c>
      <c r="J6" s="448" t="s">
        <v>212</v>
      </c>
      <c r="K6" s="497" t="str">
        <f>B1&amp;" "&amp;"Multiple"</f>
        <v>RHT Multiple</v>
      </c>
      <c r="L6" s="499" t="s">
        <v>0</v>
      </c>
      <c r="M6" s="448" t="s">
        <v>213</v>
      </c>
      <c r="N6" s="499" t="s">
        <v>105</v>
      </c>
      <c r="O6" s="248"/>
      <c r="P6" s="495" t="s">
        <v>186</v>
      </c>
      <c r="Q6" s="496"/>
      <c r="R6" s="324"/>
      <c r="S6" s="248"/>
    </row>
    <row r="7" spans="2:19">
      <c r="B7" s="264"/>
      <c r="C7" s="70" t="str">
        <f>B2</f>
        <v>Red Hat .Inc</v>
      </c>
      <c r="D7" s="446" t="s">
        <v>361</v>
      </c>
      <c r="E7" s="446" t="s">
        <v>360</v>
      </c>
      <c r="F7" s="446" t="s">
        <v>359</v>
      </c>
      <c r="G7" s="446" t="s">
        <v>358</v>
      </c>
      <c r="H7" s="446" t="s">
        <v>356</v>
      </c>
      <c r="I7" s="446" t="s">
        <v>371</v>
      </c>
      <c r="J7" s="448" t="s">
        <v>56</v>
      </c>
      <c r="K7" s="498"/>
      <c r="L7" s="498"/>
      <c r="M7" s="448" t="s">
        <v>157</v>
      </c>
      <c r="N7" s="498"/>
      <c r="O7" s="248"/>
      <c r="P7" s="496"/>
      <c r="Q7" s="496"/>
      <c r="R7" s="324"/>
      <c r="S7" s="248"/>
    </row>
    <row r="8" spans="2:19">
      <c r="B8" s="122" t="s">
        <v>194</v>
      </c>
      <c r="C8" s="334">
        <f>Q12*[1]Valuation!C12/1000</f>
        <v>13983.8583</v>
      </c>
      <c r="D8" s="373">
        <v>36.49</v>
      </c>
      <c r="E8" s="373">
        <v>15.02</v>
      </c>
      <c r="F8" s="373">
        <v>17.100000000000001</v>
      </c>
      <c r="G8" s="373">
        <v>4.12</v>
      </c>
      <c r="H8" s="373">
        <v>164.5</v>
      </c>
      <c r="I8" s="373">
        <v>11.9</v>
      </c>
      <c r="J8" s="337"/>
      <c r="K8" s="60"/>
      <c r="L8" s="60"/>
      <c r="M8" s="60"/>
      <c r="N8" s="61"/>
      <c r="O8" s="248"/>
      <c r="P8" s="122" t="s">
        <v>45</v>
      </c>
      <c r="Q8" s="334">
        <f>[1]DCF!L6</f>
        <v>0.25</v>
      </c>
      <c r="R8" s="324"/>
      <c r="S8" s="248"/>
    </row>
    <row r="9" spans="2:19">
      <c r="B9" s="249"/>
      <c r="C9" s="337"/>
      <c r="D9" s="337"/>
      <c r="E9" s="337"/>
      <c r="F9" s="337"/>
      <c r="G9" s="337"/>
      <c r="H9" s="337"/>
      <c r="I9" s="337"/>
      <c r="J9" s="337"/>
      <c r="K9" s="261"/>
      <c r="L9" s="261"/>
      <c r="M9" s="261"/>
      <c r="N9" s="37"/>
      <c r="O9" s="248"/>
      <c r="P9" s="156" t="s">
        <v>378</v>
      </c>
      <c r="Q9" s="299">
        <f>[1]DCF!L9</f>
        <v>2380162.9299999997</v>
      </c>
      <c r="R9" s="324"/>
      <c r="S9" s="14"/>
    </row>
    <row r="10" spans="2:19">
      <c r="B10" s="157" t="s">
        <v>193</v>
      </c>
      <c r="C10" s="105"/>
      <c r="D10" s="105"/>
      <c r="E10" s="105"/>
      <c r="F10" s="105"/>
      <c r="G10" s="105"/>
      <c r="H10" s="105"/>
      <c r="I10" s="105"/>
      <c r="J10" s="105"/>
      <c r="K10" s="158" t="s">
        <v>106</v>
      </c>
      <c r="L10" s="361"/>
      <c r="M10" s="361"/>
      <c r="N10" s="106"/>
      <c r="O10" s="248"/>
      <c r="P10" s="156" t="s">
        <v>377</v>
      </c>
      <c r="Q10" s="299">
        <f>[1]DCF!L28</f>
        <v>263696.25624727074</v>
      </c>
      <c r="R10" s="324"/>
      <c r="S10" s="14"/>
    </row>
    <row r="11" spans="2:19">
      <c r="B11" s="159" t="s">
        <v>107</v>
      </c>
      <c r="C11" s="462">
        <v>65.790000000000006</v>
      </c>
      <c r="D11" s="462">
        <v>33.97</v>
      </c>
      <c r="E11" s="462">
        <v>-32.26</v>
      </c>
      <c r="F11" s="462">
        <v>-43.58</v>
      </c>
      <c r="G11" s="462">
        <v>-23.33</v>
      </c>
      <c r="H11" s="462">
        <v>19.05</v>
      </c>
      <c r="I11" s="462">
        <v>25.51</v>
      </c>
      <c r="J11" s="103">
        <f>SUMPRODUCT(D11:I11,D12:I12)</f>
        <v>26.11</v>
      </c>
      <c r="K11" s="335">
        <f>Q11</f>
        <v>1.4553978323110122</v>
      </c>
      <c r="L11" s="334">
        <f>K11*J11</f>
        <v>38.000437401640525</v>
      </c>
      <c r="M11" s="334">
        <f>L11/(1+$Q$16)^Q8</f>
        <v>37.029575913003143</v>
      </c>
      <c r="N11" s="457">
        <v>0.2</v>
      </c>
      <c r="O11" s="248"/>
      <c r="P11" s="156" t="s">
        <v>379</v>
      </c>
      <c r="Q11" s="466">
        <f>[1]DCF!L30</f>
        <v>1.4553978323110122</v>
      </c>
      <c r="R11" s="324"/>
      <c r="S11" s="14"/>
    </row>
    <row r="12" spans="2:19">
      <c r="B12" s="161" t="s">
        <v>105</v>
      </c>
      <c r="C12" s="62"/>
      <c r="D12" s="457">
        <v>0.3</v>
      </c>
      <c r="E12" s="457">
        <v>0</v>
      </c>
      <c r="F12" s="457">
        <v>0</v>
      </c>
      <c r="G12" s="457">
        <v>0</v>
      </c>
      <c r="H12" s="457">
        <v>0.3</v>
      </c>
      <c r="I12" s="457">
        <v>0.4</v>
      </c>
      <c r="J12" s="41"/>
      <c r="K12" s="34"/>
      <c r="L12" s="261"/>
      <c r="M12" s="261"/>
      <c r="N12" s="37"/>
      <c r="O12" s="259"/>
      <c r="P12" s="156" t="s">
        <v>108</v>
      </c>
      <c r="Q12" s="466">
        <f>[1]DCF!C53</f>
        <v>181185</v>
      </c>
      <c r="R12" s="324"/>
      <c r="S12" s="16"/>
    </row>
    <row r="13" spans="2:19">
      <c r="B13" s="249"/>
      <c r="C13" s="28"/>
      <c r="D13" s="28"/>
      <c r="E13" s="28"/>
      <c r="F13" s="28"/>
      <c r="G13" s="28"/>
      <c r="H13" s="28"/>
      <c r="I13" s="28"/>
      <c r="J13" s="41"/>
      <c r="K13" s="34"/>
      <c r="L13" s="261"/>
      <c r="M13" s="261"/>
      <c r="N13" s="37"/>
      <c r="O13" s="248"/>
      <c r="P13" s="156" t="s">
        <v>109</v>
      </c>
      <c r="Q13" s="299">
        <f>[1]BS!G50</f>
        <v>1334432</v>
      </c>
      <c r="R13" s="324"/>
      <c r="S13" s="14"/>
    </row>
    <row r="14" spans="2:19">
      <c r="B14" s="157" t="s">
        <v>197</v>
      </c>
      <c r="C14" s="107"/>
      <c r="D14" s="107"/>
      <c r="E14" s="107"/>
      <c r="F14" s="107"/>
      <c r="G14" s="107"/>
      <c r="H14" s="107"/>
      <c r="I14" s="107"/>
      <c r="J14" s="108"/>
      <c r="K14" s="162" t="s">
        <v>111</v>
      </c>
      <c r="L14" s="361"/>
      <c r="M14" s="361"/>
      <c r="N14" s="106"/>
      <c r="O14" s="248"/>
      <c r="P14" s="156" t="s">
        <v>110</v>
      </c>
      <c r="Q14" s="467">
        <f>'[1]DCF Growth Rates'!J118</f>
        <v>6.7945119831074458E-2</v>
      </c>
      <c r="R14" s="324"/>
      <c r="S14" s="17"/>
    </row>
    <row r="15" spans="2:19">
      <c r="B15" s="122" t="s">
        <v>112</v>
      </c>
      <c r="C15" s="462">
        <v>5.99</v>
      </c>
      <c r="D15" s="462">
        <v>5.15</v>
      </c>
      <c r="E15" s="462">
        <v>10.8</v>
      </c>
      <c r="F15" s="462">
        <v>56.91</v>
      </c>
      <c r="G15" s="462">
        <v>4.9800000000000004</v>
      </c>
      <c r="H15" s="462">
        <v>4.42</v>
      </c>
      <c r="I15" s="462">
        <v>3.48</v>
      </c>
      <c r="J15" s="103">
        <f>SUMPRODUCT(D15:I15,D16:I16)</f>
        <v>13.292499999999999</v>
      </c>
      <c r="K15" s="334">
        <f>Q9/Q12</f>
        <v>13.136644479399507</v>
      </c>
      <c r="L15" s="334">
        <f>K15*J15</f>
        <v>174.61884674241793</v>
      </c>
      <c r="M15" s="334">
        <f>L15/(1+$Q$16)^Q8</f>
        <v>170.15756352873663</v>
      </c>
      <c r="N15" s="457">
        <v>0.2</v>
      </c>
      <c r="O15" s="248"/>
      <c r="P15" s="156" t="s">
        <v>380</v>
      </c>
      <c r="Q15" s="299">
        <f>[1]DCF!L19</f>
        <v>415370.38899079862</v>
      </c>
      <c r="R15" s="324"/>
      <c r="S15" s="14"/>
    </row>
    <row r="16" spans="2:19">
      <c r="B16" s="161" t="s">
        <v>105</v>
      </c>
      <c r="C16" s="62"/>
      <c r="D16" s="457">
        <v>0.2</v>
      </c>
      <c r="E16" s="457">
        <v>0.15</v>
      </c>
      <c r="F16" s="457">
        <v>0.15</v>
      </c>
      <c r="G16" s="457">
        <v>0.15</v>
      </c>
      <c r="H16" s="457">
        <v>0.15</v>
      </c>
      <c r="I16" s="457">
        <v>0.2</v>
      </c>
      <c r="J16" s="41"/>
      <c r="K16" s="34"/>
      <c r="L16" s="261"/>
      <c r="M16" s="261"/>
      <c r="N16" s="37"/>
      <c r="O16" s="248"/>
      <c r="P16" s="156" t="s">
        <v>43</v>
      </c>
      <c r="Q16" s="327">
        <f>[1]DCF!J53</f>
        <v>0.10907120364572212</v>
      </c>
      <c r="R16" s="324"/>
      <c r="S16" s="18"/>
    </row>
    <row r="17" spans="2:19">
      <c r="B17" s="259"/>
      <c r="C17" s="28"/>
      <c r="D17" s="28"/>
      <c r="E17" s="28"/>
      <c r="F17" s="28"/>
      <c r="G17" s="28"/>
      <c r="H17" s="28"/>
      <c r="I17" s="28"/>
      <c r="J17" s="41"/>
      <c r="K17" s="34"/>
      <c r="L17" s="261"/>
      <c r="M17" s="261"/>
      <c r="N17" s="37"/>
      <c r="O17" s="248"/>
      <c r="P17" s="156" t="s">
        <v>4</v>
      </c>
      <c r="Q17" s="262">
        <f>[1]DCF!C50</f>
        <v>916678</v>
      </c>
      <c r="R17" s="324"/>
      <c r="S17" s="19"/>
    </row>
    <row r="18" spans="2:19">
      <c r="B18" s="157" t="s">
        <v>196</v>
      </c>
      <c r="C18" s="107"/>
      <c r="D18" s="107"/>
      <c r="E18" s="107"/>
      <c r="F18" s="107"/>
      <c r="G18" s="107"/>
      <c r="H18" s="107"/>
      <c r="I18" s="107"/>
      <c r="J18" s="108"/>
      <c r="K18" s="162" t="s">
        <v>113</v>
      </c>
      <c r="L18" s="361"/>
      <c r="M18" s="361"/>
      <c r="N18" s="106"/>
      <c r="O18" s="248"/>
      <c r="P18" s="156" t="s">
        <v>5</v>
      </c>
      <c r="Q18" s="299">
        <f>[1]BS!G37</f>
        <v>723942</v>
      </c>
      <c r="R18" s="324"/>
      <c r="S18" s="20"/>
    </row>
    <row r="19" spans="2:19">
      <c r="B19" s="122" t="s">
        <v>115</v>
      </c>
      <c r="C19" s="462">
        <v>10.65</v>
      </c>
      <c r="D19" s="462">
        <v>4.55</v>
      </c>
      <c r="E19" s="462">
        <v>41.44</v>
      </c>
      <c r="F19" s="462">
        <v>11.78</v>
      </c>
      <c r="G19" s="462">
        <v>5.37</v>
      </c>
      <c r="H19" s="462">
        <v>3.47</v>
      </c>
      <c r="I19" s="462">
        <v>5.05</v>
      </c>
      <c r="J19" s="103">
        <f>SUMPRODUCT(D19:I19,D20:I20)</f>
        <v>11.228999999999999</v>
      </c>
      <c r="K19" s="334">
        <f>Q13/Q12</f>
        <v>7.3650246985125705</v>
      </c>
      <c r="L19" s="334">
        <f>K19*J19</f>
        <v>82.701862339597653</v>
      </c>
      <c r="M19" s="335">
        <f>L19</f>
        <v>82.701862339597653</v>
      </c>
      <c r="N19" s="457">
        <v>0.5</v>
      </c>
      <c r="O19" s="248"/>
      <c r="P19" s="156" t="s">
        <v>114</v>
      </c>
      <c r="Q19" s="464">
        <v>0</v>
      </c>
      <c r="R19" s="324"/>
      <c r="S19" s="248"/>
    </row>
    <row r="20" spans="2:19">
      <c r="B20" s="161" t="s">
        <v>105</v>
      </c>
      <c r="C20" s="62"/>
      <c r="D20" s="457">
        <v>0.2</v>
      </c>
      <c r="E20" s="457">
        <v>0.15</v>
      </c>
      <c r="F20" s="457">
        <v>0.15</v>
      </c>
      <c r="G20" s="457">
        <v>0.15</v>
      </c>
      <c r="H20" s="457">
        <v>0.15</v>
      </c>
      <c r="I20" s="457">
        <v>0.2</v>
      </c>
      <c r="J20" s="41"/>
      <c r="K20" s="34"/>
      <c r="L20" s="261"/>
      <c r="M20" s="261"/>
      <c r="N20" s="37"/>
      <c r="O20" s="248"/>
      <c r="P20" s="156" t="s">
        <v>116</v>
      </c>
      <c r="Q20" s="464">
        <v>0</v>
      </c>
      <c r="R20" s="324"/>
      <c r="S20" s="248"/>
    </row>
    <row r="21" spans="2:19">
      <c r="B21" s="259"/>
      <c r="C21" s="28"/>
      <c r="D21" s="28"/>
      <c r="E21" s="28"/>
      <c r="F21" s="28"/>
      <c r="G21" s="28"/>
      <c r="H21" s="28"/>
      <c r="I21" s="28"/>
      <c r="J21" s="41"/>
      <c r="K21" s="34"/>
      <c r="L21" s="261"/>
      <c r="M21" s="261"/>
      <c r="N21" s="37"/>
      <c r="O21" s="248"/>
      <c r="P21" s="21"/>
      <c r="Q21" s="13"/>
      <c r="R21" s="324"/>
      <c r="S21" s="248"/>
    </row>
    <row r="22" spans="2:19">
      <c r="B22" s="157" t="s">
        <v>195</v>
      </c>
      <c r="C22" s="107"/>
      <c r="D22" s="107"/>
      <c r="E22" s="107"/>
      <c r="F22" s="107"/>
      <c r="G22" s="107"/>
      <c r="H22" s="107"/>
      <c r="I22" s="107"/>
      <c r="J22" s="108"/>
      <c r="K22" s="162" t="s">
        <v>117</v>
      </c>
      <c r="L22" s="361"/>
      <c r="M22" s="361"/>
      <c r="N22" s="106"/>
      <c r="O22" s="248"/>
      <c r="P22" s="248"/>
      <c r="Q22" s="248"/>
      <c r="R22" s="324"/>
      <c r="S22" s="248"/>
    </row>
    <row r="23" spans="2:19">
      <c r="B23" s="122" t="s">
        <v>118</v>
      </c>
      <c r="C23" s="373">
        <v>2.1800000000000002</v>
      </c>
      <c r="D23" s="373">
        <v>1.91</v>
      </c>
      <c r="E23" s="373">
        <v>1.91</v>
      </c>
      <c r="F23" s="373">
        <v>15.09</v>
      </c>
      <c r="G23" s="373">
        <v>259.97000000000003</v>
      </c>
      <c r="H23" s="373">
        <v>1.85</v>
      </c>
      <c r="I23" s="373">
        <v>1.37</v>
      </c>
      <c r="J23" s="334">
        <f>SUMPRODUCT(D23:I23,D24:I24)</f>
        <v>42.479000000000006</v>
      </c>
      <c r="K23" s="335">
        <f>Q14</f>
        <v>6.7945119831074458E-2</v>
      </c>
      <c r="L23" s="334">
        <f>J23*(K23*100)*(Q11)</f>
        <v>420.06285242434711</v>
      </c>
      <c r="M23" s="334">
        <f>L23/(1+$Q$16)^Q8</f>
        <v>409.33079579258953</v>
      </c>
      <c r="N23" s="457">
        <v>0</v>
      </c>
      <c r="O23" s="248"/>
      <c r="P23" s="248"/>
      <c r="Q23" s="248"/>
      <c r="R23" s="324"/>
      <c r="S23" s="248"/>
    </row>
    <row r="24" spans="2:19">
      <c r="B24" s="161" t="s">
        <v>105</v>
      </c>
      <c r="C24" s="63"/>
      <c r="D24" s="457">
        <v>0.2</v>
      </c>
      <c r="E24" s="457">
        <v>0.15</v>
      </c>
      <c r="F24" s="457">
        <v>0.15</v>
      </c>
      <c r="G24" s="457">
        <v>0.15</v>
      </c>
      <c r="H24" s="457">
        <v>0.15</v>
      </c>
      <c r="I24" s="457">
        <v>0.2</v>
      </c>
      <c r="J24" s="41"/>
      <c r="K24" s="34"/>
      <c r="L24" s="261"/>
      <c r="M24" s="261"/>
      <c r="N24" s="37"/>
      <c r="O24" s="248"/>
      <c r="P24" s="248"/>
      <c r="Q24" s="13"/>
      <c r="R24" s="324"/>
      <c r="S24" s="248"/>
    </row>
    <row r="25" spans="2:19">
      <c r="B25" s="259"/>
      <c r="C25" s="29"/>
      <c r="D25" s="29"/>
      <c r="E25" s="30"/>
      <c r="F25" s="30"/>
      <c r="G25" s="30"/>
      <c r="H25" s="30"/>
      <c r="I25" s="30"/>
      <c r="J25" s="41"/>
      <c r="K25" s="34"/>
      <c r="L25" s="261"/>
      <c r="M25" s="261"/>
      <c r="N25" s="37"/>
      <c r="O25" s="248"/>
      <c r="P25" s="248"/>
      <c r="Q25" s="248"/>
      <c r="R25" s="324"/>
      <c r="S25" s="248"/>
    </row>
    <row r="26" spans="2:19">
      <c r="B26" s="157" t="s">
        <v>198</v>
      </c>
      <c r="C26" s="109"/>
      <c r="D26" s="109"/>
      <c r="E26" s="110"/>
      <c r="F26" s="110"/>
      <c r="G26" s="110"/>
      <c r="H26" s="110"/>
      <c r="I26" s="110"/>
      <c r="J26" s="108"/>
      <c r="K26" s="162" t="s">
        <v>119</v>
      </c>
      <c r="L26" s="361"/>
      <c r="M26" s="361"/>
      <c r="N26" s="106"/>
      <c r="O26" s="248"/>
      <c r="P26" s="248"/>
      <c r="Q26" s="248"/>
      <c r="R26" s="324"/>
      <c r="S26" s="248"/>
    </row>
    <row r="27" spans="2:19">
      <c r="B27" s="122" t="s">
        <v>120</v>
      </c>
      <c r="C27" s="462">
        <v>33.619999999999997</v>
      </c>
      <c r="D27" s="462">
        <v>16.05</v>
      </c>
      <c r="E27" s="462">
        <v>-213.94</v>
      </c>
      <c r="F27" s="462">
        <v>-65.540000000000006</v>
      </c>
      <c r="G27" s="462">
        <v>-33.42</v>
      </c>
      <c r="H27" s="462">
        <v>11</v>
      </c>
      <c r="I27" s="462">
        <v>11.04</v>
      </c>
      <c r="J27" s="103">
        <f>SUMPRODUCT(D27:I27,D28:I28)</f>
        <v>12.530999999999999</v>
      </c>
      <c r="K27" s="334">
        <f>Q15/Q12</f>
        <v>2.2925208432861361</v>
      </c>
      <c r="L27" s="334">
        <f>J27*K27-(Q18+Q19+Q20)/Q12+(Q17)/Q12</f>
        <v>29.791331205363008</v>
      </c>
      <c r="M27" s="334">
        <f>L27/(1+$Q$16)^Q8</f>
        <v>29.030201646331161</v>
      </c>
      <c r="N27" s="457">
        <v>0.1</v>
      </c>
      <c r="O27" s="248"/>
      <c r="P27" s="248"/>
      <c r="Q27" s="248"/>
      <c r="R27" s="324"/>
      <c r="S27" s="248"/>
    </row>
    <row r="28" spans="2:19">
      <c r="B28" s="161" t="s">
        <v>105</v>
      </c>
      <c r="C28" s="63"/>
      <c r="D28" s="457">
        <v>0.3</v>
      </c>
      <c r="E28" s="457">
        <v>0</v>
      </c>
      <c r="F28" s="457">
        <v>0</v>
      </c>
      <c r="G28" s="457">
        <v>0</v>
      </c>
      <c r="H28" s="457">
        <v>0.3</v>
      </c>
      <c r="I28" s="457">
        <v>0.4</v>
      </c>
      <c r="J28" s="41"/>
      <c r="K28" s="261"/>
      <c r="L28" s="261"/>
      <c r="M28" s="261"/>
      <c r="N28" s="64" t="str">
        <f>SUM(N11:N27)&amp;":"&amp;SUM(D12:I12)</f>
        <v>1:1</v>
      </c>
      <c r="O28" s="248"/>
      <c r="P28" s="248"/>
      <c r="Q28" s="248"/>
      <c r="R28" s="324"/>
      <c r="S28" s="248"/>
    </row>
    <row r="29" spans="2:19">
      <c r="B29" s="259"/>
      <c r="C29" s="23"/>
      <c r="D29" s="23"/>
      <c r="E29" s="22"/>
      <c r="F29" s="23"/>
      <c r="G29" s="23"/>
      <c r="H29" s="23"/>
      <c r="I29" s="23"/>
      <c r="J29" s="481">
        <f>((C27-J27)/2)+J27</f>
        <v>23.075499999999998</v>
      </c>
      <c r="K29" s="259"/>
      <c r="L29" s="259"/>
      <c r="M29" s="163" t="s">
        <v>0</v>
      </c>
      <c r="N29" s="339">
        <f>SUMPRODUCT(M11:M27,N11:N27)</f>
        <v>85.691379222779901</v>
      </c>
      <c r="O29" s="248"/>
      <c r="P29" s="248"/>
      <c r="Q29" s="248"/>
      <c r="R29" s="324"/>
      <c r="S29" s="248"/>
    </row>
    <row r="30" spans="2:19">
      <c r="B30" s="198" t="s">
        <v>384</v>
      </c>
      <c r="C30" s="324"/>
      <c r="D30" s="324"/>
      <c r="E30" s="324"/>
      <c r="F30" s="324"/>
      <c r="G30" s="324"/>
      <c r="H30" s="248"/>
      <c r="I30" s="248"/>
      <c r="J30" s="248"/>
      <c r="K30" s="324"/>
      <c r="L30" s="248"/>
    </row>
    <row r="31" spans="2:19">
      <c r="B31" s="248"/>
      <c r="C31" s="248"/>
      <c r="D31" s="248"/>
      <c r="E31" s="126"/>
      <c r="F31" s="248"/>
      <c r="G31" s="248"/>
      <c r="H31" s="248"/>
      <c r="I31" s="248"/>
      <c r="J31" s="248"/>
      <c r="K31" s="248"/>
      <c r="L31" s="248"/>
      <c r="M31" s="248"/>
      <c r="N31" s="248"/>
      <c r="O31" s="248"/>
      <c r="P31" s="248"/>
      <c r="Q31" s="248"/>
      <c r="R31" s="324"/>
      <c r="S31" s="248"/>
    </row>
    <row r="32" spans="2:19">
      <c r="B32" s="324"/>
      <c r="C32" s="324"/>
      <c r="D32" s="324"/>
      <c r="E32" s="198"/>
      <c r="F32" s="324"/>
      <c r="G32" s="324"/>
      <c r="H32" s="324"/>
      <c r="I32" s="324"/>
      <c r="J32" s="324"/>
      <c r="K32" s="324"/>
      <c r="L32" s="324"/>
      <c r="M32" s="324"/>
      <c r="N32" s="324"/>
      <c r="O32" s="324"/>
      <c r="P32" s="324"/>
      <c r="Q32" s="324"/>
      <c r="R32" s="324"/>
      <c r="S32" s="324"/>
    </row>
    <row r="33" spans="2:19">
      <c r="B33" s="324"/>
      <c r="C33" s="324"/>
      <c r="D33" s="324"/>
      <c r="E33" s="198"/>
      <c r="F33" s="324"/>
      <c r="G33" s="324"/>
      <c r="H33" s="324"/>
      <c r="I33" s="324"/>
      <c r="J33" s="324"/>
      <c r="K33" s="324"/>
      <c r="L33" s="324"/>
      <c r="M33" s="324"/>
      <c r="N33" s="324"/>
      <c r="O33" s="324"/>
      <c r="P33" s="324"/>
      <c r="Q33" s="324"/>
      <c r="R33" s="324"/>
      <c r="S33" s="324"/>
    </row>
  </sheetData>
  <mergeCells count="4">
    <mergeCell ref="K6:K7"/>
    <mergeCell ref="L6:L7"/>
    <mergeCell ref="N6:N7"/>
    <mergeCell ref="P6:Q7"/>
  </mergeCells>
  <conditionalFormatting sqref="B8:N9 B12:C12 J12:N12 B16:C16 J16:N16 B20:C20 J20:N20 B24:C24 J24:N24 B28:C28 J28:N28 B13:N13 B17:N17 B21:N21 B25:N25 B11:D11 B15:N15 B19:N19 B23:N23 B27:D27 H27:N27 H11:N11">
    <cfRule type="expression" dxfId="14" priority="6">
      <formula>MOD(ROW(),2)=0</formula>
    </cfRule>
  </conditionalFormatting>
  <conditionalFormatting sqref="P8:P20">
    <cfRule type="expression" dxfId="13" priority="5">
      <formula>MOD(ROW(),2)=0</formula>
    </cfRule>
  </conditionalFormatting>
  <conditionalFormatting sqref="Q8">
    <cfRule type="expression" dxfId="12" priority="4">
      <formula>MOD(ROW(),2)=0</formula>
    </cfRule>
  </conditionalFormatting>
  <conditionalFormatting sqref="Q16">
    <cfRule type="expression" dxfId="11" priority="3">
      <formula>MOD(ROW(),2)=0</formula>
    </cfRule>
  </conditionalFormatting>
  <conditionalFormatting sqref="E27:G27">
    <cfRule type="expression" dxfId="10" priority="2">
      <formula>MOD(ROW(),2)=0</formula>
    </cfRule>
  </conditionalFormatting>
  <conditionalFormatting sqref="E11:G11">
    <cfRule type="expression" dxfId="9" priority="1">
      <formula>MOD(ROW(),2)=0</formula>
    </cfRule>
  </conditionalFormatting>
  <pageMargins left="0.7" right="0.7" top="0.75" bottom="0.75" header="0.3" footer="0.3"/>
  <pageSetup fitToHeight="0"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F1265"/>
  <sheetViews>
    <sheetView showGridLines="0" topLeftCell="A16" workbookViewId="0">
      <selection activeCell="K38" sqref="K38"/>
    </sheetView>
  </sheetViews>
  <sheetFormatPr defaultRowHeight="15"/>
  <cols>
    <col min="1" max="1" width="1.7109375" style="1" customWidth="1"/>
    <col min="2" max="2" width="11.5703125" style="58" bestFit="1" customWidth="1"/>
    <col min="3" max="3" width="9.140625" style="55"/>
    <col min="4" max="4" width="9.140625" style="59"/>
    <col min="5" max="5" width="9.5703125" style="55" bestFit="1" customWidth="1"/>
    <col min="6" max="6" width="9.140625" style="59"/>
    <col min="7" max="7" width="9.140625" style="1"/>
    <col min="8" max="9" width="13.7109375" style="1" customWidth="1"/>
    <col min="10" max="11" width="9.140625" style="1"/>
    <col min="12" max="12" width="10.7109375" style="1" bestFit="1" customWidth="1"/>
    <col min="13" max="13" width="9.140625" style="55"/>
    <col min="14" max="14" width="9.140625" style="59"/>
    <col min="15" max="15" width="9.5703125" style="1" bestFit="1" customWidth="1"/>
    <col min="16" max="16" width="9.140625" style="59"/>
    <col min="17" max="17" width="9.140625" style="1"/>
    <col min="18" max="19" width="13.7109375" style="1" customWidth="1"/>
    <col min="20" max="21" width="9.140625" style="1"/>
    <col min="22" max="22" width="10.7109375" style="1" bestFit="1" customWidth="1"/>
    <col min="23" max="24" width="9.140625" style="1"/>
    <col min="25" max="25" width="9.5703125" style="1" bestFit="1" customWidth="1"/>
    <col min="26" max="27" width="9.140625" style="1"/>
    <col min="28" max="29" width="13.7109375" style="1" customWidth="1"/>
    <col min="30" max="16384" width="9.140625" style="1"/>
  </cols>
  <sheetData>
    <row r="1" spans="1:32" ht="23.25">
      <c r="A1" s="324"/>
      <c r="B1" s="268" t="str">
        <f>Valuation!B1</f>
        <v>RHT</v>
      </c>
      <c r="C1" s="324"/>
      <c r="D1" s="324"/>
      <c r="E1" s="324"/>
      <c r="F1" s="324"/>
      <c r="G1" s="324"/>
      <c r="H1" s="450"/>
      <c r="I1" s="324"/>
      <c r="J1" s="450"/>
      <c r="K1" s="450"/>
      <c r="L1" s="450"/>
      <c r="M1" s="324"/>
      <c r="N1" s="324"/>
      <c r="O1" s="324"/>
      <c r="P1" s="324"/>
      <c r="Q1" s="324"/>
      <c r="R1" s="324"/>
      <c r="S1" s="324"/>
      <c r="T1" s="324"/>
      <c r="U1" s="324"/>
      <c r="V1" s="324"/>
      <c r="W1" s="324"/>
      <c r="X1" s="324"/>
      <c r="Y1" s="324"/>
      <c r="Z1" s="324"/>
      <c r="AA1" s="324"/>
      <c r="AB1" s="324"/>
      <c r="AC1" s="324"/>
      <c r="AD1" s="324"/>
      <c r="AE1" s="324"/>
      <c r="AF1" s="324"/>
    </row>
    <row r="2" spans="1:32">
      <c r="A2" s="324"/>
      <c r="B2" s="269" t="str">
        <f>Valuation!B2</f>
        <v>Red Hat .Inc</v>
      </c>
      <c r="C2" s="324"/>
      <c r="D2" s="450"/>
      <c r="E2" s="324"/>
      <c r="F2" s="324"/>
      <c r="G2" s="324"/>
      <c r="H2" s="324"/>
      <c r="I2" s="324"/>
      <c r="J2" s="324"/>
      <c r="K2" s="324"/>
      <c r="L2" s="324"/>
      <c r="M2" s="324"/>
      <c r="N2" s="324"/>
      <c r="O2" s="324"/>
      <c r="P2" s="324"/>
      <c r="Q2" s="324"/>
      <c r="R2" s="324"/>
      <c r="S2" s="324"/>
      <c r="T2" s="324"/>
      <c r="U2" s="324"/>
      <c r="V2" s="324"/>
      <c r="W2" s="324"/>
      <c r="X2" s="324"/>
      <c r="Y2" s="324"/>
      <c r="Z2" s="324"/>
      <c r="AA2" s="324"/>
      <c r="AB2" s="324"/>
      <c r="AC2" s="324"/>
      <c r="AD2" s="324"/>
      <c r="AE2" s="324"/>
      <c r="AF2" s="324"/>
    </row>
    <row r="3" spans="1:32" ht="3" customHeight="1">
      <c r="A3" s="324"/>
      <c r="B3" s="242"/>
      <c r="C3" s="242"/>
      <c r="D3" s="242"/>
      <c r="E3" s="242"/>
      <c r="F3" s="242"/>
      <c r="G3" s="242"/>
      <c r="H3" s="242"/>
      <c r="I3" s="242"/>
      <c r="J3" s="242"/>
      <c r="K3" s="242"/>
      <c r="L3" s="242"/>
      <c r="M3" s="242"/>
      <c r="N3" s="242"/>
      <c r="O3" s="242"/>
      <c r="P3" s="242"/>
      <c r="Q3" s="242"/>
      <c r="R3" s="242"/>
      <c r="S3" s="242"/>
      <c r="T3" s="242"/>
      <c r="U3" s="242"/>
      <c r="V3" s="242"/>
      <c r="W3" s="242"/>
      <c r="X3" s="242"/>
      <c r="Y3" s="242"/>
      <c r="Z3" s="242"/>
      <c r="AA3" s="242"/>
      <c r="AB3" s="242"/>
      <c r="AC3" s="242"/>
      <c r="AD3" s="242"/>
      <c r="AE3" s="242"/>
      <c r="AF3" s="198" t="s">
        <v>239</v>
      </c>
    </row>
    <row r="4" spans="1:32" customFormat="1" ht="15.75" customHeight="1" thickBot="1">
      <c r="A4" s="324"/>
      <c r="B4" s="505" t="s">
        <v>6</v>
      </c>
      <c r="C4" s="506"/>
      <c r="D4" s="506"/>
      <c r="E4" s="506"/>
      <c r="F4" s="506"/>
      <c r="G4" s="506"/>
      <c r="H4" s="506"/>
      <c r="I4" s="506"/>
      <c r="J4" s="506"/>
      <c r="K4" s="245"/>
      <c r="L4" s="505" t="s">
        <v>142</v>
      </c>
      <c r="M4" s="506"/>
      <c r="N4" s="506"/>
      <c r="O4" s="506"/>
      <c r="P4" s="506"/>
      <c r="Q4" s="506"/>
      <c r="R4" s="506"/>
      <c r="S4" s="506"/>
      <c r="T4" s="506"/>
      <c r="U4" s="324"/>
      <c r="V4" s="505" t="s">
        <v>143</v>
      </c>
      <c r="W4" s="506"/>
      <c r="X4" s="506"/>
      <c r="Y4" s="506"/>
      <c r="Z4" s="506"/>
      <c r="AA4" s="506"/>
      <c r="AB4" s="506"/>
      <c r="AC4" s="506"/>
      <c r="AD4" s="506"/>
      <c r="AE4" s="164"/>
      <c r="AF4" s="324"/>
    </row>
    <row r="5" spans="1:32" ht="15.75" thickTop="1">
      <c r="A5" s="324"/>
      <c r="B5" s="324"/>
      <c r="C5" s="324"/>
      <c r="D5" s="324"/>
      <c r="E5" s="324"/>
      <c r="F5" s="324"/>
      <c r="G5" s="324"/>
      <c r="H5" s="324"/>
      <c r="I5" s="324"/>
      <c r="J5" s="324"/>
      <c r="K5" s="324"/>
      <c r="L5" s="324"/>
      <c r="M5" s="324"/>
      <c r="N5" s="324"/>
      <c r="O5" s="324"/>
      <c r="P5" s="324"/>
      <c r="Q5" s="324"/>
      <c r="R5" s="324"/>
      <c r="S5" s="324"/>
      <c r="T5" s="324"/>
      <c r="U5" s="324"/>
      <c r="V5" s="324"/>
      <c r="W5" s="324"/>
      <c r="X5" s="324"/>
      <c r="Y5" s="324"/>
      <c r="Z5" s="324"/>
      <c r="AA5" s="324"/>
      <c r="AB5" s="324"/>
      <c r="AC5" s="324"/>
      <c r="AD5" s="324"/>
      <c r="AE5" s="324"/>
      <c r="AF5" s="324"/>
    </row>
    <row r="6" spans="1:32">
      <c r="A6" s="324"/>
      <c r="B6" s="267"/>
      <c r="C6" s="502" t="str">
        <f>B1</f>
        <v>RHT</v>
      </c>
      <c r="D6" s="503"/>
      <c r="E6" s="504" t="s">
        <v>7</v>
      </c>
      <c r="F6" s="503"/>
      <c r="G6" s="324"/>
      <c r="H6" s="324"/>
      <c r="I6" s="324"/>
      <c r="J6" s="324"/>
      <c r="K6" s="324"/>
      <c r="L6" s="267"/>
      <c r="M6" s="502" t="str">
        <f>B1</f>
        <v>RHT</v>
      </c>
      <c r="N6" s="503"/>
      <c r="O6" s="504" t="s">
        <v>7</v>
      </c>
      <c r="P6" s="503"/>
      <c r="Q6" s="324"/>
      <c r="R6" s="324"/>
      <c r="S6" s="324"/>
      <c r="T6" s="324"/>
      <c r="U6" s="324"/>
      <c r="V6" s="267"/>
      <c r="W6" s="502" t="str">
        <f>B1</f>
        <v>RHT</v>
      </c>
      <c r="X6" s="503"/>
      <c r="Y6" s="504" t="s">
        <v>7</v>
      </c>
      <c r="Z6" s="503"/>
      <c r="AA6" s="324"/>
      <c r="AB6" s="324"/>
      <c r="AC6" s="324"/>
      <c r="AD6" s="324"/>
      <c r="AE6" s="324"/>
      <c r="AF6" s="324"/>
    </row>
    <row r="7" spans="1:32">
      <c r="A7" s="324"/>
      <c r="B7" s="165" t="s">
        <v>8</v>
      </c>
      <c r="C7" s="165" t="s">
        <v>9</v>
      </c>
      <c r="D7" s="165" t="s">
        <v>10</v>
      </c>
      <c r="E7" s="165" t="s">
        <v>9</v>
      </c>
      <c r="F7" s="165" t="s">
        <v>10</v>
      </c>
      <c r="G7" s="324"/>
      <c r="H7" s="324"/>
      <c r="I7" s="324"/>
      <c r="J7" s="324"/>
      <c r="K7" s="324"/>
      <c r="L7" s="165" t="s">
        <v>8</v>
      </c>
      <c r="M7" s="165" t="s">
        <v>9</v>
      </c>
      <c r="N7" s="165" t="s">
        <v>10</v>
      </c>
      <c r="O7" s="165" t="s">
        <v>9</v>
      </c>
      <c r="P7" s="165" t="s">
        <v>10</v>
      </c>
      <c r="Q7" s="324"/>
      <c r="R7" s="324"/>
      <c r="S7" s="324"/>
      <c r="T7" s="324"/>
      <c r="U7" s="324"/>
      <c r="V7" s="165" t="s">
        <v>8</v>
      </c>
      <c r="W7" s="165" t="s">
        <v>9</v>
      </c>
      <c r="X7" s="165" t="s">
        <v>10</v>
      </c>
      <c r="Y7" s="165" t="s">
        <v>9</v>
      </c>
      <c r="Z7" s="165" t="s">
        <v>10</v>
      </c>
      <c r="AA7" s="324"/>
      <c r="AB7" s="324"/>
      <c r="AC7" s="324"/>
      <c r="AD7" s="324"/>
      <c r="AE7" s="324"/>
      <c r="AF7" s="324"/>
    </row>
    <row r="8" spans="1:32">
      <c r="A8" s="324"/>
      <c r="B8" s="377">
        <v>42766</v>
      </c>
      <c r="C8" s="198">
        <v>75.879997000000003</v>
      </c>
      <c r="D8" s="349">
        <f>C8/C9-1</f>
        <v>8.8665714002828633E-2</v>
      </c>
      <c r="E8" s="198">
        <v>2278.8701169999999</v>
      </c>
      <c r="F8" s="349">
        <f>E8/E9-1</f>
        <v>1.7884358171464498E-2</v>
      </c>
      <c r="G8" s="324"/>
      <c r="H8" s="324"/>
      <c r="I8" s="324"/>
      <c r="J8" s="324"/>
      <c r="K8" s="324"/>
      <c r="L8" s="377">
        <v>42771</v>
      </c>
      <c r="M8" s="198">
        <v>78.129997000000003</v>
      </c>
      <c r="N8" s="349">
        <f>M8/M9-1</f>
        <v>3.2100397573331607E-2</v>
      </c>
      <c r="O8" s="198">
        <v>2297.419922</v>
      </c>
      <c r="P8" s="349">
        <f>O8/O9-1</f>
        <v>1.1896949349115005E-3</v>
      </c>
      <c r="Q8" s="324"/>
      <c r="R8" s="324"/>
      <c r="S8" s="324"/>
      <c r="T8" s="324"/>
      <c r="U8" s="324"/>
      <c r="V8" s="377">
        <v>42769</v>
      </c>
      <c r="W8" s="198">
        <v>78.129997000000003</v>
      </c>
      <c r="X8" s="349">
        <f>W8/W9-1</f>
        <v>5.4046841513921695E-3</v>
      </c>
      <c r="Y8" s="198">
        <v>2297.419922</v>
      </c>
      <c r="Z8" s="349">
        <f>Y8/Y9-1</f>
        <v>7.2647580016458324E-3</v>
      </c>
      <c r="AA8" s="324"/>
      <c r="AB8" s="324"/>
      <c r="AC8" s="324"/>
      <c r="AD8" s="324"/>
      <c r="AE8" s="324"/>
      <c r="AF8" s="324"/>
    </row>
    <row r="9" spans="1:32" ht="15" customHeight="1">
      <c r="A9" s="324"/>
      <c r="B9" s="377">
        <v>42735</v>
      </c>
      <c r="C9" s="198">
        <v>69.699996999999996</v>
      </c>
      <c r="D9" s="349">
        <f t="shared" ref="D9:D66" si="0">C9/C10-1</f>
        <v>-0.11894834889459804</v>
      </c>
      <c r="E9" s="198">
        <v>2238.830078</v>
      </c>
      <c r="F9" s="349">
        <f t="shared" ref="F9:F66" si="1">E9/E10-1</f>
        <v>1.8200762196895148E-2</v>
      </c>
      <c r="G9" s="324"/>
      <c r="H9" s="267"/>
      <c r="I9" s="166" t="s">
        <v>11</v>
      </c>
      <c r="J9" s="324"/>
      <c r="K9" s="324"/>
      <c r="L9" s="377">
        <v>42764</v>
      </c>
      <c r="M9" s="198">
        <v>75.699996999999996</v>
      </c>
      <c r="N9" s="349">
        <f t="shared" ref="N9:N72" si="2">M9/M10-1</f>
        <v>2.0215634240524194E-2</v>
      </c>
      <c r="O9" s="198">
        <v>2294.6899410000001</v>
      </c>
      <c r="P9" s="349">
        <f t="shared" ref="P9:P72" si="3">O9/O10-1</f>
        <v>1.029356688108618E-2</v>
      </c>
      <c r="Q9" s="324"/>
      <c r="R9" s="267"/>
      <c r="S9" s="166" t="s">
        <v>11</v>
      </c>
      <c r="T9" s="324"/>
      <c r="U9" s="324"/>
      <c r="V9" s="377">
        <v>42768</v>
      </c>
      <c r="W9" s="198">
        <v>77.709998999999996</v>
      </c>
      <c r="X9" s="349">
        <f t="shared" ref="X9:X72" si="4">W9/W10-1</f>
        <v>2.1559077165768326E-2</v>
      </c>
      <c r="Y9" s="198">
        <v>2280.8500979999999</v>
      </c>
      <c r="Z9" s="349">
        <f t="shared" ref="Z9:Z72" si="5">Y9/Y10-1</f>
        <v>5.7030947864911141E-4</v>
      </c>
      <c r="AA9" s="324"/>
      <c r="AB9" s="267"/>
      <c r="AC9" s="166" t="s">
        <v>11</v>
      </c>
      <c r="AD9" s="324"/>
      <c r="AE9" s="451"/>
      <c r="AF9" s="324"/>
    </row>
    <row r="10" spans="1:32" ht="15" customHeight="1">
      <c r="A10" s="324"/>
      <c r="B10" s="377">
        <v>42704</v>
      </c>
      <c r="C10" s="198">
        <v>79.110000999999997</v>
      </c>
      <c r="D10" s="349">
        <f t="shared" si="0"/>
        <v>2.1433235174947773E-2</v>
      </c>
      <c r="E10" s="198">
        <v>2198.8100589999999</v>
      </c>
      <c r="F10" s="349">
        <f t="shared" si="1"/>
        <v>3.4174522187570444E-2</v>
      </c>
      <c r="G10" s="324"/>
      <c r="H10" s="257"/>
      <c r="I10" s="281">
        <f>SLOPE(D8:D2000,F8:F2000)</f>
        <v>1.4326256663506007</v>
      </c>
      <c r="J10" s="324"/>
      <c r="K10" s="324"/>
      <c r="L10" s="377">
        <v>42757</v>
      </c>
      <c r="M10" s="198">
        <v>74.199996999999996</v>
      </c>
      <c r="N10" s="349">
        <f t="shared" si="2"/>
        <v>1.1450326997678228E-2</v>
      </c>
      <c r="O10" s="198">
        <v>2271.3100589999999</v>
      </c>
      <c r="P10" s="349">
        <f t="shared" si="3"/>
        <v>-1.4638950148757601E-3</v>
      </c>
      <c r="Q10" s="324"/>
      <c r="R10" s="257"/>
      <c r="S10" s="350">
        <f>SLOPE(N8:N2000,P8:P2000)</f>
        <v>1.3178533940953687</v>
      </c>
      <c r="T10" s="324"/>
      <c r="U10" s="324"/>
      <c r="V10" s="377">
        <v>42767</v>
      </c>
      <c r="W10" s="198">
        <v>76.069999999999993</v>
      </c>
      <c r="X10" s="349">
        <f t="shared" si="4"/>
        <v>2.5039932460724224E-3</v>
      </c>
      <c r="Y10" s="198">
        <v>2279.5500489999999</v>
      </c>
      <c r="Z10" s="349">
        <f t="shared" si="5"/>
        <v>2.9836364737412246E-4</v>
      </c>
      <c r="AA10" s="324"/>
      <c r="AB10" s="257"/>
      <c r="AC10" s="281">
        <f>SLOPE(X8:X1263,Z8:Z1263)</f>
        <v>1.2476032476235717</v>
      </c>
      <c r="AD10" s="324"/>
      <c r="AE10" s="324"/>
      <c r="AF10" s="324"/>
    </row>
    <row r="11" spans="1:32" ht="15" customHeight="1">
      <c r="A11" s="324"/>
      <c r="B11" s="377">
        <v>42674</v>
      </c>
      <c r="C11" s="198">
        <v>77.449996999999996</v>
      </c>
      <c r="D11" s="349">
        <f t="shared" si="0"/>
        <v>-4.181621819086434E-2</v>
      </c>
      <c r="E11" s="198">
        <v>2126.1499020000001</v>
      </c>
      <c r="F11" s="349">
        <f t="shared" si="1"/>
        <v>-1.9425679279557517E-2</v>
      </c>
      <c r="G11" s="324"/>
      <c r="H11" s="324"/>
      <c r="I11" s="324"/>
      <c r="J11" s="324"/>
      <c r="K11" s="324"/>
      <c r="L11" s="377">
        <v>42750</v>
      </c>
      <c r="M11" s="198">
        <v>73.360000999999997</v>
      </c>
      <c r="N11" s="349">
        <f t="shared" si="2"/>
        <v>-5.9620864785060457E-3</v>
      </c>
      <c r="O11" s="198">
        <v>2274.639893</v>
      </c>
      <c r="P11" s="349">
        <f t="shared" si="3"/>
        <v>-1.0277152283086899E-3</v>
      </c>
      <c r="Q11" s="324"/>
      <c r="R11" s="324"/>
      <c r="S11" s="324"/>
      <c r="T11" s="324"/>
      <c r="U11" s="324"/>
      <c r="V11" s="377">
        <v>42766</v>
      </c>
      <c r="W11" s="198">
        <v>75.879997000000003</v>
      </c>
      <c r="X11" s="349">
        <f t="shared" si="4"/>
        <v>4.8999468971011595E-3</v>
      </c>
      <c r="Y11" s="198">
        <v>2278.8701169999999</v>
      </c>
      <c r="Z11" s="349">
        <f t="shared" si="5"/>
        <v>-8.8990533877453259E-4</v>
      </c>
      <c r="AA11" s="324"/>
      <c r="AB11" s="324"/>
      <c r="AC11" s="324"/>
      <c r="AD11" s="324"/>
      <c r="AE11" s="324"/>
      <c r="AF11" s="324"/>
    </row>
    <row r="12" spans="1:32" ht="15" customHeight="1">
      <c r="A12" s="324"/>
      <c r="B12" s="377">
        <v>42643</v>
      </c>
      <c r="C12" s="198">
        <v>80.830001999999993</v>
      </c>
      <c r="D12" s="349">
        <f t="shared" si="0"/>
        <v>0.10756369796257736</v>
      </c>
      <c r="E12" s="198">
        <v>2168.2700199999999</v>
      </c>
      <c r="F12" s="349">
        <f t="shared" si="1"/>
        <v>-1.2344508443253854E-3</v>
      </c>
      <c r="G12" s="324"/>
      <c r="H12" s="324"/>
      <c r="I12" s="260"/>
      <c r="J12" s="324"/>
      <c r="K12" s="324"/>
      <c r="L12" s="377">
        <v>42743</v>
      </c>
      <c r="M12" s="198">
        <v>73.800003000000004</v>
      </c>
      <c r="N12" s="349">
        <f t="shared" si="2"/>
        <v>5.8823618026841551E-2</v>
      </c>
      <c r="O12" s="198">
        <v>2276.9799800000001</v>
      </c>
      <c r="P12" s="349">
        <f t="shared" si="3"/>
        <v>1.7040106069184269E-2</v>
      </c>
      <c r="Q12" s="324"/>
      <c r="R12" s="324"/>
      <c r="S12" s="260"/>
      <c r="T12" s="324"/>
      <c r="U12" s="324"/>
      <c r="V12" s="377">
        <v>42765</v>
      </c>
      <c r="W12" s="198">
        <v>75.510002</v>
      </c>
      <c r="X12" s="349">
        <f t="shared" si="4"/>
        <v>-2.5098415789897022E-3</v>
      </c>
      <c r="Y12" s="198">
        <v>2280.8999020000001</v>
      </c>
      <c r="Z12" s="349">
        <f t="shared" si="5"/>
        <v>-6.0095434915230506E-3</v>
      </c>
      <c r="AA12" s="324"/>
      <c r="AB12" s="324"/>
      <c r="AC12" s="260"/>
      <c r="AD12" s="324"/>
      <c r="AE12" s="324"/>
      <c r="AF12" s="324"/>
    </row>
    <row r="13" spans="1:32">
      <c r="A13" s="324"/>
      <c r="B13" s="377">
        <v>42613</v>
      </c>
      <c r="C13" s="198">
        <v>72.980002999999996</v>
      </c>
      <c r="D13" s="349">
        <f t="shared" si="0"/>
        <v>-3.0681338415708193E-2</v>
      </c>
      <c r="E13" s="198">
        <v>2170.9499510000001</v>
      </c>
      <c r="F13" s="349">
        <f t="shared" si="1"/>
        <v>-1.2192431360480427E-3</v>
      </c>
      <c r="G13" s="324"/>
      <c r="H13" s="324"/>
      <c r="I13" s="324"/>
      <c r="J13" s="324"/>
      <c r="K13" s="324"/>
      <c r="L13" s="377">
        <v>42736</v>
      </c>
      <c r="M13" s="198">
        <v>69.699996999999996</v>
      </c>
      <c r="N13" s="349">
        <f t="shared" si="2"/>
        <v>-1.8448175793601584E-2</v>
      </c>
      <c r="O13" s="198">
        <v>2238.830078</v>
      </c>
      <c r="P13" s="349">
        <f t="shared" si="3"/>
        <v>-1.1025740271843332E-2</v>
      </c>
      <c r="Q13" s="324"/>
      <c r="R13" s="324"/>
      <c r="S13" s="324"/>
      <c r="T13" s="324"/>
      <c r="U13" s="324"/>
      <c r="V13" s="377">
        <v>42762</v>
      </c>
      <c r="W13" s="198">
        <v>75.699996999999996</v>
      </c>
      <c r="X13" s="349">
        <f t="shared" si="4"/>
        <v>5.98002657807295E-3</v>
      </c>
      <c r="Y13" s="198">
        <v>2294.6899410000001</v>
      </c>
      <c r="Z13" s="349">
        <f t="shared" si="5"/>
        <v>-8.6646422615233032E-4</v>
      </c>
      <c r="AA13" s="324"/>
      <c r="AB13" s="324"/>
      <c r="AC13" s="324"/>
      <c r="AD13" s="324"/>
      <c r="AE13" s="324"/>
      <c r="AF13" s="324"/>
    </row>
    <row r="14" spans="1:32">
      <c r="A14" s="324"/>
      <c r="B14" s="377">
        <v>42582</v>
      </c>
      <c r="C14" s="198">
        <v>75.290001000000004</v>
      </c>
      <c r="D14" s="349">
        <f t="shared" si="0"/>
        <v>3.7052383940836986E-2</v>
      </c>
      <c r="E14" s="198">
        <v>2173.6000979999999</v>
      </c>
      <c r="F14" s="349">
        <f t="shared" si="1"/>
        <v>3.5609801125254359E-2</v>
      </c>
      <c r="G14" s="324"/>
      <c r="H14" s="500" t="s">
        <v>12</v>
      </c>
      <c r="I14" s="501"/>
      <c r="J14" s="232"/>
      <c r="K14" s="232"/>
      <c r="L14" s="377">
        <v>42729</v>
      </c>
      <c r="M14" s="198">
        <v>71.010002</v>
      </c>
      <c r="N14" s="349">
        <f t="shared" si="2"/>
        <v>-0.11181982908642252</v>
      </c>
      <c r="O14" s="198">
        <v>2263.790039</v>
      </c>
      <c r="P14" s="349">
        <f t="shared" si="3"/>
        <v>2.5331237861303535E-3</v>
      </c>
      <c r="Q14" s="232"/>
      <c r="R14" s="500" t="s">
        <v>12</v>
      </c>
      <c r="S14" s="501"/>
      <c r="T14" s="232"/>
      <c r="U14" s="232"/>
      <c r="V14" s="377">
        <v>42761</v>
      </c>
      <c r="W14" s="198">
        <v>75.25</v>
      </c>
      <c r="X14" s="349">
        <f t="shared" si="4"/>
        <v>-1.543896375768683E-2</v>
      </c>
      <c r="Y14" s="198">
        <v>2296.679932</v>
      </c>
      <c r="Z14" s="349">
        <f t="shared" si="5"/>
        <v>-7.3538416963325748E-4</v>
      </c>
      <c r="AA14" s="232"/>
      <c r="AB14" s="500" t="s">
        <v>12</v>
      </c>
      <c r="AC14" s="501"/>
      <c r="AD14" s="324"/>
      <c r="AE14" s="324"/>
      <c r="AF14" s="324"/>
    </row>
    <row r="15" spans="1:32">
      <c r="A15" s="324"/>
      <c r="B15" s="377">
        <v>42551</v>
      </c>
      <c r="C15" s="198">
        <v>72.599997999999999</v>
      </c>
      <c r="D15" s="349">
        <f t="shared" si="0"/>
        <v>-6.2742074138162574E-2</v>
      </c>
      <c r="E15" s="198">
        <v>2098.860107</v>
      </c>
      <c r="F15" s="349">
        <f t="shared" si="1"/>
        <v>9.1092112097812539E-4</v>
      </c>
      <c r="G15" s="324"/>
      <c r="H15" s="167" t="s">
        <v>13</v>
      </c>
      <c r="I15" s="282">
        <f>CORREL(D8:D2000,F8:F2000)</f>
        <v>0.53039987793581134</v>
      </c>
      <c r="J15" s="232"/>
      <c r="K15" s="232"/>
      <c r="L15" s="377">
        <v>42722</v>
      </c>
      <c r="M15" s="198">
        <v>79.949996999999996</v>
      </c>
      <c r="N15" s="349">
        <f t="shared" si="2"/>
        <v>1.6528861626729396E-2</v>
      </c>
      <c r="O15" s="198">
        <v>2258.070068</v>
      </c>
      <c r="P15" s="349">
        <f t="shared" si="3"/>
        <v>-6.4613480735464801E-4</v>
      </c>
      <c r="Q15" s="232"/>
      <c r="R15" s="167" t="s">
        <v>13</v>
      </c>
      <c r="S15" s="282">
        <f>CORREL(N8:N2000,P8:P2000)</f>
        <v>0.55105096555884447</v>
      </c>
      <c r="T15" s="232"/>
      <c r="U15" s="232"/>
      <c r="V15" s="377">
        <v>42760</v>
      </c>
      <c r="W15" s="198">
        <v>76.430000000000007</v>
      </c>
      <c r="X15" s="349">
        <f t="shared" si="4"/>
        <v>1.3257324671881232E-2</v>
      </c>
      <c r="Y15" s="198">
        <v>2298.3701169999999</v>
      </c>
      <c r="Z15" s="349">
        <f t="shared" si="5"/>
        <v>8.0260906262639153E-3</v>
      </c>
      <c r="AA15" s="232"/>
      <c r="AB15" s="167" t="s">
        <v>13</v>
      </c>
      <c r="AC15" s="282">
        <f>CORREL(X8:X1263,Z8:Z1263)</f>
        <v>0.53851006127890533</v>
      </c>
      <c r="AD15" s="324"/>
      <c r="AE15" s="324"/>
      <c r="AF15" s="324"/>
    </row>
    <row r="16" spans="1:32">
      <c r="A16" s="324"/>
      <c r="B16" s="377">
        <v>42521</v>
      </c>
      <c r="C16" s="198">
        <v>77.459998999999996</v>
      </c>
      <c r="D16" s="349">
        <f t="shared" si="0"/>
        <v>5.5744798047779875E-2</v>
      </c>
      <c r="E16" s="198">
        <v>2096.9499510000001</v>
      </c>
      <c r="F16" s="349">
        <f t="shared" si="1"/>
        <v>1.5324602357572603E-2</v>
      </c>
      <c r="G16" s="324"/>
      <c r="H16" s="168" t="s">
        <v>14</v>
      </c>
      <c r="I16" s="283">
        <f>RSQ(D8:D2000,F8:F2000)</f>
        <v>0.28132403051432348</v>
      </c>
      <c r="J16" s="232"/>
      <c r="K16" s="232"/>
      <c r="L16" s="377">
        <v>42715</v>
      </c>
      <c r="M16" s="198">
        <v>78.650002000000001</v>
      </c>
      <c r="N16" s="349">
        <f t="shared" si="2"/>
        <v>3.3780230447417736E-2</v>
      </c>
      <c r="O16" s="198">
        <v>2259.530029</v>
      </c>
      <c r="P16" s="349">
        <f t="shared" si="3"/>
        <v>3.0831031506521889E-2</v>
      </c>
      <c r="Q16" s="232"/>
      <c r="R16" s="168" t="s">
        <v>14</v>
      </c>
      <c r="S16" s="283">
        <f>RSQ(N8:N2000,P8:P2000)</f>
        <v>0.3036571666433347</v>
      </c>
      <c r="T16" s="232"/>
      <c r="U16" s="232"/>
      <c r="V16" s="377">
        <v>42759</v>
      </c>
      <c r="W16" s="198">
        <v>75.430000000000007</v>
      </c>
      <c r="X16" s="349">
        <f t="shared" si="4"/>
        <v>1.8498542222483039E-2</v>
      </c>
      <c r="Y16" s="198">
        <v>2280.070068</v>
      </c>
      <c r="Z16" s="349">
        <f t="shared" si="5"/>
        <v>6.5645935553879653E-3</v>
      </c>
      <c r="AA16" s="232"/>
      <c r="AB16" s="168" t="s">
        <v>14</v>
      </c>
      <c r="AC16" s="283">
        <f>RSQ(X8:X1263,Z8:Z1263)</f>
        <v>0.28999308609861035</v>
      </c>
      <c r="AD16" s="324"/>
      <c r="AE16" s="324"/>
      <c r="AF16" s="324"/>
    </row>
    <row r="17" spans="1:32">
      <c r="A17" s="324"/>
      <c r="B17" s="377">
        <v>42490</v>
      </c>
      <c r="C17" s="198">
        <v>73.370002999999997</v>
      </c>
      <c r="D17" s="349">
        <f t="shared" si="0"/>
        <v>-1.5299945905249079E-2</v>
      </c>
      <c r="E17" s="198">
        <v>2065.3000489999999</v>
      </c>
      <c r="F17" s="349">
        <f t="shared" si="1"/>
        <v>2.6993984808731941E-3</v>
      </c>
      <c r="G17" s="324"/>
      <c r="H17" s="167" t="s">
        <v>15</v>
      </c>
      <c r="I17" s="284">
        <f>COUNT(B8:B2000)</f>
        <v>60</v>
      </c>
      <c r="J17" s="232"/>
      <c r="K17" s="232"/>
      <c r="L17" s="377">
        <v>42708</v>
      </c>
      <c r="M17" s="198">
        <v>76.080001999999993</v>
      </c>
      <c r="N17" s="349">
        <f t="shared" si="2"/>
        <v>-3.464022420099544E-2</v>
      </c>
      <c r="O17" s="198">
        <v>2191.9499510000001</v>
      </c>
      <c r="P17" s="349">
        <f t="shared" si="3"/>
        <v>-9.6686678801231052E-3</v>
      </c>
      <c r="Q17" s="232"/>
      <c r="R17" s="167" t="s">
        <v>15</v>
      </c>
      <c r="S17" s="284">
        <f>COUNT(L8:L2000)</f>
        <v>260</v>
      </c>
      <c r="T17" s="232"/>
      <c r="U17" s="232"/>
      <c r="V17" s="377">
        <v>42758</v>
      </c>
      <c r="W17" s="198">
        <v>74.059997999999993</v>
      </c>
      <c r="X17" s="349">
        <f t="shared" si="4"/>
        <v>-1.8867790520261662E-3</v>
      </c>
      <c r="Y17" s="198">
        <v>2265.1999510000001</v>
      </c>
      <c r="Z17" s="349">
        <f t="shared" si="5"/>
        <v>-2.6901250121218467E-3</v>
      </c>
      <c r="AA17" s="232"/>
      <c r="AB17" s="167" t="s">
        <v>15</v>
      </c>
      <c r="AC17" s="284">
        <f>COUNT(V8:V1999)</f>
        <v>1257</v>
      </c>
      <c r="AD17" s="324"/>
      <c r="AE17" s="324"/>
      <c r="AF17" s="324"/>
    </row>
    <row r="18" spans="1:32">
      <c r="A18" s="324"/>
      <c r="B18" s="377">
        <v>42460</v>
      </c>
      <c r="C18" s="198">
        <v>74.510002</v>
      </c>
      <c r="D18" s="349">
        <f t="shared" si="0"/>
        <v>0.14016838990568914</v>
      </c>
      <c r="E18" s="198">
        <v>2059.73999</v>
      </c>
      <c r="F18" s="349">
        <f t="shared" si="1"/>
        <v>6.5991114577365062E-2</v>
      </c>
      <c r="G18" s="324"/>
      <c r="H18" s="324"/>
      <c r="I18" s="324"/>
      <c r="J18" s="324"/>
      <c r="K18" s="324"/>
      <c r="L18" s="377">
        <v>42701</v>
      </c>
      <c r="M18" s="198">
        <v>78.809997999999993</v>
      </c>
      <c r="N18" s="349">
        <f t="shared" si="2"/>
        <v>-2.7837656938349831E-3</v>
      </c>
      <c r="O18" s="198">
        <v>2213.3500979999999</v>
      </c>
      <c r="P18" s="349">
        <f t="shared" si="3"/>
        <v>1.4414133284103237E-2</v>
      </c>
      <c r="Q18" s="324"/>
      <c r="R18" s="324"/>
      <c r="S18" s="324"/>
      <c r="T18" s="324"/>
      <c r="U18" s="324"/>
      <c r="V18" s="377">
        <v>42755</v>
      </c>
      <c r="W18" s="198">
        <v>74.199996999999996</v>
      </c>
      <c r="X18" s="349">
        <f t="shared" si="4"/>
        <v>3.7878653622256397E-3</v>
      </c>
      <c r="Y18" s="198">
        <v>2271.3100589999999</v>
      </c>
      <c r="Z18" s="349">
        <f t="shared" si="5"/>
        <v>3.3662375142391454E-3</v>
      </c>
      <c r="AA18" s="324"/>
      <c r="AB18" s="324"/>
      <c r="AC18" s="324"/>
      <c r="AD18" s="324"/>
      <c r="AE18" s="324"/>
      <c r="AF18" s="324"/>
    </row>
    <row r="19" spans="1:32">
      <c r="A19" s="324"/>
      <c r="B19" s="377">
        <v>42429</v>
      </c>
      <c r="C19" s="198">
        <v>65.349997999999999</v>
      </c>
      <c r="D19" s="349">
        <f t="shared" si="0"/>
        <v>-6.7095000695431839E-2</v>
      </c>
      <c r="E19" s="198">
        <v>1932.2299800000001</v>
      </c>
      <c r="F19" s="349">
        <f t="shared" si="1"/>
        <v>-4.1283604302990717E-3</v>
      </c>
      <c r="G19" s="324"/>
      <c r="H19" s="324"/>
      <c r="I19" s="324"/>
      <c r="J19" s="324"/>
      <c r="K19" s="324"/>
      <c r="L19" s="377">
        <v>42694</v>
      </c>
      <c r="M19" s="198">
        <v>79.029999000000004</v>
      </c>
      <c r="N19" s="349">
        <f t="shared" si="2"/>
        <v>2.5697546046818509E-2</v>
      </c>
      <c r="O19" s="198">
        <v>2181.8999020000001</v>
      </c>
      <c r="P19" s="349">
        <f t="shared" si="3"/>
        <v>8.062071840440499E-3</v>
      </c>
      <c r="Q19" s="324"/>
      <c r="R19" s="324"/>
      <c r="S19" s="324"/>
      <c r="T19" s="324"/>
      <c r="U19" s="324"/>
      <c r="V19" s="377">
        <v>42754</v>
      </c>
      <c r="W19" s="198">
        <v>73.919998000000007</v>
      </c>
      <c r="X19" s="349">
        <f t="shared" si="4"/>
        <v>4.3478262051039884E-3</v>
      </c>
      <c r="Y19" s="198">
        <v>2263.6899410000001</v>
      </c>
      <c r="Z19" s="349">
        <f t="shared" si="5"/>
        <v>-3.6093087192583528E-3</v>
      </c>
      <c r="AA19" s="324"/>
      <c r="AB19" s="324"/>
      <c r="AC19" s="324"/>
      <c r="AD19" s="324"/>
      <c r="AE19" s="324"/>
      <c r="AF19" s="324"/>
    </row>
    <row r="20" spans="1:32">
      <c r="A20" s="324"/>
      <c r="B20" s="377">
        <v>42400</v>
      </c>
      <c r="C20" s="198">
        <v>70.050003000000004</v>
      </c>
      <c r="D20" s="349">
        <f t="shared" si="0"/>
        <v>-0.15408761391347925</v>
      </c>
      <c r="E20" s="198">
        <v>1940.23999</v>
      </c>
      <c r="F20" s="349">
        <f t="shared" si="1"/>
        <v>-5.073532197294639E-2</v>
      </c>
      <c r="G20" s="324"/>
      <c r="H20" s="324"/>
      <c r="I20" s="324"/>
      <c r="J20" s="324"/>
      <c r="K20" s="324"/>
      <c r="L20" s="377">
        <v>42687</v>
      </c>
      <c r="M20" s="198">
        <v>77.050003000000004</v>
      </c>
      <c r="N20" s="349">
        <f t="shared" si="2"/>
        <v>3.4922848955924124E-2</v>
      </c>
      <c r="O20" s="198">
        <v>2164.4499510000001</v>
      </c>
      <c r="P20" s="349">
        <f t="shared" si="3"/>
        <v>3.8015913055507111E-2</v>
      </c>
      <c r="Q20" s="324"/>
      <c r="R20" s="324"/>
      <c r="S20" s="324"/>
      <c r="T20" s="324"/>
      <c r="U20" s="324"/>
      <c r="V20" s="377">
        <v>42753</v>
      </c>
      <c r="W20" s="198">
        <v>73.599997999999999</v>
      </c>
      <c r="X20" s="349">
        <f t="shared" si="4"/>
        <v>1.1405813305172874E-2</v>
      </c>
      <c r="Y20" s="198">
        <v>2271.889893</v>
      </c>
      <c r="Z20" s="349">
        <f t="shared" si="5"/>
        <v>1.7637540571728838E-3</v>
      </c>
      <c r="AA20" s="324"/>
      <c r="AB20" s="324"/>
      <c r="AC20" s="324"/>
      <c r="AD20" s="324"/>
      <c r="AE20" s="324"/>
      <c r="AF20" s="324"/>
    </row>
    <row r="21" spans="1:32">
      <c r="A21" s="324"/>
      <c r="B21" s="377">
        <v>42369</v>
      </c>
      <c r="C21" s="198">
        <v>82.809997999999993</v>
      </c>
      <c r="D21" s="349">
        <f t="shared" si="0"/>
        <v>1.7196830011210862E-2</v>
      </c>
      <c r="E21" s="198">
        <v>2043.9399410000001</v>
      </c>
      <c r="F21" s="349">
        <f t="shared" si="1"/>
        <v>-1.7530185176314439E-2</v>
      </c>
      <c r="G21" s="324"/>
      <c r="H21" s="324"/>
      <c r="I21" s="324"/>
      <c r="J21" s="324"/>
      <c r="K21" s="324"/>
      <c r="L21" s="377">
        <v>42680</v>
      </c>
      <c r="M21" s="198">
        <v>74.449996999999996</v>
      </c>
      <c r="N21" s="349">
        <f t="shared" si="2"/>
        <v>-3.4496225723042118E-2</v>
      </c>
      <c r="O21" s="198">
        <v>2085.179932</v>
      </c>
      <c r="P21" s="349">
        <f t="shared" si="3"/>
        <v>-1.9389478842873342E-2</v>
      </c>
      <c r="Q21" s="324"/>
      <c r="R21" s="324"/>
      <c r="S21" s="324"/>
      <c r="T21" s="324"/>
      <c r="U21" s="324"/>
      <c r="V21" s="377">
        <v>42752</v>
      </c>
      <c r="W21" s="198">
        <v>72.769997000000004</v>
      </c>
      <c r="X21" s="349">
        <f t="shared" si="4"/>
        <v>-8.0425844050900919E-3</v>
      </c>
      <c r="Y21" s="198">
        <v>2267.889893</v>
      </c>
      <c r="Z21" s="349">
        <f t="shared" si="5"/>
        <v>-2.9675026894465661E-3</v>
      </c>
      <c r="AA21" s="324"/>
      <c r="AB21" s="324"/>
      <c r="AC21" s="324"/>
      <c r="AD21" s="324"/>
      <c r="AE21" s="324"/>
      <c r="AF21" s="324"/>
    </row>
    <row r="22" spans="1:32">
      <c r="A22" s="324"/>
      <c r="B22" s="377">
        <v>42338</v>
      </c>
      <c r="C22" s="198">
        <v>81.410004000000001</v>
      </c>
      <c r="D22" s="349">
        <f t="shared" si="0"/>
        <v>2.9073479597099272E-2</v>
      </c>
      <c r="E22" s="198">
        <v>2080.4099120000001</v>
      </c>
      <c r="F22" s="349">
        <f t="shared" si="1"/>
        <v>5.0486926072412786E-4</v>
      </c>
      <c r="G22" s="324"/>
      <c r="H22" s="324"/>
      <c r="I22" s="324"/>
      <c r="J22" s="324"/>
      <c r="K22" s="324"/>
      <c r="L22" s="377">
        <v>42673</v>
      </c>
      <c r="M22" s="198">
        <v>77.110000999999997</v>
      </c>
      <c r="N22" s="349">
        <f t="shared" si="2"/>
        <v>1.9490904619163807E-3</v>
      </c>
      <c r="O22" s="198">
        <v>2126.4099120000001</v>
      </c>
      <c r="P22" s="349">
        <f t="shared" si="3"/>
        <v>-6.8887895375466801E-3</v>
      </c>
      <c r="Q22" s="324"/>
      <c r="R22" s="324"/>
      <c r="S22" s="324"/>
      <c r="T22" s="324"/>
      <c r="U22" s="324"/>
      <c r="V22" s="377">
        <v>42748</v>
      </c>
      <c r="W22" s="198">
        <v>73.360000999999997</v>
      </c>
      <c r="X22" s="349">
        <f t="shared" si="4"/>
        <v>4.518718396805621E-3</v>
      </c>
      <c r="Y22" s="198">
        <v>2274.639893</v>
      </c>
      <c r="Z22" s="349">
        <f t="shared" si="5"/>
        <v>1.8498406076092877E-3</v>
      </c>
      <c r="AA22" s="324"/>
      <c r="AB22" s="324"/>
      <c r="AC22" s="324"/>
      <c r="AD22" s="324"/>
      <c r="AE22" s="324"/>
      <c r="AF22" s="324"/>
    </row>
    <row r="23" spans="1:32">
      <c r="A23" s="324"/>
      <c r="B23" s="377">
        <v>42308</v>
      </c>
      <c r="C23" s="198">
        <v>79.110000999999997</v>
      </c>
      <c r="D23" s="349">
        <f t="shared" si="0"/>
        <v>0.10058436702494578</v>
      </c>
      <c r="E23" s="198">
        <v>2079.360107</v>
      </c>
      <c r="F23" s="349">
        <f t="shared" si="1"/>
        <v>8.2983117760394132E-2</v>
      </c>
      <c r="G23" s="324"/>
      <c r="H23" s="324"/>
      <c r="I23" s="324"/>
      <c r="J23" s="324"/>
      <c r="K23" s="324"/>
      <c r="L23" s="377">
        <v>42666</v>
      </c>
      <c r="M23" s="198">
        <v>76.959998999999996</v>
      </c>
      <c r="N23" s="349">
        <f t="shared" si="2"/>
        <v>-3.1087825042273032E-3</v>
      </c>
      <c r="O23" s="198">
        <v>2141.1599120000001</v>
      </c>
      <c r="P23" s="349">
        <f t="shared" si="3"/>
        <v>3.8349783292386252E-3</v>
      </c>
      <c r="Q23" s="324"/>
      <c r="R23" s="324"/>
      <c r="S23" s="324"/>
      <c r="T23" s="324"/>
      <c r="U23" s="324"/>
      <c r="V23" s="377">
        <v>42747</v>
      </c>
      <c r="W23" s="198">
        <v>73.029999000000004</v>
      </c>
      <c r="X23" s="349">
        <f t="shared" si="4"/>
        <v>9.6778235952490466E-3</v>
      </c>
      <c r="Y23" s="198">
        <v>2270.4399410000001</v>
      </c>
      <c r="Z23" s="349">
        <f t="shared" si="5"/>
        <v>-2.1448090176998669E-3</v>
      </c>
      <c r="AA23" s="324"/>
      <c r="AB23" s="324"/>
      <c r="AC23" s="324"/>
      <c r="AD23" s="324"/>
      <c r="AE23" s="324"/>
      <c r="AF23" s="324"/>
    </row>
    <row r="24" spans="1:32">
      <c r="A24" s="324"/>
      <c r="B24" s="377">
        <v>42277</v>
      </c>
      <c r="C24" s="198">
        <v>71.879997000000003</v>
      </c>
      <c r="D24" s="349">
        <f t="shared" si="0"/>
        <v>-4.5700319148320734E-3</v>
      </c>
      <c r="E24" s="198">
        <v>1920.030029</v>
      </c>
      <c r="F24" s="349">
        <f t="shared" si="1"/>
        <v>-2.6442831573227132E-2</v>
      </c>
      <c r="G24" s="324"/>
      <c r="H24" s="324"/>
      <c r="I24" s="324"/>
      <c r="J24" s="324"/>
      <c r="K24" s="324"/>
      <c r="L24" s="377">
        <v>42659</v>
      </c>
      <c r="M24" s="198">
        <v>77.199996999999996</v>
      </c>
      <c r="N24" s="349">
        <f t="shared" si="2"/>
        <v>-7.7121590856494837E-3</v>
      </c>
      <c r="O24" s="198">
        <v>2132.9799800000001</v>
      </c>
      <c r="P24" s="349">
        <f t="shared" si="3"/>
        <v>-9.639051183703895E-3</v>
      </c>
      <c r="Q24" s="324"/>
      <c r="R24" s="324"/>
      <c r="S24" s="324"/>
      <c r="T24" s="324"/>
      <c r="U24" s="324"/>
      <c r="V24" s="377">
        <v>42746</v>
      </c>
      <c r="W24" s="198">
        <v>72.330001999999993</v>
      </c>
      <c r="X24" s="349">
        <f t="shared" si="4"/>
        <v>9.3496785180195996E-3</v>
      </c>
      <c r="Y24" s="198">
        <v>2275.320068</v>
      </c>
      <c r="Z24" s="349">
        <f t="shared" si="5"/>
        <v>2.8296382728654201E-3</v>
      </c>
      <c r="AA24" s="324"/>
      <c r="AB24" s="324"/>
      <c r="AC24" s="324"/>
      <c r="AD24" s="324"/>
      <c r="AE24" s="324"/>
      <c r="AF24" s="324"/>
    </row>
    <row r="25" spans="1:32">
      <c r="A25" s="324"/>
      <c r="B25" s="377">
        <v>42247</v>
      </c>
      <c r="C25" s="198">
        <v>72.209998999999996</v>
      </c>
      <c r="D25" s="349">
        <f t="shared" si="0"/>
        <v>-8.687408733247115E-2</v>
      </c>
      <c r="E25" s="198">
        <v>1972.1800539999999</v>
      </c>
      <c r="F25" s="349">
        <f t="shared" si="1"/>
        <v>-6.2580818167202845E-2</v>
      </c>
      <c r="G25" s="324"/>
      <c r="H25" s="324"/>
      <c r="I25" s="324"/>
      <c r="J25" s="324"/>
      <c r="K25" s="324"/>
      <c r="L25" s="377">
        <v>42652</v>
      </c>
      <c r="M25" s="198">
        <v>77.800003000000004</v>
      </c>
      <c r="N25" s="349">
        <f t="shared" si="2"/>
        <v>-3.7486068601111588E-2</v>
      </c>
      <c r="O25" s="198">
        <v>2153.73999</v>
      </c>
      <c r="P25" s="349">
        <f t="shared" si="3"/>
        <v>-6.7012087359856753E-3</v>
      </c>
      <c r="Q25" s="324"/>
      <c r="R25" s="324"/>
      <c r="S25" s="324"/>
      <c r="T25" s="324"/>
      <c r="U25" s="324"/>
      <c r="V25" s="377">
        <v>42745</v>
      </c>
      <c r="W25" s="198">
        <v>71.660004000000001</v>
      </c>
      <c r="X25" s="349">
        <f t="shared" si="4"/>
        <v>-6.6536596431059358E-3</v>
      </c>
      <c r="Y25" s="198">
        <v>2268.8999020000001</v>
      </c>
      <c r="Z25" s="349">
        <f t="shared" si="5"/>
        <v>0</v>
      </c>
      <c r="AA25" s="324"/>
      <c r="AB25" s="324"/>
      <c r="AC25" s="324"/>
      <c r="AD25" s="324"/>
      <c r="AE25" s="324"/>
      <c r="AF25" s="324"/>
    </row>
    <row r="26" spans="1:32">
      <c r="A26" s="324"/>
      <c r="B26" s="377">
        <v>42216</v>
      </c>
      <c r="C26" s="198">
        <v>79.080001999999993</v>
      </c>
      <c r="D26" s="349">
        <f t="shared" si="0"/>
        <v>4.1485605162649541E-2</v>
      </c>
      <c r="E26" s="198">
        <v>2103.8400879999999</v>
      </c>
      <c r="F26" s="349">
        <f t="shared" si="1"/>
        <v>1.9742029696721453E-2</v>
      </c>
      <c r="G26" s="324"/>
      <c r="H26" s="324"/>
      <c r="I26" s="324"/>
      <c r="J26" s="324"/>
      <c r="K26" s="324"/>
      <c r="L26" s="377">
        <v>42645</v>
      </c>
      <c r="M26" s="198">
        <v>80.830001999999993</v>
      </c>
      <c r="N26" s="349">
        <f t="shared" si="2"/>
        <v>2.1483698527120954E-2</v>
      </c>
      <c r="O26" s="198">
        <v>2168.2700199999999</v>
      </c>
      <c r="P26" s="349">
        <f t="shared" si="3"/>
        <v>1.6538530217153902E-3</v>
      </c>
      <c r="Q26" s="324"/>
      <c r="R26" s="324"/>
      <c r="S26" s="324"/>
      <c r="T26" s="324"/>
      <c r="U26" s="324"/>
      <c r="V26" s="377">
        <v>42744</v>
      </c>
      <c r="W26" s="198">
        <v>72.139999000000003</v>
      </c>
      <c r="X26" s="349">
        <f t="shared" si="4"/>
        <v>-2.249327821843039E-2</v>
      </c>
      <c r="Y26" s="198">
        <v>2268.8999020000001</v>
      </c>
      <c r="Z26" s="349">
        <f t="shared" si="5"/>
        <v>-3.5485942217199362E-3</v>
      </c>
      <c r="AA26" s="324"/>
      <c r="AB26" s="324"/>
      <c r="AC26" s="324"/>
      <c r="AD26" s="324"/>
      <c r="AE26" s="324"/>
      <c r="AF26" s="324"/>
    </row>
    <row r="27" spans="1:32">
      <c r="A27" s="324"/>
      <c r="B27" s="377">
        <v>42185</v>
      </c>
      <c r="C27" s="198">
        <v>75.930000000000007</v>
      </c>
      <c r="D27" s="349">
        <f t="shared" si="0"/>
        <v>-1.7341750382104948E-2</v>
      </c>
      <c r="E27" s="198">
        <v>2063.110107</v>
      </c>
      <c r="F27" s="349">
        <f t="shared" si="1"/>
        <v>-2.1011672375900514E-2</v>
      </c>
      <c r="G27" s="324"/>
      <c r="H27" s="324"/>
      <c r="I27" s="324"/>
      <c r="J27" s="324"/>
      <c r="K27" s="324"/>
      <c r="L27" s="377">
        <v>42638</v>
      </c>
      <c r="M27" s="198">
        <v>79.129997000000003</v>
      </c>
      <c r="N27" s="349">
        <f t="shared" si="2"/>
        <v>7.2222137985549884E-2</v>
      </c>
      <c r="O27" s="198">
        <v>2164.6899410000001</v>
      </c>
      <c r="P27" s="349">
        <f t="shared" si="3"/>
        <v>1.1934605195611958E-2</v>
      </c>
      <c r="Q27" s="324"/>
      <c r="R27" s="324"/>
      <c r="S27" s="324"/>
      <c r="T27" s="324"/>
      <c r="U27" s="324"/>
      <c r="V27" s="377">
        <v>42741</v>
      </c>
      <c r="W27" s="198">
        <v>73.800003000000004</v>
      </c>
      <c r="X27" s="349">
        <f t="shared" si="4"/>
        <v>9.5759920540627874E-3</v>
      </c>
      <c r="Y27" s="198">
        <v>2276.9799800000001</v>
      </c>
      <c r="Z27" s="349">
        <f t="shared" si="5"/>
        <v>3.5169590127810402E-3</v>
      </c>
      <c r="AA27" s="324"/>
      <c r="AB27" s="324"/>
      <c r="AC27" s="324"/>
      <c r="AD27" s="324"/>
      <c r="AE27" s="324"/>
      <c r="AF27" s="324"/>
    </row>
    <row r="28" spans="1:32">
      <c r="A28" s="324"/>
      <c r="B28" s="377">
        <v>42155</v>
      </c>
      <c r="C28" s="198">
        <v>77.269997000000004</v>
      </c>
      <c r="D28" s="349">
        <f t="shared" si="0"/>
        <v>2.6707347151013971E-2</v>
      </c>
      <c r="E28" s="198">
        <v>2107.389893</v>
      </c>
      <c r="F28" s="349">
        <f t="shared" si="1"/>
        <v>1.0491382393316817E-2</v>
      </c>
      <c r="G28" s="324"/>
      <c r="H28" s="324"/>
      <c r="I28" s="324"/>
      <c r="J28" s="324"/>
      <c r="K28" s="324"/>
      <c r="L28" s="377">
        <v>42631</v>
      </c>
      <c r="M28" s="198">
        <v>73.800003000000004</v>
      </c>
      <c r="N28" s="349">
        <f t="shared" si="2"/>
        <v>2.159475419697543E-2</v>
      </c>
      <c r="O28" s="198">
        <v>2139.1599120000001</v>
      </c>
      <c r="P28" s="349">
        <f t="shared" si="3"/>
        <v>5.33405364449413E-3</v>
      </c>
      <c r="Q28" s="324"/>
      <c r="R28" s="324"/>
      <c r="S28" s="324"/>
      <c r="T28" s="324"/>
      <c r="U28" s="324"/>
      <c r="V28" s="377">
        <v>42740</v>
      </c>
      <c r="W28" s="198">
        <v>73.099997999999999</v>
      </c>
      <c r="X28" s="349">
        <f t="shared" si="4"/>
        <v>0</v>
      </c>
      <c r="Y28" s="198">
        <v>2269</v>
      </c>
      <c r="Z28" s="349">
        <f t="shared" si="5"/>
        <v>-7.7067048332046806E-4</v>
      </c>
      <c r="AA28" s="324"/>
      <c r="AB28" s="324"/>
      <c r="AC28" s="324"/>
      <c r="AD28" s="324"/>
      <c r="AE28" s="324"/>
      <c r="AF28" s="324"/>
    </row>
    <row r="29" spans="1:32">
      <c r="A29" s="324"/>
      <c r="B29" s="377">
        <v>42124</v>
      </c>
      <c r="C29" s="198">
        <v>75.260002</v>
      </c>
      <c r="D29" s="349">
        <f t="shared" si="0"/>
        <v>-6.4686204620462151E-3</v>
      </c>
      <c r="E29" s="198">
        <v>2085.51001</v>
      </c>
      <c r="F29" s="349">
        <f t="shared" si="1"/>
        <v>8.5208197301247512E-3</v>
      </c>
      <c r="G29" s="324"/>
      <c r="H29" s="324"/>
      <c r="I29" s="324"/>
      <c r="J29" s="324"/>
      <c r="K29" s="324"/>
      <c r="L29" s="377">
        <v>42624</v>
      </c>
      <c r="M29" s="198">
        <v>72.239998</v>
      </c>
      <c r="N29" s="349">
        <f t="shared" si="2"/>
        <v>-2.0474603389830537E-2</v>
      </c>
      <c r="O29" s="198">
        <v>2127.8100589999999</v>
      </c>
      <c r="P29" s="349">
        <f t="shared" si="3"/>
        <v>-2.3931376195482357E-2</v>
      </c>
      <c r="Q29" s="324"/>
      <c r="R29" s="324"/>
      <c r="S29" s="324"/>
      <c r="T29" s="324"/>
      <c r="U29" s="324"/>
      <c r="V29" s="377">
        <v>42739</v>
      </c>
      <c r="W29" s="198">
        <v>73.099997999999999</v>
      </c>
      <c r="X29" s="349">
        <f t="shared" si="4"/>
        <v>4.2498500748780588E-2</v>
      </c>
      <c r="Y29" s="198">
        <v>2270.75</v>
      </c>
      <c r="Z29" s="349">
        <f t="shared" si="5"/>
        <v>5.7222738442055388E-3</v>
      </c>
      <c r="AA29" s="324"/>
      <c r="AB29" s="324"/>
      <c r="AC29" s="324"/>
      <c r="AD29" s="324"/>
      <c r="AE29" s="324"/>
      <c r="AF29" s="324"/>
    </row>
    <row r="30" spans="1:32">
      <c r="A30" s="324"/>
      <c r="B30" s="377">
        <v>42094</v>
      </c>
      <c r="C30" s="198">
        <v>75.75</v>
      </c>
      <c r="D30" s="349">
        <f t="shared" si="0"/>
        <v>9.5920091322912793E-2</v>
      </c>
      <c r="E30" s="198">
        <v>2067.889893</v>
      </c>
      <c r="F30" s="349">
        <f t="shared" si="1"/>
        <v>-1.739610691375626E-2</v>
      </c>
      <c r="G30" s="324"/>
      <c r="H30" s="324"/>
      <c r="I30" s="324"/>
      <c r="J30" s="324"/>
      <c r="K30" s="324"/>
      <c r="L30" s="377">
        <v>42617</v>
      </c>
      <c r="M30" s="198">
        <v>73.75</v>
      </c>
      <c r="N30" s="349">
        <f t="shared" si="2"/>
        <v>-8.3367349064110696E-3</v>
      </c>
      <c r="O30" s="198">
        <v>2179.9799800000001</v>
      </c>
      <c r="P30" s="349">
        <f t="shared" si="3"/>
        <v>5.0436786796448363E-3</v>
      </c>
      <c r="Q30" s="324"/>
      <c r="R30" s="324"/>
      <c r="S30" s="324"/>
      <c r="T30" s="324"/>
      <c r="U30" s="324"/>
      <c r="V30" s="377">
        <v>42738</v>
      </c>
      <c r="W30" s="198">
        <v>70.120002999999997</v>
      </c>
      <c r="X30" s="349">
        <f t="shared" si="4"/>
        <v>6.0259113067107073E-3</v>
      </c>
      <c r="Y30" s="198">
        <v>2257.830078</v>
      </c>
      <c r="Z30" s="349">
        <f t="shared" si="5"/>
        <v>8.486575281753117E-3</v>
      </c>
      <c r="AA30" s="324"/>
      <c r="AB30" s="324"/>
      <c r="AC30" s="324"/>
      <c r="AD30" s="324"/>
      <c r="AE30" s="324"/>
      <c r="AF30" s="324"/>
    </row>
    <row r="31" spans="1:32">
      <c r="A31" s="324"/>
      <c r="B31" s="377">
        <v>42063</v>
      </c>
      <c r="C31" s="198">
        <v>69.120002999999997</v>
      </c>
      <c r="D31" s="349">
        <f t="shared" si="0"/>
        <v>8.355544625246214E-2</v>
      </c>
      <c r="E31" s="198">
        <v>2104.5</v>
      </c>
      <c r="F31" s="349">
        <f t="shared" si="1"/>
        <v>5.4892511014553946E-2</v>
      </c>
      <c r="G31" s="324"/>
      <c r="H31" s="324"/>
      <c r="I31" s="324"/>
      <c r="J31" s="324"/>
      <c r="K31" s="324"/>
      <c r="L31" s="377">
        <v>42610</v>
      </c>
      <c r="M31" s="198">
        <v>74.370002999999997</v>
      </c>
      <c r="N31" s="349">
        <f t="shared" si="2"/>
        <v>1.886029830821867E-3</v>
      </c>
      <c r="O31" s="198">
        <v>2169.040039</v>
      </c>
      <c r="P31" s="349">
        <f t="shared" si="3"/>
        <v>-6.7907326010633318E-3</v>
      </c>
      <c r="Q31" s="324"/>
      <c r="R31" s="324"/>
      <c r="S31" s="324"/>
      <c r="T31" s="324"/>
      <c r="U31" s="324"/>
      <c r="V31" s="377">
        <v>42734</v>
      </c>
      <c r="W31" s="198">
        <v>69.699996999999996</v>
      </c>
      <c r="X31" s="349">
        <f t="shared" si="4"/>
        <v>7.1780328161352713E-4</v>
      </c>
      <c r="Y31" s="198">
        <v>2238.830078</v>
      </c>
      <c r="Z31" s="349">
        <f t="shared" si="5"/>
        <v>-4.6370503870737378E-3</v>
      </c>
      <c r="AA31" s="324"/>
      <c r="AB31" s="324"/>
      <c r="AC31" s="324"/>
      <c r="AD31" s="324"/>
      <c r="AE31" s="324"/>
      <c r="AF31" s="324"/>
    </row>
    <row r="32" spans="1:32">
      <c r="A32" s="324"/>
      <c r="B32" s="377">
        <v>42035</v>
      </c>
      <c r="C32" s="198">
        <v>63.790000999999997</v>
      </c>
      <c r="D32" s="349">
        <f t="shared" si="0"/>
        <v>-7.7379202739068731E-2</v>
      </c>
      <c r="E32" s="198">
        <v>1994.98999</v>
      </c>
      <c r="F32" s="349">
        <f t="shared" si="1"/>
        <v>-3.1040805790470194E-2</v>
      </c>
      <c r="G32" s="324"/>
      <c r="H32" s="324"/>
      <c r="I32" s="324"/>
      <c r="J32" s="324"/>
      <c r="K32" s="324"/>
      <c r="L32" s="377">
        <v>42603</v>
      </c>
      <c r="M32" s="198">
        <v>74.230002999999996</v>
      </c>
      <c r="N32" s="349">
        <f t="shared" si="2"/>
        <v>3.1081486486486121E-3</v>
      </c>
      <c r="O32" s="198">
        <v>2183.8701169999999</v>
      </c>
      <c r="P32" s="349">
        <f t="shared" si="3"/>
        <v>-8.2384558944714747E-5</v>
      </c>
      <c r="Q32" s="324"/>
      <c r="R32" s="324"/>
      <c r="S32" s="324"/>
      <c r="T32" s="324"/>
      <c r="U32" s="324"/>
      <c r="V32" s="377">
        <v>42733</v>
      </c>
      <c r="W32" s="198">
        <v>69.650002000000001</v>
      </c>
      <c r="X32" s="349">
        <f t="shared" si="4"/>
        <v>-5.2841333312254601E-3</v>
      </c>
      <c r="Y32" s="198">
        <v>2249.26001</v>
      </c>
      <c r="Z32" s="349">
        <f t="shared" si="5"/>
        <v>-2.9330466100030428E-4</v>
      </c>
      <c r="AA32" s="324"/>
      <c r="AB32" s="324"/>
      <c r="AC32" s="324"/>
      <c r="AD32" s="324"/>
      <c r="AE32" s="324"/>
      <c r="AF32" s="324"/>
    </row>
    <row r="33" spans="1:32">
      <c r="A33" s="324"/>
      <c r="B33" s="377">
        <v>42004</v>
      </c>
      <c r="C33" s="198">
        <v>69.139999000000003</v>
      </c>
      <c r="D33" s="349">
        <f t="shared" si="0"/>
        <v>0.11246977916428702</v>
      </c>
      <c r="E33" s="198">
        <v>2058.8999020000001</v>
      </c>
      <c r="F33" s="349">
        <f t="shared" si="1"/>
        <v>-4.1885878779204244E-3</v>
      </c>
      <c r="G33" s="324"/>
      <c r="H33" s="324"/>
      <c r="I33" s="324"/>
      <c r="J33" s="324"/>
      <c r="K33" s="324"/>
      <c r="L33" s="377">
        <v>42596</v>
      </c>
      <c r="M33" s="198">
        <v>74</v>
      </c>
      <c r="N33" s="349">
        <f t="shared" si="2"/>
        <v>-2.4132954658236616E-2</v>
      </c>
      <c r="O33" s="198">
        <v>2184.0500489999999</v>
      </c>
      <c r="P33" s="349">
        <f t="shared" si="3"/>
        <v>5.4054155160709882E-4</v>
      </c>
      <c r="Q33" s="324"/>
      <c r="R33" s="324"/>
      <c r="S33" s="324"/>
      <c r="T33" s="324"/>
      <c r="U33" s="324"/>
      <c r="V33" s="377">
        <v>42732</v>
      </c>
      <c r="W33" s="198">
        <v>70.019997000000004</v>
      </c>
      <c r="X33" s="349">
        <f t="shared" si="4"/>
        <v>-2.4220686017362159E-3</v>
      </c>
      <c r="Y33" s="198">
        <v>2249.919922</v>
      </c>
      <c r="Z33" s="349">
        <f t="shared" si="5"/>
        <v>-8.3565292028286997E-3</v>
      </c>
      <c r="AA33" s="324"/>
      <c r="AB33" s="324"/>
      <c r="AC33" s="324"/>
      <c r="AD33" s="324"/>
      <c r="AE33" s="324"/>
      <c r="AF33" s="324"/>
    </row>
    <row r="34" spans="1:32">
      <c r="A34" s="324"/>
      <c r="B34" s="377">
        <v>41973</v>
      </c>
      <c r="C34" s="198">
        <v>62.150002000000001</v>
      </c>
      <c r="D34" s="349">
        <f t="shared" si="0"/>
        <v>5.4820164793624171E-2</v>
      </c>
      <c r="E34" s="198">
        <v>2067.5600589999999</v>
      </c>
      <c r="F34" s="349">
        <f t="shared" si="1"/>
        <v>2.4533588760364822E-2</v>
      </c>
      <c r="G34" s="324"/>
      <c r="H34" s="324"/>
      <c r="I34" s="324"/>
      <c r="J34" s="324"/>
      <c r="K34" s="324"/>
      <c r="L34" s="377">
        <v>42589</v>
      </c>
      <c r="M34" s="198">
        <v>75.830001999999993</v>
      </c>
      <c r="N34" s="349">
        <f t="shared" si="2"/>
        <v>7.1722804200784473E-3</v>
      </c>
      <c r="O34" s="198">
        <v>2182.8701169999999</v>
      </c>
      <c r="P34" s="349">
        <f t="shared" si="3"/>
        <v>4.2648226822079582E-3</v>
      </c>
      <c r="Q34" s="324"/>
      <c r="R34" s="324"/>
      <c r="S34" s="324"/>
      <c r="T34" s="324"/>
      <c r="U34" s="324"/>
      <c r="V34" s="377">
        <v>42731</v>
      </c>
      <c r="W34" s="198">
        <v>70.190002000000007</v>
      </c>
      <c r="X34" s="349">
        <f t="shared" si="4"/>
        <v>-1.1547669017105355E-2</v>
      </c>
      <c r="Y34" s="198">
        <v>2268.8798830000001</v>
      </c>
      <c r="Z34" s="349">
        <f t="shared" si="5"/>
        <v>2.2483728227060684E-3</v>
      </c>
      <c r="AA34" s="324"/>
      <c r="AB34" s="324"/>
      <c r="AC34" s="324"/>
      <c r="AD34" s="324"/>
      <c r="AE34" s="324"/>
      <c r="AF34" s="324"/>
    </row>
    <row r="35" spans="1:32">
      <c r="A35" s="324"/>
      <c r="B35" s="377">
        <v>41943</v>
      </c>
      <c r="C35" s="198">
        <v>58.919998</v>
      </c>
      <c r="D35" s="349">
        <f t="shared" si="0"/>
        <v>4.9332073042490654E-2</v>
      </c>
      <c r="E35" s="198">
        <v>2018.0500489999999</v>
      </c>
      <c r="F35" s="349">
        <f t="shared" si="1"/>
        <v>2.3201460786772321E-2</v>
      </c>
      <c r="G35" s="324"/>
      <c r="H35" s="324"/>
      <c r="I35" s="324"/>
      <c r="J35" s="324"/>
      <c r="K35" s="324"/>
      <c r="L35" s="377">
        <v>42582</v>
      </c>
      <c r="M35" s="198">
        <v>75.290001000000004</v>
      </c>
      <c r="N35" s="349">
        <f t="shared" si="2"/>
        <v>2.4772015451585583E-2</v>
      </c>
      <c r="O35" s="198">
        <v>2173.6000979999999</v>
      </c>
      <c r="P35" s="349">
        <f t="shared" si="3"/>
        <v>-6.5743046345778655E-4</v>
      </c>
      <c r="Q35" s="324"/>
      <c r="R35" s="324"/>
      <c r="S35" s="324"/>
      <c r="T35" s="324"/>
      <c r="U35" s="324"/>
      <c r="V35" s="377">
        <v>42727</v>
      </c>
      <c r="W35" s="198">
        <v>71.010002</v>
      </c>
      <c r="X35" s="349">
        <f t="shared" si="4"/>
        <v>3.3474065397672392E-2</v>
      </c>
      <c r="Y35" s="198">
        <v>2263.790039</v>
      </c>
      <c r="Z35" s="349">
        <f t="shared" si="5"/>
        <v>1.2517152222140115E-3</v>
      </c>
      <c r="AA35" s="324"/>
      <c r="AB35" s="324"/>
      <c r="AC35" s="324"/>
      <c r="AD35" s="324"/>
      <c r="AE35" s="324"/>
      <c r="AF35" s="324"/>
    </row>
    <row r="36" spans="1:32">
      <c r="A36" s="324"/>
      <c r="B36" s="377">
        <v>41912</v>
      </c>
      <c r="C36" s="198">
        <v>56.150002000000001</v>
      </c>
      <c r="D36" s="349">
        <f t="shared" si="0"/>
        <v>-7.8299345971744816E-2</v>
      </c>
      <c r="E36" s="198">
        <v>1972.290039</v>
      </c>
      <c r="F36" s="349">
        <f t="shared" si="1"/>
        <v>-1.5513837223063764E-2</v>
      </c>
      <c r="G36" s="324"/>
      <c r="H36" s="324"/>
      <c r="I36" s="324"/>
      <c r="J36" s="324"/>
      <c r="K36" s="324"/>
      <c r="L36" s="377">
        <v>42575</v>
      </c>
      <c r="M36" s="198">
        <v>73.470000999999996</v>
      </c>
      <c r="N36" s="349">
        <f t="shared" si="2"/>
        <v>8.7875735606872674E-3</v>
      </c>
      <c r="O36" s="198">
        <v>2175.030029</v>
      </c>
      <c r="P36" s="349">
        <f t="shared" si="3"/>
        <v>6.1478434323638531E-3</v>
      </c>
      <c r="Q36" s="324"/>
      <c r="R36" s="324"/>
      <c r="S36" s="324"/>
      <c r="T36" s="324"/>
      <c r="U36" s="324"/>
      <c r="V36" s="377">
        <v>42726</v>
      </c>
      <c r="W36" s="198">
        <v>68.709998999999996</v>
      </c>
      <c r="X36" s="349">
        <f t="shared" si="4"/>
        <v>-0.13886454268875126</v>
      </c>
      <c r="Y36" s="198">
        <v>2260.959961</v>
      </c>
      <c r="Z36" s="349">
        <f t="shared" si="5"/>
        <v>-1.8629738593322065E-3</v>
      </c>
      <c r="AA36" s="324"/>
      <c r="AB36" s="324"/>
      <c r="AC36" s="324"/>
      <c r="AD36" s="324"/>
      <c r="AE36" s="324"/>
      <c r="AF36" s="324"/>
    </row>
    <row r="37" spans="1:32">
      <c r="A37" s="324"/>
      <c r="B37" s="377">
        <v>41882</v>
      </c>
      <c r="C37" s="198">
        <v>60.919998</v>
      </c>
      <c r="D37" s="349">
        <f t="shared" si="0"/>
        <v>4.8176170822026299E-2</v>
      </c>
      <c r="E37" s="198">
        <v>2003.369995</v>
      </c>
      <c r="F37" s="349">
        <f t="shared" si="1"/>
        <v>3.7655295489735119E-2</v>
      </c>
      <c r="G37" s="324"/>
      <c r="H37" s="324"/>
      <c r="I37" s="324"/>
      <c r="J37" s="324"/>
      <c r="K37" s="324"/>
      <c r="L37" s="377">
        <v>42568</v>
      </c>
      <c r="M37" s="198">
        <v>72.830001999999993</v>
      </c>
      <c r="N37" s="349">
        <f t="shared" si="2"/>
        <v>1.9259870153804926E-3</v>
      </c>
      <c r="O37" s="198">
        <v>2161.73999</v>
      </c>
      <c r="P37" s="349">
        <f t="shared" si="3"/>
        <v>1.4949100645575752E-2</v>
      </c>
      <c r="Q37" s="324"/>
      <c r="R37" s="324"/>
      <c r="S37" s="324"/>
      <c r="T37" s="324"/>
      <c r="U37" s="324"/>
      <c r="V37" s="377">
        <v>42725</v>
      </c>
      <c r="W37" s="198">
        <v>79.790001000000004</v>
      </c>
      <c r="X37" s="349">
        <f t="shared" si="4"/>
        <v>5.0384431923220507E-3</v>
      </c>
      <c r="Y37" s="198">
        <v>2265.179932</v>
      </c>
      <c r="Z37" s="349">
        <f t="shared" si="5"/>
        <v>-2.4573614012164402E-3</v>
      </c>
      <c r="AA37" s="324"/>
      <c r="AB37" s="324"/>
      <c r="AC37" s="324"/>
      <c r="AD37" s="324"/>
      <c r="AE37" s="324"/>
      <c r="AF37" s="324"/>
    </row>
    <row r="38" spans="1:32">
      <c r="A38" s="324"/>
      <c r="B38" s="377">
        <v>41851</v>
      </c>
      <c r="C38" s="198">
        <v>58.119999</v>
      </c>
      <c r="D38" s="349">
        <f t="shared" si="0"/>
        <v>5.1565026234847045E-2</v>
      </c>
      <c r="E38" s="198">
        <v>1930.670044</v>
      </c>
      <c r="F38" s="349">
        <f t="shared" si="1"/>
        <v>-1.5079830581919862E-2</v>
      </c>
      <c r="G38" s="324"/>
      <c r="H38" s="324"/>
      <c r="I38" s="324"/>
      <c r="J38" s="324"/>
      <c r="K38" s="324"/>
      <c r="L38" s="377">
        <v>42561</v>
      </c>
      <c r="M38" s="198">
        <v>72.690002000000007</v>
      </c>
      <c r="N38" s="349">
        <f t="shared" si="2"/>
        <v>9.7236285518442767E-3</v>
      </c>
      <c r="O38" s="198">
        <v>2129.8999020000001</v>
      </c>
      <c r="P38" s="349">
        <f t="shared" si="3"/>
        <v>1.2815307842768631E-2</v>
      </c>
      <c r="Q38" s="324"/>
      <c r="R38" s="324"/>
      <c r="S38" s="324"/>
      <c r="T38" s="324"/>
      <c r="U38" s="324"/>
      <c r="V38" s="377">
        <v>42724</v>
      </c>
      <c r="W38" s="198">
        <v>79.389999000000003</v>
      </c>
      <c r="X38" s="349">
        <f t="shared" si="4"/>
        <v>-1.3421175426603926E-2</v>
      </c>
      <c r="Y38" s="198">
        <v>2270.76001</v>
      </c>
      <c r="Z38" s="349">
        <f t="shared" si="5"/>
        <v>3.6375123841505541E-3</v>
      </c>
      <c r="AA38" s="324"/>
      <c r="AB38" s="324"/>
      <c r="AC38" s="324"/>
      <c r="AD38" s="324"/>
      <c r="AE38" s="324"/>
      <c r="AF38" s="324"/>
    </row>
    <row r="39" spans="1:32">
      <c r="A39" s="324"/>
      <c r="B39" s="377">
        <v>41820</v>
      </c>
      <c r="C39" s="198">
        <v>55.27</v>
      </c>
      <c r="D39" s="349">
        <f t="shared" si="0"/>
        <v>0.10275341386180004</v>
      </c>
      <c r="E39" s="198">
        <v>1960.2299800000001</v>
      </c>
      <c r="F39" s="349">
        <f t="shared" si="1"/>
        <v>1.9058331658920569E-2</v>
      </c>
      <c r="G39" s="324"/>
      <c r="H39" s="324"/>
      <c r="I39" s="324"/>
      <c r="J39" s="324"/>
      <c r="K39" s="324"/>
      <c r="L39" s="377">
        <v>42554</v>
      </c>
      <c r="M39" s="198">
        <v>71.989998</v>
      </c>
      <c r="N39" s="349">
        <f t="shared" si="2"/>
        <v>-2.2140789643814607E-2</v>
      </c>
      <c r="O39" s="198">
        <v>2102.9499510000001</v>
      </c>
      <c r="P39" s="349">
        <f t="shared" si="3"/>
        <v>3.2168250821523081E-2</v>
      </c>
      <c r="Q39" s="324"/>
      <c r="R39" s="324"/>
      <c r="S39" s="324"/>
      <c r="T39" s="324"/>
      <c r="U39" s="324"/>
      <c r="V39" s="377">
        <v>42723</v>
      </c>
      <c r="W39" s="198">
        <v>80.470000999999996</v>
      </c>
      <c r="X39" s="349">
        <f t="shared" si="4"/>
        <v>6.5041153159768328E-3</v>
      </c>
      <c r="Y39" s="198">
        <v>2262.530029</v>
      </c>
      <c r="Z39" s="349">
        <f t="shared" si="5"/>
        <v>1.9751207295131135E-3</v>
      </c>
      <c r="AA39" s="324"/>
      <c r="AB39" s="324"/>
      <c r="AC39" s="324"/>
      <c r="AD39" s="324"/>
      <c r="AE39" s="324"/>
      <c r="AF39" s="324"/>
    </row>
    <row r="40" spans="1:32">
      <c r="A40" s="324"/>
      <c r="B40" s="377">
        <v>41790</v>
      </c>
      <c r="C40" s="198">
        <v>50.119999</v>
      </c>
      <c r="D40" s="349">
        <f t="shared" si="0"/>
        <v>3.0215764431006598E-2</v>
      </c>
      <c r="E40" s="198">
        <v>1923.5699460000001</v>
      </c>
      <c r="F40" s="349">
        <f t="shared" si="1"/>
        <v>2.1030280012996005E-2</v>
      </c>
      <c r="G40" s="324"/>
      <c r="H40" s="324"/>
      <c r="I40" s="324"/>
      <c r="J40" s="324"/>
      <c r="K40" s="324"/>
      <c r="L40" s="377">
        <v>42547</v>
      </c>
      <c r="M40" s="198">
        <v>73.620002999999997</v>
      </c>
      <c r="N40" s="349">
        <f t="shared" si="2"/>
        <v>-4.7606725189907273E-2</v>
      </c>
      <c r="O40" s="198">
        <v>2037.410034</v>
      </c>
      <c r="P40" s="349">
        <f t="shared" si="3"/>
        <v>-1.6323682406208295E-2</v>
      </c>
      <c r="Q40" s="324"/>
      <c r="R40" s="324"/>
      <c r="S40" s="324"/>
      <c r="T40" s="324"/>
      <c r="U40" s="324"/>
      <c r="V40" s="377">
        <v>42720</v>
      </c>
      <c r="W40" s="198">
        <v>79.949996999999996</v>
      </c>
      <c r="X40" s="349">
        <f t="shared" si="4"/>
        <v>-5.7207682765443302E-3</v>
      </c>
      <c r="Y40" s="198">
        <v>2258.070068</v>
      </c>
      <c r="Z40" s="349">
        <f t="shared" si="5"/>
        <v>-1.7506226483432474E-3</v>
      </c>
      <c r="AA40" s="324"/>
      <c r="AB40" s="324"/>
      <c r="AC40" s="324"/>
      <c r="AD40" s="324"/>
      <c r="AE40" s="324"/>
      <c r="AF40" s="324"/>
    </row>
    <row r="41" spans="1:32">
      <c r="A41" s="324"/>
      <c r="B41" s="377">
        <v>41759</v>
      </c>
      <c r="C41" s="198">
        <v>48.650002000000001</v>
      </c>
      <c r="D41" s="349">
        <f t="shared" si="0"/>
        <v>-8.172891657229131E-2</v>
      </c>
      <c r="E41" s="198">
        <v>1883.9499510000001</v>
      </c>
      <c r="F41" s="349">
        <f t="shared" si="1"/>
        <v>6.2007889650528281E-3</v>
      </c>
      <c r="G41" s="324"/>
      <c r="H41" s="324"/>
      <c r="I41" s="324"/>
      <c r="J41" s="324"/>
      <c r="K41" s="324"/>
      <c r="L41" s="377">
        <v>42540</v>
      </c>
      <c r="M41" s="198">
        <v>77.300003000000004</v>
      </c>
      <c r="N41" s="349">
        <f t="shared" si="2"/>
        <v>4.9402627389563136E-3</v>
      </c>
      <c r="O41" s="198">
        <v>2071.219971</v>
      </c>
      <c r="P41" s="349">
        <f t="shared" si="3"/>
        <v>-1.1855565984829508E-2</v>
      </c>
      <c r="Q41" s="324"/>
      <c r="R41" s="324"/>
      <c r="S41" s="324"/>
      <c r="T41" s="324"/>
      <c r="U41" s="324"/>
      <c r="V41" s="377">
        <v>42719</v>
      </c>
      <c r="W41" s="198">
        <v>80.410004000000001</v>
      </c>
      <c r="X41" s="349">
        <f t="shared" si="4"/>
        <v>1.6818436600444242E-2</v>
      </c>
      <c r="Y41" s="198">
        <v>2262.030029</v>
      </c>
      <c r="Z41" s="349">
        <f t="shared" si="5"/>
        <v>3.8832279554188442E-3</v>
      </c>
      <c r="AA41" s="324"/>
      <c r="AB41" s="324"/>
      <c r="AC41" s="324"/>
      <c r="AD41" s="324"/>
      <c r="AE41" s="324"/>
      <c r="AF41" s="324"/>
    </row>
    <row r="42" spans="1:32">
      <c r="A42" s="324"/>
      <c r="B42" s="377">
        <v>41729</v>
      </c>
      <c r="C42" s="198">
        <v>52.98</v>
      </c>
      <c r="D42" s="349">
        <f t="shared" si="0"/>
        <v>-0.10188170530999474</v>
      </c>
      <c r="E42" s="198">
        <v>1872.339966</v>
      </c>
      <c r="F42" s="349">
        <f t="shared" si="1"/>
        <v>6.9321656079357474E-3</v>
      </c>
      <c r="G42" s="324"/>
      <c r="H42" s="324"/>
      <c r="I42" s="324"/>
      <c r="J42" s="324"/>
      <c r="K42" s="324"/>
      <c r="L42" s="377">
        <v>42533</v>
      </c>
      <c r="M42" s="198">
        <v>76.919998000000007</v>
      </c>
      <c r="N42" s="349">
        <f t="shared" si="2"/>
        <v>-1.6368274285227802E-2</v>
      </c>
      <c r="O42" s="198">
        <v>2096.070068</v>
      </c>
      <c r="P42" s="349">
        <f t="shared" si="3"/>
        <v>-1.4576587303054556E-3</v>
      </c>
      <c r="Q42" s="324"/>
      <c r="R42" s="324"/>
      <c r="S42" s="324"/>
      <c r="T42" s="324"/>
      <c r="U42" s="324"/>
      <c r="V42" s="377">
        <v>42718</v>
      </c>
      <c r="W42" s="198">
        <v>79.080001999999993</v>
      </c>
      <c r="X42" s="349">
        <f t="shared" si="4"/>
        <v>-1.8249546185616028E-2</v>
      </c>
      <c r="Y42" s="198">
        <v>2253.280029</v>
      </c>
      <c r="Z42" s="349">
        <f t="shared" si="5"/>
        <v>-8.1171721142561104E-3</v>
      </c>
      <c r="AA42" s="324"/>
      <c r="AB42" s="324"/>
      <c r="AC42" s="324"/>
      <c r="AD42" s="324"/>
      <c r="AE42" s="324"/>
      <c r="AF42" s="324"/>
    </row>
    <row r="43" spans="1:32">
      <c r="A43" s="324"/>
      <c r="B43" s="377">
        <v>41698</v>
      </c>
      <c r="C43" s="198">
        <v>58.990001999999997</v>
      </c>
      <c r="D43" s="349">
        <f t="shared" si="0"/>
        <v>4.40708318584071E-2</v>
      </c>
      <c r="E43" s="198">
        <v>1859.4499510000001</v>
      </c>
      <c r="F43" s="349">
        <f t="shared" si="1"/>
        <v>4.3117029976595278E-2</v>
      </c>
      <c r="G43" s="324"/>
      <c r="H43" s="324"/>
      <c r="I43" s="324"/>
      <c r="J43" s="324"/>
      <c r="K43" s="324"/>
      <c r="L43" s="377">
        <v>42526</v>
      </c>
      <c r="M43" s="198">
        <v>78.199996999999996</v>
      </c>
      <c r="N43" s="349">
        <f t="shared" si="2"/>
        <v>2.1955045293585052E-2</v>
      </c>
      <c r="O43" s="198">
        <v>2099.1298830000001</v>
      </c>
      <c r="P43" s="349">
        <f t="shared" si="3"/>
        <v>3.3264412659717024E-5</v>
      </c>
      <c r="Q43" s="324"/>
      <c r="R43" s="324"/>
      <c r="S43" s="324"/>
      <c r="T43" s="324"/>
      <c r="U43" s="324"/>
      <c r="V43" s="377">
        <v>42717</v>
      </c>
      <c r="W43" s="198">
        <v>80.550003000000004</v>
      </c>
      <c r="X43" s="349">
        <f t="shared" si="4"/>
        <v>2.7292423043365766E-2</v>
      </c>
      <c r="Y43" s="198">
        <v>2271.719971</v>
      </c>
      <c r="Z43" s="349">
        <f t="shared" si="5"/>
        <v>6.539774854251279E-3</v>
      </c>
      <c r="AA43" s="324"/>
      <c r="AB43" s="324"/>
      <c r="AC43" s="324"/>
      <c r="AD43" s="324"/>
      <c r="AE43" s="324"/>
      <c r="AF43" s="324"/>
    </row>
    <row r="44" spans="1:32">
      <c r="A44" s="324"/>
      <c r="B44" s="377">
        <v>41670</v>
      </c>
      <c r="C44" s="198">
        <v>56.5</v>
      </c>
      <c r="D44" s="349">
        <f t="shared" si="0"/>
        <v>8.2084045644468251E-3</v>
      </c>
      <c r="E44" s="198">
        <v>1782.589966</v>
      </c>
      <c r="F44" s="349">
        <f t="shared" si="1"/>
        <v>-3.5582905675162646E-2</v>
      </c>
      <c r="G44" s="324"/>
      <c r="H44" s="324"/>
      <c r="I44" s="324"/>
      <c r="J44" s="324"/>
      <c r="K44" s="324"/>
      <c r="L44" s="377">
        <v>42519</v>
      </c>
      <c r="M44" s="198">
        <v>76.519997000000004</v>
      </c>
      <c r="N44" s="349">
        <f t="shared" si="2"/>
        <v>4.5783778755877469E-2</v>
      </c>
      <c r="O44" s="198">
        <v>2099.0600589999999</v>
      </c>
      <c r="P44" s="349">
        <f t="shared" si="3"/>
        <v>2.2774221101657055E-2</v>
      </c>
      <c r="Q44" s="324"/>
      <c r="R44" s="324"/>
      <c r="S44" s="324"/>
      <c r="T44" s="324"/>
      <c r="U44" s="324"/>
      <c r="V44" s="377">
        <v>42716</v>
      </c>
      <c r="W44" s="198">
        <v>78.410004000000001</v>
      </c>
      <c r="X44" s="349">
        <f t="shared" si="4"/>
        <v>-3.0514684538723857E-3</v>
      </c>
      <c r="Y44" s="198">
        <v>2256.959961</v>
      </c>
      <c r="Z44" s="349">
        <f t="shared" si="5"/>
        <v>-1.1374347616602831E-3</v>
      </c>
      <c r="AA44" s="324"/>
      <c r="AB44" s="324"/>
      <c r="AC44" s="324"/>
      <c r="AD44" s="324"/>
      <c r="AE44" s="324"/>
      <c r="AF44" s="324"/>
    </row>
    <row r="45" spans="1:32">
      <c r="A45" s="324"/>
      <c r="B45" s="377">
        <v>41639</v>
      </c>
      <c r="C45" s="198">
        <v>56.040000999999997</v>
      </c>
      <c r="D45" s="349">
        <f t="shared" si="0"/>
        <v>0.19615802331517695</v>
      </c>
      <c r="E45" s="198">
        <v>1848.3599850000001</v>
      </c>
      <c r="F45" s="349">
        <f t="shared" si="1"/>
        <v>2.356279155049279E-2</v>
      </c>
      <c r="G45" s="324"/>
      <c r="H45" s="324"/>
      <c r="I45" s="324"/>
      <c r="J45" s="324"/>
      <c r="K45" s="324"/>
      <c r="L45" s="377">
        <v>42512</v>
      </c>
      <c r="M45" s="198">
        <v>73.169998000000007</v>
      </c>
      <c r="N45" s="349">
        <f t="shared" si="2"/>
        <v>1.5403830569076904E-2</v>
      </c>
      <c r="O45" s="198">
        <v>2052.320068</v>
      </c>
      <c r="P45" s="349">
        <f t="shared" si="3"/>
        <v>2.7900201024377846E-3</v>
      </c>
      <c r="Q45" s="324"/>
      <c r="R45" s="324"/>
      <c r="S45" s="324"/>
      <c r="T45" s="324"/>
      <c r="U45" s="324"/>
      <c r="V45" s="377">
        <v>42713</v>
      </c>
      <c r="W45" s="198">
        <v>78.650002000000001</v>
      </c>
      <c r="X45" s="349">
        <f t="shared" si="4"/>
        <v>-2.9157582244837554E-3</v>
      </c>
      <c r="Y45" s="198">
        <v>2259.530029</v>
      </c>
      <c r="Z45" s="349">
        <f t="shared" si="5"/>
        <v>5.9389848367235043E-3</v>
      </c>
      <c r="AA45" s="324"/>
      <c r="AB45" s="324"/>
      <c r="AC45" s="324"/>
      <c r="AD45" s="324"/>
      <c r="AE45" s="324"/>
      <c r="AF45" s="324"/>
    </row>
    <row r="46" spans="1:32">
      <c r="A46" s="324"/>
      <c r="B46" s="377">
        <v>41608</v>
      </c>
      <c r="C46" s="198">
        <v>46.849997999999999</v>
      </c>
      <c r="D46" s="349">
        <f t="shared" si="0"/>
        <v>8.2736260688698771E-2</v>
      </c>
      <c r="E46" s="198">
        <v>1805.8100589999999</v>
      </c>
      <c r="F46" s="349">
        <f t="shared" si="1"/>
        <v>2.8049471635186451E-2</v>
      </c>
      <c r="G46" s="324"/>
      <c r="H46" s="324"/>
      <c r="I46" s="324"/>
      <c r="J46" s="324"/>
      <c r="K46" s="324"/>
      <c r="L46" s="377">
        <v>42505</v>
      </c>
      <c r="M46" s="198">
        <v>72.059997999999993</v>
      </c>
      <c r="N46" s="349">
        <f t="shared" si="2"/>
        <v>4.6005156308162043E-3</v>
      </c>
      <c r="O46" s="198">
        <v>2046.6099850000001</v>
      </c>
      <c r="P46" s="349">
        <f t="shared" si="3"/>
        <v>-5.11871265334507E-3</v>
      </c>
      <c r="Q46" s="324"/>
      <c r="R46" s="324"/>
      <c r="S46" s="324"/>
      <c r="T46" s="324"/>
      <c r="U46" s="324"/>
      <c r="V46" s="377">
        <v>42712</v>
      </c>
      <c r="W46" s="198">
        <v>78.879997000000003</v>
      </c>
      <c r="X46" s="349">
        <f t="shared" si="4"/>
        <v>-5.068550559264029E-4</v>
      </c>
      <c r="Y46" s="198">
        <v>2246.1899410000001</v>
      </c>
      <c r="Z46" s="349">
        <f t="shared" si="5"/>
        <v>2.1593427123762776E-3</v>
      </c>
      <c r="AA46" s="324"/>
      <c r="AB46" s="324"/>
      <c r="AC46" s="324"/>
      <c r="AD46" s="324"/>
      <c r="AE46" s="324"/>
      <c r="AF46" s="324"/>
    </row>
    <row r="47" spans="1:32">
      <c r="A47" s="324"/>
      <c r="B47" s="377">
        <v>41578</v>
      </c>
      <c r="C47" s="198">
        <v>43.27</v>
      </c>
      <c r="D47" s="349">
        <f t="shared" si="0"/>
        <v>-6.2201973606458072E-2</v>
      </c>
      <c r="E47" s="198">
        <v>1756.540039</v>
      </c>
      <c r="F47" s="349">
        <f t="shared" si="1"/>
        <v>4.4595752618006079E-2</v>
      </c>
      <c r="G47" s="324"/>
      <c r="H47" s="324"/>
      <c r="I47" s="324"/>
      <c r="J47" s="324"/>
      <c r="K47" s="324"/>
      <c r="L47" s="377">
        <v>42498</v>
      </c>
      <c r="M47" s="198">
        <v>71.730002999999996</v>
      </c>
      <c r="N47" s="349">
        <f t="shared" si="2"/>
        <v>-2.2352459219607823E-2</v>
      </c>
      <c r="O47" s="198">
        <v>2057.139893</v>
      </c>
      <c r="P47" s="349">
        <f t="shared" si="3"/>
        <v>-3.9510752948226369E-3</v>
      </c>
      <c r="Q47" s="324"/>
      <c r="R47" s="324"/>
      <c r="S47" s="324"/>
      <c r="T47" s="324"/>
      <c r="U47" s="324"/>
      <c r="V47" s="377">
        <v>42711</v>
      </c>
      <c r="W47" s="198">
        <v>78.919998000000007</v>
      </c>
      <c r="X47" s="349">
        <f t="shared" si="4"/>
        <v>1.2703682792249538E-2</v>
      </c>
      <c r="Y47" s="198">
        <v>2241.3500979999999</v>
      </c>
      <c r="Z47" s="349">
        <f t="shared" si="5"/>
        <v>1.3163241734930109E-2</v>
      </c>
      <c r="AA47" s="324"/>
      <c r="AB47" s="324"/>
      <c r="AC47" s="324"/>
      <c r="AD47" s="324"/>
      <c r="AE47" s="324"/>
      <c r="AF47" s="324"/>
    </row>
    <row r="48" spans="1:32">
      <c r="A48" s="324"/>
      <c r="B48" s="377">
        <v>41547</v>
      </c>
      <c r="C48" s="198">
        <v>46.139999000000003</v>
      </c>
      <c r="D48" s="349">
        <f t="shared" si="0"/>
        <v>-8.6698357086302469E-2</v>
      </c>
      <c r="E48" s="198">
        <v>1681.5500489999999</v>
      </c>
      <c r="F48" s="349">
        <f t="shared" si="1"/>
        <v>2.9749523177239112E-2</v>
      </c>
      <c r="G48" s="324"/>
      <c r="H48" s="324"/>
      <c r="I48" s="324"/>
      <c r="J48" s="324"/>
      <c r="K48" s="324"/>
      <c r="L48" s="377">
        <v>42491</v>
      </c>
      <c r="M48" s="198">
        <v>73.370002999999997</v>
      </c>
      <c r="N48" s="349">
        <f t="shared" si="2"/>
        <v>-1.9772812819580876E-2</v>
      </c>
      <c r="O48" s="198">
        <v>2065.3000489999999</v>
      </c>
      <c r="P48" s="349">
        <f t="shared" si="3"/>
        <v>-1.2564677430437876E-2</v>
      </c>
      <c r="Q48" s="324"/>
      <c r="R48" s="324"/>
      <c r="S48" s="324"/>
      <c r="T48" s="324"/>
      <c r="U48" s="324"/>
      <c r="V48" s="377">
        <v>42710</v>
      </c>
      <c r="W48" s="198">
        <v>77.930000000000007</v>
      </c>
      <c r="X48" s="349">
        <f t="shared" si="4"/>
        <v>2.7019943038859573E-3</v>
      </c>
      <c r="Y48" s="198">
        <v>2212.2299800000001</v>
      </c>
      <c r="Z48" s="349">
        <f t="shared" si="5"/>
        <v>3.4108881136405422E-3</v>
      </c>
      <c r="AA48" s="324"/>
      <c r="AB48" s="324"/>
      <c r="AC48" s="324"/>
      <c r="AD48" s="324"/>
      <c r="AE48" s="324"/>
      <c r="AF48" s="324"/>
    </row>
    <row r="49" spans="1:32">
      <c r="A49" s="324"/>
      <c r="B49" s="377">
        <v>41517</v>
      </c>
      <c r="C49" s="198">
        <v>50.52</v>
      </c>
      <c r="D49" s="349">
        <f t="shared" si="0"/>
        <v>-2.414525787135402E-2</v>
      </c>
      <c r="E49" s="198">
        <v>1632.969971</v>
      </c>
      <c r="F49" s="349">
        <f t="shared" si="1"/>
        <v>-3.1298019033866864E-2</v>
      </c>
      <c r="G49" s="324"/>
      <c r="H49" s="324"/>
      <c r="I49" s="324"/>
      <c r="J49" s="324"/>
      <c r="K49" s="324"/>
      <c r="L49" s="377">
        <v>42484</v>
      </c>
      <c r="M49" s="198">
        <v>74.849997999999999</v>
      </c>
      <c r="N49" s="349">
        <f t="shared" si="2"/>
        <v>2.5447895770269735E-3</v>
      </c>
      <c r="O49" s="198">
        <v>2091.580078</v>
      </c>
      <c r="P49" s="349">
        <f t="shared" si="3"/>
        <v>5.2145632082447602E-3</v>
      </c>
      <c r="Q49" s="324"/>
      <c r="R49" s="324"/>
      <c r="S49" s="324"/>
      <c r="T49" s="324"/>
      <c r="U49" s="324"/>
      <c r="V49" s="377">
        <v>42709</v>
      </c>
      <c r="W49" s="198">
        <v>77.720000999999996</v>
      </c>
      <c r="X49" s="349">
        <f t="shared" si="4"/>
        <v>2.1556242861297648E-2</v>
      </c>
      <c r="Y49" s="198">
        <v>2204.709961</v>
      </c>
      <c r="Z49" s="349">
        <f t="shared" si="5"/>
        <v>5.8213053606350762E-3</v>
      </c>
      <c r="AA49" s="324"/>
      <c r="AB49" s="324"/>
      <c r="AC49" s="324"/>
      <c r="AD49" s="324"/>
      <c r="AE49" s="324"/>
      <c r="AF49" s="324"/>
    </row>
    <row r="50" spans="1:32">
      <c r="A50" s="324"/>
      <c r="B50" s="377">
        <v>41486</v>
      </c>
      <c r="C50" s="198">
        <v>51.77</v>
      </c>
      <c r="D50" s="349">
        <f t="shared" si="0"/>
        <v>8.2601421999163538E-2</v>
      </c>
      <c r="E50" s="198">
        <v>1685.7299800000001</v>
      </c>
      <c r="F50" s="349">
        <f t="shared" si="1"/>
        <v>4.9462079815224991E-2</v>
      </c>
      <c r="G50" s="324"/>
      <c r="H50" s="324"/>
      <c r="I50" s="324"/>
      <c r="J50" s="324"/>
      <c r="K50" s="324"/>
      <c r="L50" s="377">
        <v>42477</v>
      </c>
      <c r="M50" s="198">
        <v>74.660004000000001</v>
      </c>
      <c r="N50" s="349">
        <f t="shared" si="2"/>
        <v>1.1653129607596346E-2</v>
      </c>
      <c r="O50" s="198">
        <v>2080.7299800000001</v>
      </c>
      <c r="P50" s="349">
        <f t="shared" si="3"/>
        <v>1.6179920095877209E-2</v>
      </c>
      <c r="Q50" s="324"/>
      <c r="R50" s="324"/>
      <c r="S50" s="324"/>
      <c r="T50" s="324"/>
      <c r="U50" s="324"/>
      <c r="V50" s="377">
        <v>42706</v>
      </c>
      <c r="W50" s="198">
        <v>76.080001999999993</v>
      </c>
      <c r="X50" s="349">
        <f t="shared" si="4"/>
        <v>1.183668009478156E-2</v>
      </c>
      <c r="Y50" s="198">
        <v>2191.9499510000001</v>
      </c>
      <c r="Z50" s="349">
        <f t="shared" si="5"/>
        <v>3.9700648494522817E-4</v>
      </c>
      <c r="AA50" s="324"/>
      <c r="AB50" s="324"/>
      <c r="AC50" s="324"/>
      <c r="AD50" s="324"/>
      <c r="AE50" s="324"/>
      <c r="AF50" s="324"/>
    </row>
    <row r="51" spans="1:32">
      <c r="A51" s="324"/>
      <c r="B51" s="377">
        <v>41455</v>
      </c>
      <c r="C51" s="198">
        <v>47.82</v>
      </c>
      <c r="D51" s="349">
        <f t="shared" si="0"/>
        <v>-8.5009330292348251E-3</v>
      </c>
      <c r="E51" s="198">
        <v>1606.280029</v>
      </c>
      <c r="F51" s="349">
        <f t="shared" si="1"/>
        <v>-1.4999301636062778E-2</v>
      </c>
      <c r="G51" s="324"/>
      <c r="H51" s="324"/>
      <c r="I51" s="324"/>
      <c r="J51" s="324"/>
      <c r="K51" s="324"/>
      <c r="L51" s="377">
        <v>42470</v>
      </c>
      <c r="M51" s="198">
        <v>73.800003000000004</v>
      </c>
      <c r="N51" s="349">
        <f t="shared" si="2"/>
        <v>-2.2775345184401941E-2</v>
      </c>
      <c r="O51" s="198">
        <v>2047.599976</v>
      </c>
      <c r="P51" s="349">
        <f t="shared" si="3"/>
        <v>-1.2147961987142408E-2</v>
      </c>
      <c r="Q51" s="324"/>
      <c r="R51" s="324"/>
      <c r="S51" s="324"/>
      <c r="T51" s="324"/>
      <c r="U51" s="324"/>
      <c r="V51" s="377">
        <v>42705</v>
      </c>
      <c r="W51" s="198">
        <v>75.190002000000007</v>
      </c>
      <c r="X51" s="349">
        <f t="shared" si="4"/>
        <v>-4.955124447539816E-2</v>
      </c>
      <c r="Y51" s="198">
        <v>2191.080078</v>
      </c>
      <c r="Z51" s="349">
        <f t="shared" si="5"/>
        <v>-3.5155292147042161E-3</v>
      </c>
      <c r="AA51" s="324"/>
      <c r="AB51" s="324"/>
      <c r="AC51" s="324"/>
      <c r="AD51" s="324"/>
      <c r="AE51" s="324"/>
      <c r="AF51" s="324"/>
    </row>
    <row r="52" spans="1:32">
      <c r="A52" s="324"/>
      <c r="B52" s="377">
        <v>41425</v>
      </c>
      <c r="C52" s="198">
        <v>48.23</v>
      </c>
      <c r="D52" s="349">
        <f t="shared" si="0"/>
        <v>6.2591278948465057E-3</v>
      </c>
      <c r="E52" s="198">
        <v>1630.73999</v>
      </c>
      <c r="F52" s="349">
        <f t="shared" si="1"/>
        <v>2.0762811721046104E-2</v>
      </c>
      <c r="G52" s="324"/>
      <c r="H52" s="324"/>
      <c r="I52" s="324"/>
      <c r="J52" s="324"/>
      <c r="K52" s="324"/>
      <c r="L52" s="377">
        <v>42463</v>
      </c>
      <c r="M52" s="198">
        <v>75.519997000000004</v>
      </c>
      <c r="N52" s="349">
        <f t="shared" si="2"/>
        <v>3.113051696151059E-2</v>
      </c>
      <c r="O52" s="198">
        <v>2072.780029</v>
      </c>
      <c r="P52" s="349">
        <f t="shared" si="3"/>
        <v>1.8094879548315568E-2</v>
      </c>
      <c r="Q52" s="324"/>
      <c r="R52" s="324"/>
      <c r="S52" s="324"/>
      <c r="T52" s="324"/>
      <c r="U52" s="324"/>
      <c r="V52" s="377">
        <v>42704</v>
      </c>
      <c r="W52" s="198">
        <v>79.110000999999997</v>
      </c>
      <c r="X52" s="349">
        <f t="shared" si="4"/>
        <v>-1.1124987500000016E-2</v>
      </c>
      <c r="Y52" s="198">
        <v>2198.8100589999999</v>
      </c>
      <c r="Z52" s="349">
        <f t="shared" si="5"/>
        <v>-2.6534038053485087E-3</v>
      </c>
      <c r="AA52" s="324"/>
      <c r="AB52" s="324"/>
      <c r="AC52" s="324"/>
      <c r="AD52" s="324"/>
      <c r="AE52" s="324"/>
      <c r="AF52" s="324"/>
    </row>
    <row r="53" spans="1:32">
      <c r="A53" s="324"/>
      <c r="B53" s="377">
        <v>41394</v>
      </c>
      <c r="C53" s="198">
        <v>47.93</v>
      </c>
      <c r="D53" s="349">
        <f t="shared" si="0"/>
        <v>-5.2017423812946495E-2</v>
      </c>
      <c r="E53" s="198">
        <v>1597.5699460000001</v>
      </c>
      <c r="F53" s="349">
        <f t="shared" si="1"/>
        <v>1.8085767859252311E-2</v>
      </c>
      <c r="G53" s="324"/>
      <c r="H53" s="324"/>
      <c r="I53" s="324"/>
      <c r="J53" s="324"/>
      <c r="K53" s="324"/>
      <c r="L53" s="377">
        <v>42456</v>
      </c>
      <c r="M53" s="198">
        <v>73.239998</v>
      </c>
      <c r="N53" s="349">
        <f t="shared" si="2"/>
        <v>-1.1472507030503842E-2</v>
      </c>
      <c r="O53" s="198">
        <v>2035.9399410000001</v>
      </c>
      <c r="P53" s="349">
        <f t="shared" si="3"/>
        <v>-6.655088594201275E-3</v>
      </c>
      <c r="Q53" s="324"/>
      <c r="R53" s="324"/>
      <c r="S53" s="324"/>
      <c r="T53" s="324"/>
      <c r="U53" s="324"/>
      <c r="V53" s="377">
        <v>42703</v>
      </c>
      <c r="W53" s="198">
        <v>80</v>
      </c>
      <c r="X53" s="349">
        <f t="shared" si="4"/>
        <v>2.06685769584809E-2</v>
      </c>
      <c r="Y53" s="198">
        <v>2204.6599120000001</v>
      </c>
      <c r="Z53" s="349">
        <f t="shared" si="5"/>
        <v>1.3352928795322683E-3</v>
      </c>
      <c r="AA53" s="324"/>
      <c r="AB53" s="324"/>
      <c r="AC53" s="324"/>
      <c r="AD53" s="324"/>
      <c r="AE53" s="324"/>
      <c r="AF53" s="324"/>
    </row>
    <row r="54" spans="1:32">
      <c r="A54" s="324"/>
      <c r="B54" s="377">
        <v>41364</v>
      </c>
      <c r="C54" s="198">
        <v>50.560001</v>
      </c>
      <c r="D54" s="349">
        <f t="shared" si="0"/>
        <v>-4.9202911844067332E-3</v>
      </c>
      <c r="E54" s="198">
        <v>1569.1899410000001</v>
      </c>
      <c r="F54" s="349">
        <f t="shared" si="1"/>
        <v>3.5987723516956116E-2</v>
      </c>
      <c r="G54" s="324"/>
      <c r="H54" s="324"/>
      <c r="I54" s="324"/>
      <c r="J54" s="324"/>
      <c r="K54" s="324"/>
      <c r="L54" s="377">
        <v>42449</v>
      </c>
      <c r="M54" s="198">
        <v>74.089995999999999</v>
      </c>
      <c r="N54" s="349">
        <f t="shared" si="2"/>
        <v>3.1894051592170403E-2</v>
      </c>
      <c r="O54" s="198">
        <v>2049.580078</v>
      </c>
      <c r="P54" s="349">
        <f t="shared" si="3"/>
        <v>1.3544789460506967E-2</v>
      </c>
      <c r="Q54" s="324"/>
      <c r="R54" s="324"/>
      <c r="S54" s="324"/>
      <c r="T54" s="324"/>
      <c r="U54" s="324"/>
      <c r="V54" s="377">
        <v>42702</v>
      </c>
      <c r="W54" s="198">
        <v>78.379997000000003</v>
      </c>
      <c r="X54" s="349">
        <f t="shared" si="4"/>
        <v>-5.4561732129467799E-3</v>
      </c>
      <c r="Y54" s="198">
        <v>2201.719971</v>
      </c>
      <c r="Z54" s="349">
        <f t="shared" si="5"/>
        <v>-5.2545356518649555E-3</v>
      </c>
      <c r="AA54" s="324"/>
      <c r="AB54" s="324"/>
      <c r="AC54" s="324"/>
      <c r="AD54" s="324"/>
      <c r="AE54" s="324"/>
      <c r="AF54" s="324"/>
    </row>
    <row r="55" spans="1:32">
      <c r="A55" s="324"/>
      <c r="B55" s="377">
        <v>41333</v>
      </c>
      <c r="C55" s="198">
        <v>50.810001</v>
      </c>
      <c r="D55" s="349">
        <f t="shared" si="0"/>
        <v>-8.5493159008402486E-2</v>
      </c>
      <c r="E55" s="198">
        <v>1514.6800539999999</v>
      </c>
      <c r="F55" s="349">
        <f t="shared" si="1"/>
        <v>1.1060649195259176E-2</v>
      </c>
      <c r="G55" s="324"/>
      <c r="H55" s="324"/>
      <c r="I55" s="324"/>
      <c r="J55" s="324"/>
      <c r="K55" s="324"/>
      <c r="L55" s="377">
        <v>42442</v>
      </c>
      <c r="M55" s="198">
        <v>71.800003000000004</v>
      </c>
      <c r="N55" s="349">
        <f t="shared" si="2"/>
        <v>6.2444523159380871E-2</v>
      </c>
      <c r="O55" s="198">
        <v>2022.1899410000001</v>
      </c>
      <c r="P55" s="349">
        <f t="shared" si="3"/>
        <v>1.110003105565549E-2</v>
      </c>
      <c r="Q55" s="324"/>
      <c r="R55" s="324"/>
      <c r="S55" s="324"/>
      <c r="T55" s="324"/>
      <c r="U55" s="324"/>
      <c r="V55" s="377">
        <v>42699</v>
      </c>
      <c r="W55" s="198">
        <v>78.809997999999993</v>
      </c>
      <c r="X55" s="349">
        <f t="shared" si="4"/>
        <v>7.6187936507920995E-4</v>
      </c>
      <c r="Y55" s="198">
        <v>2213.3500979999999</v>
      </c>
      <c r="Z55" s="349">
        <f t="shared" si="5"/>
        <v>3.9143869124047548E-3</v>
      </c>
      <c r="AA55" s="324"/>
      <c r="AB55" s="324"/>
      <c r="AC55" s="324"/>
      <c r="AD55" s="324"/>
      <c r="AE55" s="324"/>
      <c r="AF55" s="324"/>
    </row>
    <row r="56" spans="1:32">
      <c r="A56" s="324"/>
      <c r="B56" s="377">
        <v>41305</v>
      </c>
      <c r="C56" s="198">
        <v>55.560001</v>
      </c>
      <c r="D56" s="349">
        <f t="shared" si="0"/>
        <v>4.9093694280470057E-2</v>
      </c>
      <c r="E56" s="198">
        <v>1498.1099850000001</v>
      </c>
      <c r="F56" s="349">
        <f t="shared" si="1"/>
        <v>5.0428096519578469E-2</v>
      </c>
      <c r="G56" s="324"/>
      <c r="H56" s="324"/>
      <c r="I56" s="324"/>
      <c r="J56" s="324"/>
      <c r="K56" s="324"/>
      <c r="L56" s="377">
        <v>42435</v>
      </c>
      <c r="M56" s="198">
        <v>67.580001999999993</v>
      </c>
      <c r="N56" s="349">
        <f t="shared" si="2"/>
        <v>-5.8840980045264946E-3</v>
      </c>
      <c r="O56" s="198">
        <v>1999.98999</v>
      </c>
      <c r="P56" s="349">
        <f t="shared" si="3"/>
        <v>2.6662529038544269E-2</v>
      </c>
      <c r="Q56" s="324"/>
      <c r="R56" s="324"/>
      <c r="S56" s="324"/>
      <c r="T56" s="324"/>
      <c r="U56" s="324"/>
      <c r="V56" s="377">
        <v>42697</v>
      </c>
      <c r="W56" s="198">
        <v>78.75</v>
      </c>
      <c r="X56" s="349">
        <f t="shared" si="4"/>
        <v>-4.8021864578107198E-3</v>
      </c>
      <c r="Y56" s="198">
        <v>2204.719971</v>
      </c>
      <c r="Z56" s="349">
        <f t="shared" si="5"/>
        <v>8.0802475222818693E-4</v>
      </c>
      <c r="AA56" s="324"/>
      <c r="AB56" s="324"/>
      <c r="AC56" s="324"/>
      <c r="AD56" s="324"/>
      <c r="AE56" s="324"/>
      <c r="AF56" s="324"/>
    </row>
    <row r="57" spans="1:32">
      <c r="A57" s="324"/>
      <c r="B57" s="377">
        <v>41274</v>
      </c>
      <c r="C57" s="198">
        <v>52.959999000000003</v>
      </c>
      <c r="D57" s="349">
        <f t="shared" si="0"/>
        <v>7.206471368159062E-2</v>
      </c>
      <c r="E57" s="198">
        <v>1426.1899410000001</v>
      </c>
      <c r="F57" s="349">
        <f t="shared" si="1"/>
        <v>7.068230463864511E-3</v>
      </c>
      <c r="G57" s="324"/>
      <c r="H57" s="324"/>
      <c r="I57" s="324"/>
      <c r="J57" s="324"/>
      <c r="K57" s="324"/>
      <c r="L57" s="377">
        <v>42428</v>
      </c>
      <c r="M57" s="198">
        <v>67.980002999999996</v>
      </c>
      <c r="N57" s="349">
        <f t="shared" si="2"/>
        <v>3.1562988419939542E-2</v>
      </c>
      <c r="O57" s="198">
        <v>1948.0500489999999</v>
      </c>
      <c r="P57" s="349">
        <f t="shared" si="3"/>
        <v>1.5783885295637345E-2</v>
      </c>
      <c r="Q57" s="324"/>
      <c r="R57" s="324"/>
      <c r="S57" s="324"/>
      <c r="T57" s="324"/>
      <c r="U57" s="324"/>
      <c r="V57" s="377">
        <v>42696</v>
      </c>
      <c r="W57" s="198">
        <v>79.129997000000003</v>
      </c>
      <c r="X57" s="349">
        <f t="shared" si="4"/>
        <v>-6.5286250714720051E-3</v>
      </c>
      <c r="Y57" s="198">
        <v>2202.9399410000001</v>
      </c>
      <c r="Z57" s="349">
        <f t="shared" si="5"/>
        <v>2.1654319242507825E-3</v>
      </c>
      <c r="AA57" s="324"/>
      <c r="AB57" s="324"/>
      <c r="AC57" s="324"/>
      <c r="AD57" s="324"/>
      <c r="AE57" s="324"/>
      <c r="AF57" s="324"/>
    </row>
    <row r="58" spans="1:32">
      <c r="A58" s="324"/>
      <c r="B58" s="377">
        <v>41243</v>
      </c>
      <c r="C58" s="198">
        <v>49.400002000000001</v>
      </c>
      <c r="D58" s="349">
        <f t="shared" si="0"/>
        <v>4.6777305136356251E-3</v>
      </c>
      <c r="E58" s="198">
        <v>1416.1800539999999</v>
      </c>
      <c r="F58" s="349">
        <f t="shared" si="1"/>
        <v>2.8467170173434031E-3</v>
      </c>
      <c r="G58" s="324"/>
      <c r="H58" s="324"/>
      <c r="I58" s="324"/>
      <c r="J58" s="324"/>
      <c r="K58" s="324"/>
      <c r="L58" s="377">
        <v>42421</v>
      </c>
      <c r="M58" s="198">
        <v>65.900002000000001</v>
      </c>
      <c r="N58" s="349">
        <f t="shared" si="2"/>
        <v>2.7920776354378951E-2</v>
      </c>
      <c r="O58" s="198">
        <v>1917.780029</v>
      </c>
      <c r="P58" s="349">
        <f t="shared" si="3"/>
        <v>2.8421582801067213E-2</v>
      </c>
      <c r="Q58" s="324"/>
      <c r="R58" s="324"/>
      <c r="S58" s="324"/>
      <c r="T58" s="324"/>
      <c r="U58" s="324"/>
      <c r="V58" s="377">
        <v>42695</v>
      </c>
      <c r="W58" s="198">
        <v>79.650002000000001</v>
      </c>
      <c r="X58" s="349">
        <f t="shared" si="4"/>
        <v>7.8451601650659786E-3</v>
      </c>
      <c r="Y58" s="198">
        <v>2198.179932</v>
      </c>
      <c r="Z58" s="349">
        <f t="shared" si="5"/>
        <v>7.4614009492723898E-3</v>
      </c>
      <c r="AA58" s="324"/>
      <c r="AB58" s="324"/>
      <c r="AC58" s="324"/>
      <c r="AD58" s="324"/>
      <c r="AE58" s="324"/>
      <c r="AF58" s="324"/>
    </row>
    <row r="59" spans="1:32">
      <c r="A59" s="324"/>
      <c r="B59" s="377">
        <v>41213</v>
      </c>
      <c r="C59" s="198">
        <v>49.169998</v>
      </c>
      <c r="D59" s="349">
        <f t="shared" si="0"/>
        <v>-0.13645945093887335</v>
      </c>
      <c r="E59" s="198">
        <v>1412.160034</v>
      </c>
      <c r="F59" s="349">
        <f t="shared" si="1"/>
        <v>-1.9789409878227415E-2</v>
      </c>
      <c r="G59" s="324"/>
      <c r="H59" s="324"/>
      <c r="I59" s="324"/>
      <c r="J59" s="324"/>
      <c r="K59" s="324"/>
      <c r="L59" s="377">
        <v>42414</v>
      </c>
      <c r="M59" s="198">
        <v>64.110000999999997</v>
      </c>
      <c r="N59" s="349">
        <f t="shared" si="2"/>
        <v>1.5362718013346655E-2</v>
      </c>
      <c r="O59" s="198">
        <v>1864.780029</v>
      </c>
      <c r="P59" s="349">
        <f t="shared" si="3"/>
        <v>-8.1221348379113545E-3</v>
      </c>
      <c r="Q59" s="324"/>
      <c r="R59" s="324"/>
      <c r="S59" s="324"/>
      <c r="T59" s="324"/>
      <c r="U59" s="324"/>
      <c r="V59" s="377">
        <v>42692</v>
      </c>
      <c r="W59" s="198">
        <v>79.029999000000004</v>
      </c>
      <c r="X59" s="349">
        <f t="shared" si="4"/>
        <v>-9.8972813831118556E-3</v>
      </c>
      <c r="Y59" s="198">
        <v>2181.8999020000001</v>
      </c>
      <c r="Z59" s="349">
        <f t="shared" si="5"/>
        <v>-2.3867984933356734E-3</v>
      </c>
      <c r="AA59" s="324"/>
      <c r="AB59" s="324"/>
      <c r="AC59" s="324"/>
      <c r="AD59" s="324"/>
      <c r="AE59" s="324"/>
      <c r="AF59" s="324"/>
    </row>
    <row r="60" spans="1:32">
      <c r="A60" s="324"/>
      <c r="B60" s="377">
        <v>41182</v>
      </c>
      <c r="C60" s="198">
        <v>56.939999</v>
      </c>
      <c r="D60" s="349">
        <f t="shared" si="0"/>
        <v>1.6059921198074312E-2</v>
      </c>
      <c r="E60" s="198">
        <v>1440.670044</v>
      </c>
      <c r="F60" s="349">
        <f t="shared" si="1"/>
        <v>2.4236153696477025E-2</v>
      </c>
      <c r="G60" s="324"/>
      <c r="H60" s="324"/>
      <c r="I60" s="324"/>
      <c r="J60" s="324"/>
      <c r="K60" s="324"/>
      <c r="L60" s="377">
        <v>42407</v>
      </c>
      <c r="M60" s="198">
        <v>63.139999000000003</v>
      </c>
      <c r="N60" s="349">
        <f t="shared" si="2"/>
        <v>-9.8643878716179412E-2</v>
      </c>
      <c r="O60" s="198">
        <v>1880.0500489999999</v>
      </c>
      <c r="P60" s="349">
        <f t="shared" si="3"/>
        <v>-3.1021905181946141E-2</v>
      </c>
      <c r="Q60" s="324"/>
      <c r="R60" s="324"/>
      <c r="S60" s="324"/>
      <c r="T60" s="324"/>
      <c r="U60" s="324"/>
      <c r="V60" s="377">
        <v>42691</v>
      </c>
      <c r="W60" s="198">
        <v>79.819999999999993</v>
      </c>
      <c r="X60" s="349">
        <f t="shared" si="4"/>
        <v>1.5005099376972142E-2</v>
      </c>
      <c r="Y60" s="198">
        <v>2187.1201169999999</v>
      </c>
      <c r="Z60" s="349">
        <f t="shared" si="5"/>
        <v>4.6763697097327306E-3</v>
      </c>
      <c r="AA60" s="324"/>
      <c r="AB60" s="324"/>
      <c r="AC60" s="324"/>
      <c r="AD60" s="324"/>
      <c r="AE60" s="324"/>
      <c r="AF60" s="324"/>
    </row>
    <row r="61" spans="1:32">
      <c r="A61" s="324"/>
      <c r="B61" s="377">
        <v>41152</v>
      </c>
      <c r="C61" s="198">
        <v>56.040000999999997</v>
      </c>
      <c r="D61" s="349">
        <f t="shared" si="0"/>
        <v>4.4353354453969374E-2</v>
      </c>
      <c r="E61" s="198">
        <v>1406.579956</v>
      </c>
      <c r="F61" s="349">
        <f t="shared" si="1"/>
        <v>1.9763369680148246E-2</v>
      </c>
      <c r="G61" s="324"/>
      <c r="H61" s="324"/>
      <c r="I61" s="324"/>
      <c r="J61" s="324"/>
      <c r="K61" s="324"/>
      <c r="L61" s="377">
        <v>42400</v>
      </c>
      <c r="M61" s="198">
        <v>70.050003000000004</v>
      </c>
      <c r="N61" s="349">
        <f t="shared" si="2"/>
        <v>-3.3259674762071034E-2</v>
      </c>
      <c r="O61" s="198">
        <v>1940.23999</v>
      </c>
      <c r="P61" s="349">
        <f t="shared" si="3"/>
        <v>1.7483856301005574E-2</v>
      </c>
      <c r="Q61" s="324"/>
      <c r="R61" s="324"/>
      <c r="S61" s="324"/>
      <c r="T61" s="324"/>
      <c r="U61" s="324"/>
      <c r="V61" s="377">
        <v>42690</v>
      </c>
      <c r="W61" s="198">
        <v>78.639999000000003</v>
      </c>
      <c r="X61" s="349">
        <f t="shared" si="4"/>
        <v>2.3825036422992829E-2</v>
      </c>
      <c r="Y61" s="198">
        <v>2176.9399410000001</v>
      </c>
      <c r="Z61" s="349">
        <f t="shared" si="5"/>
        <v>-1.5822638011099288E-3</v>
      </c>
      <c r="AA61" s="324"/>
      <c r="AB61" s="324"/>
      <c r="AC61" s="324"/>
      <c r="AD61" s="324"/>
      <c r="AE61" s="324"/>
      <c r="AF61" s="324"/>
    </row>
    <row r="62" spans="1:32">
      <c r="A62" s="324"/>
      <c r="B62" s="377">
        <v>41121</v>
      </c>
      <c r="C62" s="198">
        <v>53.66</v>
      </c>
      <c r="D62" s="349">
        <f t="shared" si="0"/>
        <v>-4.992917847025502E-2</v>
      </c>
      <c r="E62" s="198">
        <v>1379.3199460000001</v>
      </c>
      <c r="F62" s="349">
        <f t="shared" si="1"/>
        <v>1.2597574126154365E-2</v>
      </c>
      <c r="G62" s="324"/>
      <c r="H62" s="324"/>
      <c r="I62" s="324"/>
      <c r="J62" s="324"/>
      <c r="K62" s="324"/>
      <c r="L62" s="377">
        <v>42393</v>
      </c>
      <c r="M62" s="198">
        <v>72.459998999999996</v>
      </c>
      <c r="N62" s="349">
        <f t="shared" si="2"/>
        <v>-1.5087685197770817E-2</v>
      </c>
      <c r="O62" s="198">
        <v>1906.900024</v>
      </c>
      <c r="P62" s="349">
        <f t="shared" si="3"/>
        <v>1.4130534864488453E-2</v>
      </c>
      <c r="Q62" s="324"/>
      <c r="R62" s="324"/>
      <c r="S62" s="324"/>
      <c r="T62" s="324"/>
      <c r="U62" s="324"/>
      <c r="V62" s="377">
        <v>42689</v>
      </c>
      <c r="W62" s="198">
        <v>76.809997999999993</v>
      </c>
      <c r="X62" s="349">
        <f t="shared" si="4"/>
        <v>1.7350966887417218E-2</v>
      </c>
      <c r="Y62" s="198">
        <v>2180.389893</v>
      </c>
      <c r="Z62" s="349">
        <f t="shared" si="5"/>
        <v>7.4807976927082631E-3</v>
      </c>
      <c r="AA62" s="324"/>
      <c r="AB62" s="324"/>
      <c r="AC62" s="324"/>
      <c r="AD62" s="324"/>
      <c r="AE62" s="324"/>
      <c r="AF62" s="324"/>
    </row>
    <row r="63" spans="1:32">
      <c r="A63" s="324"/>
      <c r="B63" s="377">
        <v>41090</v>
      </c>
      <c r="C63" s="198">
        <v>56.48</v>
      </c>
      <c r="D63" s="349">
        <f t="shared" si="0"/>
        <v>9.926039121719743E-2</v>
      </c>
      <c r="E63" s="198">
        <v>1362.160034</v>
      </c>
      <c r="F63" s="349">
        <f t="shared" si="1"/>
        <v>3.9554982134591521E-2</v>
      </c>
      <c r="G63" s="324"/>
      <c r="H63" s="324"/>
      <c r="I63" s="324"/>
      <c r="J63" s="324"/>
      <c r="K63" s="324"/>
      <c r="L63" s="377">
        <v>42386</v>
      </c>
      <c r="M63" s="198">
        <v>73.569999999999993</v>
      </c>
      <c r="N63" s="349">
        <f t="shared" si="2"/>
        <v>-7.0499075919164267E-2</v>
      </c>
      <c r="O63" s="198">
        <v>1880.329956</v>
      </c>
      <c r="P63" s="349">
        <f t="shared" si="3"/>
        <v>-2.1695848852942179E-2</v>
      </c>
      <c r="Q63" s="324"/>
      <c r="R63" s="324"/>
      <c r="S63" s="324"/>
      <c r="T63" s="324"/>
      <c r="U63" s="324"/>
      <c r="V63" s="377">
        <v>42688</v>
      </c>
      <c r="W63" s="198">
        <v>75.5</v>
      </c>
      <c r="X63" s="349">
        <f t="shared" si="4"/>
        <v>-2.0116845420499296E-2</v>
      </c>
      <c r="Y63" s="198">
        <v>2164.1999510000001</v>
      </c>
      <c r="Z63" s="349">
        <f t="shared" si="5"/>
        <v>-1.1550278623184695E-4</v>
      </c>
      <c r="AA63" s="324"/>
      <c r="AB63" s="324"/>
      <c r="AC63" s="324"/>
      <c r="AD63" s="324"/>
      <c r="AE63" s="324"/>
      <c r="AF63" s="324"/>
    </row>
    <row r="64" spans="1:32">
      <c r="A64" s="324"/>
      <c r="B64" s="377">
        <v>41060</v>
      </c>
      <c r="C64" s="198">
        <v>51.380001</v>
      </c>
      <c r="D64" s="349">
        <f t="shared" si="0"/>
        <v>-0.13806408089139266</v>
      </c>
      <c r="E64" s="198">
        <v>1310.329956</v>
      </c>
      <c r="F64" s="349">
        <f t="shared" si="1"/>
        <v>-6.265072563317764E-2</v>
      </c>
      <c r="G64" s="324"/>
      <c r="H64" s="324"/>
      <c r="I64" s="324"/>
      <c r="J64" s="324"/>
      <c r="K64" s="324"/>
      <c r="L64" s="377">
        <v>42379</v>
      </c>
      <c r="M64" s="198">
        <v>79.150002000000001</v>
      </c>
      <c r="N64" s="349">
        <f t="shared" si="2"/>
        <v>-4.4197513445175973E-2</v>
      </c>
      <c r="O64" s="198">
        <v>1922.030029</v>
      </c>
      <c r="P64" s="349">
        <f t="shared" si="3"/>
        <v>-5.9644566630639551E-2</v>
      </c>
      <c r="Q64" s="324"/>
      <c r="R64" s="324"/>
      <c r="S64" s="324"/>
      <c r="T64" s="324"/>
      <c r="U64" s="324"/>
      <c r="V64" s="377">
        <v>42685</v>
      </c>
      <c r="W64" s="198">
        <v>77.050003000000004</v>
      </c>
      <c r="X64" s="349">
        <f t="shared" si="4"/>
        <v>1.5598986091251987E-3</v>
      </c>
      <c r="Y64" s="198">
        <v>2164.4499510000001</v>
      </c>
      <c r="Z64" s="349">
        <f t="shared" si="5"/>
        <v>-1.3979501669952876E-3</v>
      </c>
      <c r="AA64" s="324"/>
      <c r="AB64" s="324"/>
      <c r="AC64" s="324"/>
      <c r="AD64" s="324"/>
      <c r="AE64" s="324"/>
      <c r="AF64" s="324"/>
    </row>
    <row r="65" spans="1:32">
      <c r="A65" s="324"/>
      <c r="B65" s="377">
        <v>41029</v>
      </c>
      <c r="C65" s="198">
        <v>59.610000999999997</v>
      </c>
      <c r="D65" s="349">
        <f t="shared" si="0"/>
        <v>-4.675204619723039E-3</v>
      </c>
      <c r="E65" s="198">
        <v>1397.910034</v>
      </c>
      <c r="F65" s="349">
        <f t="shared" si="1"/>
        <v>-7.4974527092703802E-3</v>
      </c>
      <c r="G65" s="324"/>
      <c r="H65" s="324"/>
      <c r="I65" s="324"/>
      <c r="J65" s="324"/>
      <c r="K65" s="324"/>
      <c r="L65" s="377">
        <v>42372</v>
      </c>
      <c r="M65" s="198">
        <v>82.809997999999993</v>
      </c>
      <c r="N65" s="349">
        <f t="shared" si="2"/>
        <v>1.3090286593840927E-2</v>
      </c>
      <c r="O65" s="198">
        <v>2043.9399410000001</v>
      </c>
      <c r="P65" s="349">
        <f t="shared" si="3"/>
        <v>-8.2727471180003009E-3</v>
      </c>
      <c r="Q65" s="324"/>
      <c r="R65" s="324"/>
      <c r="S65" s="324"/>
      <c r="T65" s="324"/>
      <c r="U65" s="324"/>
      <c r="V65" s="377">
        <v>42684</v>
      </c>
      <c r="W65" s="198">
        <v>76.930000000000007</v>
      </c>
      <c r="X65" s="349">
        <f t="shared" si="4"/>
        <v>1.8231410102469425E-3</v>
      </c>
      <c r="Y65" s="198">
        <v>2167.4799800000001</v>
      </c>
      <c r="Z65" s="349">
        <f t="shared" si="5"/>
        <v>1.9507456248868404E-3</v>
      </c>
      <c r="AA65" s="324"/>
      <c r="AB65" s="324"/>
      <c r="AC65" s="324"/>
      <c r="AD65" s="324"/>
      <c r="AE65" s="324"/>
      <c r="AF65" s="324"/>
    </row>
    <row r="66" spans="1:32">
      <c r="A66" s="324"/>
      <c r="B66" s="377">
        <v>40999</v>
      </c>
      <c r="C66" s="198">
        <v>59.889999000000003</v>
      </c>
      <c r="D66" s="349">
        <f t="shared" si="0"/>
        <v>0.21087748101248449</v>
      </c>
      <c r="E66" s="198">
        <v>1408.469971</v>
      </c>
      <c r="F66" s="349">
        <f t="shared" si="1"/>
        <v>3.1332314530530647E-2</v>
      </c>
      <c r="G66" s="324"/>
      <c r="H66" s="324"/>
      <c r="I66" s="324"/>
      <c r="J66" s="324"/>
      <c r="K66" s="324"/>
      <c r="L66" s="377">
        <v>42365</v>
      </c>
      <c r="M66" s="198">
        <v>81.739998</v>
      </c>
      <c r="N66" s="349">
        <f t="shared" si="2"/>
        <v>4.1768549342295902E-3</v>
      </c>
      <c r="O66" s="198">
        <v>2060.98999</v>
      </c>
      <c r="P66" s="349">
        <f t="shared" si="3"/>
        <v>2.7643259776859441E-2</v>
      </c>
      <c r="Q66" s="324"/>
      <c r="R66" s="324"/>
      <c r="S66" s="324"/>
      <c r="T66" s="324"/>
      <c r="U66" s="324"/>
      <c r="V66" s="377">
        <v>42683</v>
      </c>
      <c r="W66" s="198">
        <v>76.790001000000004</v>
      </c>
      <c r="X66" s="349">
        <f t="shared" si="4"/>
        <v>1.5651885108955987E-3</v>
      </c>
      <c r="Y66" s="198">
        <v>2163.26001</v>
      </c>
      <c r="Z66" s="349">
        <f t="shared" si="5"/>
        <v>1.1077020670818172E-2</v>
      </c>
      <c r="AA66" s="324"/>
      <c r="AB66" s="324"/>
      <c r="AC66" s="324"/>
      <c r="AD66" s="324"/>
      <c r="AE66" s="324"/>
      <c r="AF66" s="324"/>
    </row>
    <row r="67" spans="1:32">
      <c r="A67" s="324"/>
      <c r="B67" s="377">
        <v>40968</v>
      </c>
      <c r="C67" s="198">
        <v>49.459999000000003</v>
      </c>
      <c r="D67" s="325"/>
      <c r="E67" s="198">
        <v>1365.6800539999999</v>
      </c>
      <c r="F67" s="325"/>
      <c r="G67" s="324"/>
      <c r="H67" s="324"/>
      <c r="I67" s="324"/>
      <c r="J67" s="324"/>
      <c r="K67" s="324"/>
      <c r="L67" s="377">
        <v>42358</v>
      </c>
      <c r="M67" s="198">
        <v>81.400002000000001</v>
      </c>
      <c r="N67" s="349">
        <f t="shared" si="2"/>
        <v>3.5886993232705722E-2</v>
      </c>
      <c r="O67" s="198">
        <v>2005.5500489999999</v>
      </c>
      <c r="P67" s="349">
        <f t="shared" si="3"/>
        <v>-3.3890119694415244E-3</v>
      </c>
      <c r="Q67" s="324"/>
      <c r="R67" s="324"/>
      <c r="S67" s="324"/>
      <c r="T67" s="324"/>
      <c r="U67" s="324"/>
      <c r="V67" s="377">
        <v>42682</v>
      </c>
      <c r="W67" s="198">
        <v>76.669998000000007</v>
      </c>
      <c r="X67" s="349">
        <f t="shared" si="4"/>
        <v>0</v>
      </c>
      <c r="Y67" s="198">
        <v>2139.5600589999999</v>
      </c>
      <c r="Z67" s="349">
        <f t="shared" si="5"/>
        <v>3.7719744241482278E-3</v>
      </c>
      <c r="AA67" s="324"/>
      <c r="AB67" s="324"/>
      <c r="AC67" s="324"/>
      <c r="AD67" s="324"/>
      <c r="AE67" s="324"/>
      <c r="AF67" s="324"/>
    </row>
    <row r="68" spans="1:32">
      <c r="A68" s="324"/>
      <c r="B68" s="244"/>
      <c r="C68" s="366"/>
      <c r="D68" s="235"/>
      <c r="E68" s="366"/>
      <c r="F68" s="235"/>
      <c r="G68" s="324"/>
      <c r="H68" s="324"/>
      <c r="I68" s="324"/>
      <c r="J68" s="324"/>
      <c r="K68" s="324"/>
      <c r="L68" s="377">
        <v>42351</v>
      </c>
      <c r="M68" s="198">
        <v>78.580001999999993</v>
      </c>
      <c r="N68" s="349">
        <f t="shared" si="2"/>
        <v>-4.0420039570399968E-2</v>
      </c>
      <c r="O68" s="198">
        <v>2012.369995</v>
      </c>
      <c r="P68" s="349">
        <f t="shared" si="3"/>
        <v>-3.7921464575231711E-2</v>
      </c>
      <c r="Q68" s="324"/>
      <c r="R68" s="324"/>
      <c r="S68" s="324"/>
      <c r="T68" s="324"/>
      <c r="U68" s="324"/>
      <c r="V68" s="377">
        <v>42681</v>
      </c>
      <c r="W68" s="198">
        <v>76.669998000000007</v>
      </c>
      <c r="X68" s="349">
        <f t="shared" si="4"/>
        <v>2.981868488188133E-2</v>
      </c>
      <c r="Y68" s="198">
        <v>2131.5200199999999</v>
      </c>
      <c r="Z68" s="349">
        <f t="shared" si="5"/>
        <v>2.2223544015960606E-2</v>
      </c>
      <c r="AA68" s="324"/>
      <c r="AB68" s="324"/>
      <c r="AC68" s="324"/>
      <c r="AD68" s="324"/>
      <c r="AE68" s="324"/>
      <c r="AF68" s="324"/>
    </row>
    <row r="69" spans="1:32">
      <c r="A69" s="324"/>
      <c r="B69" s="244"/>
      <c r="C69" s="294"/>
      <c r="D69" s="235"/>
      <c r="E69" s="294"/>
      <c r="F69" s="235"/>
      <c r="G69" s="324"/>
      <c r="H69" s="324"/>
      <c r="I69" s="324"/>
      <c r="J69" s="324"/>
      <c r="K69" s="324"/>
      <c r="L69" s="377">
        <v>42344</v>
      </c>
      <c r="M69" s="198">
        <v>81.889999000000003</v>
      </c>
      <c r="N69" s="349">
        <f t="shared" si="2"/>
        <v>-7.3939515151514312E-3</v>
      </c>
      <c r="O69" s="198">
        <v>2091.6899410000001</v>
      </c>
      <c r="P69" s="349">
        <f t="shared" si="3"/>
        <v>7.5586161451934863E-4</v>
      </c>
      <c r="Q69" s="324"/>
      <c r="R69" s="324"/>
      <c r="S69" s="324"/>
      <c r="T69" s="324"/>
      <c r="U69" s="324"/>
      <c r="V69" s="377">
        <v>42678</v>
      </c>
      <c r="W69" s="198">
        <v>74.449996999999996</v>
      </c>
      <c r="X69" s="349">
        <f t="shared" si="4"/>
        <v>-3.8801312250503761E-3</v>
      </c>
      <c r="Y69" s="198">
        <v>2085.179932</v>
      </c>
      <c r="Z69" s="349">
        <f t="shared" si="5"/>
        <v>-1.6661305078947697E-3</v>
      </c>
      <c r="AA69" s="324"/>
      <c r="AB69" s="324"/>
      <c r="AC69" s="324"/>
      <c r="AD69" s="324"/>
      <c r="AE69" s="324"/>
      <c r="AF69" s="324"/>
    </row>
    <row r="70" spans="1:32">
      <c r="A70" s="324"/>
      <c r="B70" s="244"/>
      <c r="C70" s="294"/>
      <c r="D70" s="235"/>
      <c r="E70" s="294"/>
      <c r="F70" s="235"/>
      <c r="G70" s="324"/>
      <c r="H70" s="324"/>
      <c r="I70" s="324"/>
      <c r="J70" s="324"/>
      <c r="K70" s="324"/>
      <c r="L70" s="377">
        <v>42337</v>
      </c>
      <c r="M70" s="198">
        <v>82.5</v>
      </c>
      <c r="N70" s="349">
        <f t="shared" si="2"/>
        <v>3.5275635996541155E-3</v>
      </c>
      <c r="O70" s="198">
        <v>2090.110107</v>
      </c>
      <c r="P70" s="349">
        <f t="shared" si="3"/>
        <v>4.5002801835281048E-4</v>
      </c>
      <c r="Q70" s="324"/>
      <c r="R70" s="324"/>
      <c r="S70" s="324"/>
      <c r="T70" s="324"/>
      <c r="U70" s="324"/>
      <c r="V70" s="377">
        <v>42677</v>
      </c>
      <c r="W70" s="198">
        <v>74.739998</v>
      </c>
      <c r="X70" s="349">
        <f t="shared" si="4"/>
        <v>-4.0121708176610316E-4</v>
      </c>
      <c r="Y70" s="198">
        <v>2088.6599120000001</v>
      </c>
      <c r="Z70" s="349">
        <f t="shared" si="5"/>
        <v>-4.4234006982948326E-3</v>
      </c>
      <c r="AA70" s="324"/>
      <c r="AB70" s="324"/>
      <c r="AC70" s="324"/>
      <c r="AD70" s="324"/>
      <c r="AE70" s="324"/>
      <c r="AF70" s="324"/>
    </row>
    <row r="71" spans="1:32">
      <c r="A71" s="324"/>
      <c r="B71" s="244"/>
      <c r="C71" s="294"/>
      <c r="D71" s="235"/>
      <c r="E71" s="294"/>
      <c r="F71" s="235"/>
      <c r="G71" s="324"/>
      <c r="H71" s="324"/>
      <c r="I71" s="324"/>
      <c r="J71" s="324"/>
      <c r="K71" s="324"/>
      <c r="L71" s="377">
        <v>42330</v>
      </c>
      <c r="M71" s="198">
        <v>82.209998999999996</v>
      </c>
      <c r="N71" s="349">
        <f t="shared" si="2"/>
        <v>5.6276460072556711E-2</v>
      </c>
      <c r="O71" s="198">
        <v>2089.169922</v>
      </c>
      <c r="P71" s="349">
        <f t="shared" si="3"/>
        <v>3.2688370830608271E-2</v>
      </c>
      <c r="Q71" s="324"/>
      <c r="R71" s="324"/>
      <c r="S71" s="324"/>
      <c r="T71" s="324"/>
      <c r="U71" s="324"/>
      <c r="V71" s="377">
        <v>42676</v>
      </c>
      <c r="W71" s="198">
        <v>74.769997000000004</v>
      </c>
      <c r="X71" s="349">
        <f t="shared" si="4"/>
        <v>-2.4654407792621513E-2</v>
      </c>
      <c r="Y71" s="198">
        <v>2097.9399410000001</v>
      </c>
      <c r="Z71" s="349">
        <f t="shared" si="5"/>
        <v>-6.5255006294582252E-3</v>
      </c>
      <c r="AA71" s="324"/>
      <c r="AB71" s="324"/>
      <c r="AC71" s="324"/>
      <c r="AD71" s="324"/>
      <c r="AE71" s="324"/>
      <c r="AF71" s="324"/>
    </row>
    <row r="72" spans="1:32">
      <c r="A72" s="324"/>
      <c r="B72" s="244"/>
      <c r="C72" s="294"/>
      <c r="D72" s="235"/>
      <c r="E72" s="294"/>
      <c r="F72" s="235"/>
      <c r="G72" s="324"/>
      <c r="H72" s="324"/>
      <c r="I72" s="324"/>
      <c r="J72" s="324"/>
      <c r="K72" s="324"/>
      <c r="L72" s="377">
        <v>42323</v>
      </c>
      <c r="M72" s="198">
        <v>77.830001999999993</v>
      </c>
      <c r="N72" s="349">
        <f t="shared" si="2"/>
        <v>-3.9372934067129273E-2</v>
      </c>
      <c r="O72" s="198">
        <v>2023.040039</v>
      </c>
      <c r="P72" s="349">
        <f t="shared" si="3"/>
        <v>-3.6280446731012717E-2</v>
      </c>
      <c r="Q72" s="324"/>
      <c r="R72" s="324"/>
      <c r="S72" s="324"/>
      <c r="T72" s="324"/>
      <c r="U72" s="324"/>
      <c r="V72" s="377">
        <v>42675</v>
      </c>
      <c r="W72" s="198">
        <v>76.660004000000001</v>
      </c>
      <c r="X72" s="349">
        <f t="shared" si="4"/>
        <v>-1.0200039129762639E-2</v>
      </c>
      <c r="Y72" s="198">
        <v>2111.719971</v>
      </c>
      <c r="Z72" s="349">
        <f t="shared" si="5"/>
        <v>-6.7868831762174509E-3</v>
      </c>
      <c r="AA72" s="324"/>
      <c r="AB72" s="324"/>
      <c r="AC72" s="324"/>
      <c r="AD72" s="324"/>
      <c r="AE72" s="324"/>
      <c r="AF72" s="324"/>
    </row>
    <row r="73" spans="1:32">
      <c r="A73" s="324"/>
      <c r="B73" s="244"/>
      <c r="C73" s="294"/>
      <c r="D73" s="235"/>
      <c r="E73" s="294"/>
      <c r="F73" s="235"/>
      <c r="G73" s="324"/>
      <c r="H73" s="324"/>
      <c r="I73" s="324"/>
      <c r="J73" s="324"/>
      <c r="K73" s="324"/>
      <c r="L73" s="377">
        <v>42316</v>
      </c>
      <c r="M73" s="198">
        <v>81.019997000000004</v>
      </c>
      <c r="N73" s="349">
        <f t="shared" ref="N73:N136" si="6">M73/M74-1</f>
        <v>2.4143546654739723E-2</v>
      </c>
      <c r="O73" s="198">
        <v>2099.1999510000001</v>
      </c>
      <c r="P73" s="349">
        <f t="shared" ref="P73:P136" si="7">O73/O74-1</f>
        <v>9.5413218389690524E-3</v>
      </c>
      <c r="Q73" s="324"/>
      <c r="R73" s="324"/>
      <c r="S73" s="324"/>
      <c r="T73" s="324"/>
      <c r="U73" s="324"/>
      <c r="V73" s="377">
        <v>42674</v>
      </c>
      <c r="W73" s="198">
        <v>77.449996999999996</v>
      </c>
      <c r="X73" s="349">
        <f t="shared" ref="X73:X136" si="8">W73/W74-1</f>
        <v>4.4092335052621223E-3</v>
      </c>
      <c r="Y73" s="198">
        <v>2126.1499020000001</v>
      </c>
      <c r="Z73" s="349">
        <f t="shared" ref="Z73:Z136" si="9">Y73/Y74-1</f>
        <v>-1.2227651805640782E-4</v>
      </c>
      <c r="AA73" s="324"/>
      <c r="AB73" s="324"/>
      <c r="AC73" s="324"/>
      <c r="AD73" s="324"/>
      <c r="AE73" s="324"/>
      <c r="AF73" s="324"/>
    </row>
    <row r="74" spans="1:32">
      <c r="A74" s="324"/>
      <c r="B74" s="244"/>
      <c r="C74" s="294"/>
      <c r="D74" s="235"/>
      <c r="E74" s="294"/>
      <c r="F74" s="235"/>
      <c r="G74" s="324"/>
      <c r="H74" s="324"/>
      <c r="I74" s="324"/>
      <c r="J74" s="324"/>
      <c r="K74" s="324"/>
      <c r="L74" s="377">
        <v>42309</v>
      </c>
      <c r="M74" s="198">
        <v>79.110000999999997</v>
      </c>
      <c r="N74" s="349">
        <f t="shared" si="6"/>
        <v>2.2225119811669636E-2</v>
      </c>
      <c r="O74" s="198">
        <v>2079.360107</v>
      </c>
      <c r="P74" s="349">
        <f t="shared" si="7"/>
        <v>2.0288678885038713E-3</v>
      </c>
      <c r="Q74" s="324"/>
      <c r="R74" s="324"/>
      <c r="S74" s="324"/>
      <c r="T74" s="324"/>
      <c r="U74" s="324"/>
      <c r="V74" s="377">
        <v>42671</v>
      </c>
      <c r="W74" s="198">
        <v>77.110000999999997</v>
      </c>
      <c r="X74" s="349">
        <f t="shared" si="8"/>
        <v>2.600402933277568E-3</v>
      </c>
      <c r="Y74" s="198">
        <v>2126.4099120000001</v>
      </c>
      <c r="Z74" s="349">
        <f t="shared" si="9"/>
        <v>-3.1082993655890956E-3</v>
      </c>
      <c r="AA74" s="324"/>
      <c r="AB74" s="324"/>
      <c r="AC74" s="324"/>
      <c r="AD74" s="324"/>
      <c r="AE74" s="324"/>
      <c r="AF74" s="324"/>
    </row>
    <row r="75" spans="1:32">
      <c r="A75" s="324"/>
      <c r="B75" s="244"/>
      <c r="C75" s="294"/>
      <c r="D75" s="235"/>
      <c r="E75" s="294"/>
      <c r="F75" s="235"/>
      <c r="G75" s="324"/>
      <c r="H75" s="324"/>
      <c r="I75" s="324"/>
      <c r="J75" s="324"/>
      <c r="K75" s="324"/>
      <c r="L75" s="377">
        <v>42302</v>
      </c>
      <c r="M75" s="198">
        <v>77.389999000000003</v>
      </c>
      <c r="N75" s="349">
        <f t="shared" si="6"/>
        <v>-2.9632052449160007E-3</v>
      </c>
      <c r="O75" s="198">
        <v>2075.1499020000001</v>
      </c>
      <c r="P75" s="349">
        <f t="shared" si="7"/>
        <v>2.0677640319591406E-2</v>
      </c>
      <c r="Q75" s="324"/>
      <c r="R75" s="324"/>
      <c r="S75" s="324"/>
      <c r="T75" s="324"/>
      <c r="U75" s="324"/>
      <c r="V75" s="377">
        <v>42670</v>
      </c>
      <c r="W75" s="198">
        <v>76.910004000000001</v>
      </c>
      <c r="X75" s="349">
        <f t="shared" si="8"/>
        <v>-1.5577697203397189E-3</v>
      </c>
      <c r="Y75" s="198">
        <v>2133.040039</v>
      </c>
      <c r="Z75" s="349">
        <f t="shared" si="9"/>
        <v>-2.9867269333876401E-3</v>
      </c>
      <c r="AA75" s="324"/>
      <c r="AB75" s="324"/>
      <c r="AC75" s="324"/>
      <c r="AD75" s="324"/>
      <c r="AE75" s="324"/>
      <c r="AF75" s="324"/>
    </row>
    <row r="76" spans="1:32">
      <c r="A76" s="324"/>
      <c r="B76" s="244"/>
      <c r="C76" s="294"/>
      <c r="D76" s="235"/>
      <c r="E76" s="294"/>
      <c r="F76" s="235"/>
      <c r="G76" s="324"/>
      <c r="H76" s="324"/>
      <c r="I76" s="324"/>
      <c r="J76" s="324"/>
      <c r="K76" s="324"/>
      <c r="L76" s="377">
        <v>42295</v>
      </c>
      <c r="M76" s="198">
        <v>77.620002999999997</v>
      </c>
      <c r="N76" s="349">
        <f t="shared" si="6"/>
        <v>1.4905857155889546E-2</v>
      </c>
      <c r="O76" s="198">
        <v>2033.1099850000001</v>
      </c>
      <c r="P76" s="349">
        <f t="shared" si="7"/>
        <v>9.0426623112727089E-3</v>
      </c>
      <c r="Q76" s="324"/>
      <c r="R76" s="324"/>
      <c r="S76" s="324"/>
      <c r="T76" s="324"/>
      <c r="U76" s="324"/>
      <c r="V76" s="377">
        <v>42669</v>
      </c>
      <c r="W76" s="198">
        <v>77.029999000000004</v>
      </c>
      <c r="X76" s="349">
        <f t="shared" si="8"/>
        <v>-4.137026609877803E-3</v>
      </c>
      <c r="Y76" s="198">
        <v>2139.429932</v>
      </c>
      <c r="Z76" s="349">
        <f t="shared" si="9"/>
        <v>-1.7404114266579285E-3</v>
      </c>
      <c r="AA76" s="324"/>
      <c r="AB76" s="324"/>
      <c r="AC76" s="324"/>
      <c r="AD76" s="324"/>
      <c r="AE76" s="324"/>
      <c r="AF76" s="324"/>
    </row>
    <row r="77" spans="1:32">
      <c r="A77" s="324"/>
      <c r="B77" s="244"/>
      <c r="C77" s="294"/>
      <c r="D77" s="235"/>
      <c r="E77" s="294"/>
      <c r="F77" s="235"/>
      <c r="G77" s="324"/>
      <c r="H77" s="324"/>
      <c r="I77" s="324"/>
      <c r="J77" s="324"/>
      <c r="K77" s="324"/>
      <c r="L77" s="377">
        <v>42288</v>
      </c>
      <c r="M77" s="198">
        <v>76.480002999999996</v>
      </c>
      <c r="N77" s="349">
        <f t="shared" si="6"/>
        <v>3.8848137509584157E-2</v>
      </c>
      <c r="O77" s="198">
        <v>2014.8900149999999</v>
      </c>
      <c r="P77" s="349">
        <f t="shared" si="7"/>
        <v>3.2556796535929688E-2</v>
      </c>
      <c r="Q77" s="324"/>
      <c r="R77" s="324"/>
      <c r="S77" s="324"/>
      <c r="T77" s="324"/>
      <c r="U77" s="324"/>
      <c r="V77" s="377">
        <v>42668</v>
      </c>
      <c r="W77" s="198">
        <v>77.349997999999999</v>
      </c>
      <c r="X77" s="349">
        <f t="shared" si="8"/>
        <v>-1.0996049239177186E-2</v>
      </c>
      <c r="Y77" s="198">
        <v>2143.1599120000001</v>
      </c>
      <c r="Z77" s="349">
        <f t="shared" si="9"/>
        <v>-3.7977277794559727E-3</v>
      </c>
      <c r="AA77" s="324"/>
      <c r="AB77" s="324"/>
      <c r="AC77" s="324"/>
      <c r="AD77" s="324"/>
      <c r="AE77" s="324"/>
      <c r="AF77" s="324"/>
    </row>
    <row r="78" spans="1:32">
      <c r="A78" s="324"/>
      <c r="B78" s="244"/>
      <c r="C78" s="294"/>
      <c r="D78" s="235"/>
      <c r="E78" s="294"/>
      <c r="F78" s="235"/>
      <c r="G78" s="324"/>
      <c r="H78" s="324"/>
      <c r="I78" s="324"/>
      <c r="J78" s="324"/>
      <c r="K78" s="324"/>
      <c r="L78" s="377">
        <v>42281</v>
      </c>
      <c r="M78" s="198">
        <v>73.620002999999997</v>
      </c>
      <c r="N78" s="349">
        <f t="shared" si="6"/>
        <v>9.5996299945042551E-3</v>
      </c>
      <c r="O78" s="198">
        <v>1951.3599850000001</v>
      </c>
      <c r="P78" s="349">
        <f t="shared" si="7"/>
        <v>1.0365869993082422E-2</v>
      </c>
      <c r="Q78" s="324"/>
      <c r="R78" s="324"/>
      <c r="S78" s="324"/>
      <c r="T78" s="324"/>
      <c r="U78" s="324"/>
      <c r="V78" s="377">
        <v>42667</v>
      </c>
      <c r="W78" s="198">
        <v>78.209998999999996</v>
      </c>
      <c r="X78" s="349">
        <f t="shared" si="8"/>
        <v>1.6242203953251044E-2</v>
      </c>
      <c r="Y78" s="198">
        <v>2151.330078</v>
      </c>
      <c r="Z78" s="349">
        <f t="shared" si="9"/>
        <v>4.749839534638145E-3</v>
      </c>
      <c r="AA78" s="324"/>
      <c r="AB78" s="324"/>
      <c r="AC78" s="324"/>
      <c r="AD78" s="324"/>
      <c r="AE78" s="324"/>
      <c r="AF78" s="324"/>
    </row>
    <row r="79" spans="1:32">
      <c r="A79" s="324"/>
      <c r="B79" s="244"/>
      <c r="C79" s="294"/>
      <c r="D79" s="235"/>
      <c r="E79" s="294"/>
      <c r="F79" s="235"/>
      <c r="G79" s="324"/>
      <c r="H79" s="324"/>
      <c r="I79" s="324"/>
      <c r="J79" s="324"/>
      <c r="K79" s="324"/>
      <c r="L79" s="377">
        <v>42274</v>
      </c>
      <c r="M79" s="198">
        <v>72.919998000000007</v>
      </c>
      <c r="N79" s="349">
        <f t="shared" si="6"/>
        <v>2.6175064063469478E-2</v>
      </c>
      <c r="O79" s="198">
        <v>1931.339966</v>
      </c>
      <c r="P79" s="349">
        <f t="shared" si="7"/>
        <v>-1.3631079505778132E-2</v>
      </c>
      <c r="Q79" s="324"/>
      <c r="R79" s="324"/>
      <c r="S79" s="324"/>
      <c r="T79" s="324"/>
      <c r="U79" s="324"/>
      <c r="V79" s="377">
        <v>42664</v>
      </c>
      <c r="W79" s="198">
        <v>76.959998999999996</v>
      </c>
      <c r="X79" s="349">
        <f t="shared" si="8"/>
        <v>-7.9917889148803933E-3</v>
      </c>
      <c r="Y79" s="198">
        <v>2141.1599120000001</v>
      </c>
      <c r="Z79" s="349">
        <f t="shared" si="9"/>
        <v>-8.4141702203055502E-5</v>
      </c>
      <c r="AA79" s="324"/>
      <c r="AB79" s="324"/>
      <c r="AC79" s="324"/>
      <c r="AD79" s="324"/>
      <c r="AE79" s="324"/>
      <c r="AF79" s="324"/>
    </row>
    <row r="80" spans="1:32">
      <c r="A80" s="324"/>
      <c r="B80" s="244"/>
      <c r="C80" s="294"/>
      <c r="D80" s="235"/>
      <c r="E80" s="294"/>
      <c r="F80" s="235"/>
      <c r="G80" s="324"/>
      <c r="H80" s="324"/>
      <c r="I80" s="324"/>
      <c r="J80" s="324"/>
      <c r="K80" s="324"/>
      <c r="L80" s="377">
        <v>42267</v>
      </c>
      <c r="M80" s="198">
        <v>71.059997999999993</v>
      </c>
      <c r="N80" s="349">
        <f t="shared" si="6"/>
        <v>7.5145187510918809E-3</v>
      </c>
      <c r="O80" s="198">
        <v>1958.030029</v>
      </c>
      <c r="P80" s="349">
        <f t="shared" si="7"/>
        <v>-1.5400014913132809E-3</v>
      </c>
      <c r="Q80" s="324"/>
      <c r="R80" s="324"/>
      <c r="S80" s="324"/>
      <c r="T80" s="324"/>
      <c r="U80" s="324"/>
      <c r="V80" s="377">
        <v>42663</v>
      </c>
      <c r="W80" s="198">
        <v>77.580001999999993</v>
      </c>
      <c r="X80" s="349">
        <f t="shared" si="8"/>
        <v>-8.8155746320012218E-3</v>
      </c>
      <c r="Y80" s="198">
        <v>2141.3400879999999</v>
      </c>
      <c r="Z80" s="349">
        <f t="shared" si="9"/>
        <v>-1.375723874264545E-3</v>
      </c>
      <c r="AA80" s="324"/>
      <c r="AB80" s="324"/>
      <c r="AC80" s="324"/>
      <c r="AD80" s="324"/>
      <c r="AE80" s="324"/>
      <c r="AF80" s="324"/>
    </row>
    <row r="81" spans="1:32">
      <c r="A81" s="324"/>
      <c r="B81" s="244"/>
      <c r="C81" s="294"/>
      <c r="D81" s="235"/>
      <c r="E81" s="294"/>
      <c r="F81" s="235"/>
      <c r="G81" s="324"/>
      <c r="H81" s="324"/>
      <c r="I81" s="324"/>
      <c r="J81" s="324"/>
      <c r="K81" s="324"/>
      <c r="L81" s="377">
        <v>42260</v>
      </c>
      <c r="M81" s="198">
        <v>70.529999000000004</v>
      </c>
      <c r="N81" s="349">
        <f t="shared" si="6"/>
        <v>2.7235579537688404E-2</v>
      </c>
      <c r="O81" s="198">
        <v>1961.0500489999999</v>
      </c>
      <c r="P81" s="349">
        <f t="shared" si="7"/>
        <v>2.0731659362914323E-2</v>
      </c>
      <c r="Q81" s="324"/>
      <c r="R81" s="324"/>
      <c r="S81" s="324"/>
      <c r="T81" s="324"/>
      <c r="U81" s="324"/>
      <c r="V81" s="377">
        <v>42662</v>
      </c>
      <c r="W81" s="198">
        <v>78.269997000000004</v>
      </c>
      <c r="X81" s="349">
        <f t="shared" si="8"/>
        <v>9.9354451612903016E-3</v>
      </c>
      <c r="Y81" s="198">
        <v>2144.290039</v>
      </c>
      <c r="Z81" s="349">
        <f t="shared" si="9"/>
        <v>2.191970828747003E-3</v>
      </c>
      <c r="AA81" s="324"/>
      <c r="AB81" s="324"/>
      <c r="AC81" s="324"/>
      <c r="AD81" s="324"/>
      <c r="AE81" s="324"/>
      <c r="AF81" s="324"/>
    </row>
    <row r="82" spans="1:32">
      <c r="A82" s="324"/>
      <c r="B82" s="244"/>
      <c r="C82" s="294"/>
      <c r="D82" s="235"/>
      <c r="E82" s="294"/>
      <c r="F82" s="235"/>
      <c r="G82" s="324"/>
      <c r="H82" s="324"/>
      <c r="I82" s="324"/>
      <c r="J82" s="324"/>
      <c r="K82" s="324"/>
      <c r="L82" s="377">
        <v>42253</v>
      </c>
      <c r="M82" s="198">
        <v>68.660004000000001</v>
      </c>
      <c r="N82" s="349">
        <f t="shared" si="6"/>
        <v>-7.0403424446203289E-2</v>
      </c>
      <c r="O82" s="198">
        <v>1921.219971</v>
      </c>
      <c r="P82" s="349">
        <f t="shared" si="7"/>
        <v>-3.4014301673850778E-2</v>
      </c>
      <c r="Q82" s="324"/>
      <c r="R82" s="324"/>
      <c r="S82" s="324"/>
      <c r="T82" s="324"/>
      <c r="U82" s="324"/>
      <c r="V82" s="377">
        <v>42661</v>
      </c>
      <c r="W82" s="198">
        <v>77.5</v>
      </c>
      <c r="X82" s="349">
        <f t="shared" si="8"/>
        <v>1.7193830760104056E-2</v>
      </c>
      <c r="Y82" s="198">
        <v>2139.6000979999999</v>
      </c>
      <c r="Z82" s="349">
        <f t="shared" si="9"/>
        <v>6.1604034798965479E-3</v>
      </c>
      <c r="AA82" s="324"/>
      <c r="AB82" s="324"/>
      <c r="AC82" s="324"/>
      <c r="AD82" s="324"/>
      <c r="AE82" s="324"/>
      <c r="AF82" s="324"/>
    </row>
    <row r="83" spans="1:32">
      <c r="A83" s="324"/>
      <c r="B83" s="244"/>
      <c r="C83" s="294"/>
      <c r="D83" s="235"/>
      <c r="E83" s="294"/>
      <c r="F83" s="235"/>
      <c r="G83" s="324"/>
      <c r="H83" s="324"/>
      <c r="I83" s="324"/>
      <c r="J83" s="324"/>
      <c r="K83" s="324"/>
      <c r="L83" s="377">
        <v>42246</v>
      </c>
      <c r="M83" s="198">
        <v>73.860000999999997</v>
      </c>
      <c r="N83" s="349">
        <f t="shared" si="6"/>
        <v>2.1153034117156633E-2</v>
      </c>
      <c r="O83" s="198">
        <v>1988.869995</v>
      </c>
      <c r="P83" s="349">
        <f t="shared" si="7"/>
        <v>9.1227718762378895E-3</v>
      </c>
      <c r="Q83" s="324"/>
      <c r="R83" s="324"/>
      <c r="S83" s="324"/>
      <c r="T83" s="324"/>
      <c r="U83" s="324"/>
      <c r="V83" s="377">
        <v>42660</v>
      </c>
      <c r="W83" s="198">
        <v>76.190002000000007</v>
      </c>
      <c r="X83" s="349">
        <f t="shared" si="8"/>
        <v>-1.3082837295965044E-2</v>
      </c>
      <c r="Y83" s="198">
        <v>2126.5</v>
      </c>
      <c r="Z83" s="349">
        <f t="shared" si="9"/>
        <v>-3.0379938212078406E-3</v>
      </c>
      <c r="AA83" s="324"/>
      <c r="AB83" s="324"/>
      <c r="AC83" s="324"/>
      <c r="AD83" s="324"/>
      <c r="AE83" s="324"/>
      <c r="AF83" s="324"/>
    </row>
    <row r="84" spans="1:32">
      <c r="A84" s="324"/>
      <c r="B84" s="244"/>
      <c r="C84" s="294"/>
      <c r="D84" s="235"/>
      <c r="E84" s="294"/>
      <c r="F84" s="235"/>
      <c r="G84" s="324"/>
      <c r="H84" s="324"/>
      <c r="I84" s="324"/>
      <c r="J84" s="324"/>
      <c r="K84" s="324"/>
      <c r="L84" s="377">
        <v>42239</v>
      </c>
      <c r="M84" s="198">
        <v>72.330001999999993</v>
      </c>
      <c r="N84" s="349">
        <f t="shared" si="6"/>
        <v>-7.6481077630234928E-2</v>
      </c>
      <c r="O84" s="198">
        <v>1970.8900149999999</v>
      </c>
      <c r="P84" s="349">
        <f t="shared" si="7"/>
        <v>-5.7684778560435745E-2</v>
      </c>
      <c r="Q84" s="324"/>
      <c r="R84" s="324"/>
      <c r="S84" s="324"/>
      <c r="T84" s="324"/>
      <c r="U84" s="324"/>
      <c r="V84" s="377">
        <v>42657</v>
      </c>
      <c r="W84" s="198">
        <v>77.199996999999996</v>
      </c>
      <c r="X84" s="349">
        <f t="shared" si="8"/>
        <v>4.8157619467457113E-3</v>
      </c>
      <c r="Y84" s="198">
        <v>2132.9799800000001</v>
      </c>
      <c r="Z84" s="349">
        <f t="shared" si="9"/>
        <v>2.0160417815362486E-4</v>
      </c>
      <c r="AA84" s="324"/>
      <c r="AB84" s="324"/>
      <c r="AC84" s="324"/>
      <c r="AD84" s="324"/>
      <c r="AE84" s="324"/>
      <c r="AF84" s="324"/>
    </row>
    <row r="85" spans="1:32">
      <c r="A85" s="324"/>
      <c r="B85" s="244"/>
      <c r="C85" s="294"/>
      <c r="D85" s="235"/>
      <c r="E85" s="294"/>
      <c r="F85" s="235"/>
      <c r="G85" s="324"/>
      <c r="H85" s="324"/>
      <c r="I85" s="324"/>
      <c r="J85" s="324"/>
      <c r="K85" s="324"/>
      <c r="L85" s="377">
        <v>42232</v>
      </c>
      <c r="M85" s="198">
        <v>78.319999999999993</v>
      </c>
      <c r="N85" s="349">
        <f t="shared" si="6"/>
        <v>9.4084809593235619E-3</v>
      </c>
      <c r="O85" s="198">
        <v>2091.540039</v>
      </c>
      <c r="P85" s="349">
        <f t="shared" si="7"/>
        <v>6.7241876532464495E-3</v>
      </c>
      <c r="Q85" s="324"/>
      <c r="R85" s="324"/>
      <c r="S85" s="324"/>
      <c r="T85" s="324"/>
      <c r="U85" s="324"/>
      <c r="V85" s="377">
        <v>42656</v>
      </c>
      <c r="W85" s="198">
        <v>76.830001999999993</v>
      </c>
      <c r="X85" s="349">
        <f t="shared" si="8"/>
        <v>-4.5348276755637906E-3</v>
      </c>
      <c r="Y85" s="198">
        <v>2132.5500489999999</v>
      </c>
      <c r="Z85" s="349">
        <f t="shared" si="9"/>
        <v>-3.0992638350910706E-3</v>
      </c>
      <c r="AA85" s="324"/>
      <c r="AB85" s="324"/>
      <c r="AC85" s="324"/>
      <c r="AD85" s="324"/>
      <c r="AE85" s="324"/>
      <c r="AF85" s="324"/>
    </row>
    <row r="86" spans="1:32">
      <c r="A86" s="324"/>
      <c r="B86" s="244"/>
      <c r="C86" s="294"/>
      <c r="D86" s="235"/>
      <c r="E86" s="294"/>
      <c r="F86" s="235"/>
      <c r="G86" s="324"/>
      <c r="H86" s="324"/>
      <c r="I86" s="324"/>
      <c r="J86" s="324"/>
      <c r="K86" s="324"/>
      <c r="L86" s="377">
        <v>42225</v>
      </c>
      <c r="M86" s="198">
        <v>77.589995999999999</v>
      </c>
      <c r="N86" s="349">
        <f t="shared" si="6"/>
        <v>-1.8841754708099234E-2</v>
      </c>
      <c r="O86" s="198">
        <v>2077.570068</v>
      </c>
      <c r="P86" s="349">
        <f t="shared" si="7"/>
        <v>-1.2486699987247274E-2</v>
      </c>
      <c r="Q86" s="324"/>
      <c r="R86" s="324"/>
      <c r="S86" s="324"/>
      <c r="T86" s="324"/>
      <c r="U86" s="324"/>
      <c r="V86" s="377">
        <v>42655</v>
      </c>
      <c r="W86" s="198">
        <v>77.180000000000007</v>
      </c>
      <c r="X86" s="349">
        <f t="shared" si="8"/>
        <v>5.6026058631921671E-3</v>
      </c>
      <c r="Y86" s="198">
        <v>2139.179932</v>
      </c>
      <c r="Z86" s="349">
        <f t="shared" si="9"/>
        <v>1.1465894253985809E-3</v>
      </c>
      <c r="AA86" s="324"/>
      <c r="AB86" s="324"/>
      <c r="AC86" s="324"/>
      <c r="AD86" s="324"/>
      <c r="AE86" s="324"/>
      <c r="AF86" s="324"/>
    </row>
    <row r="87" spans="1:32">
      <c r="A87" s="324"/>
      <c r="B87" s="244"/>
      <c r="C87" s="294"/>
      <c r="D87" s="235"/>
      <c r="E87" s="294"/>
      <c r="F87" s="235"/>
      <c r="G87" s="324"/>
      <c r="H87" s="324"/>
      <c r="I87" s="324"/>
      <c r="J87" s="324"/>
      <c r="K87" s="324"/>
      <c r="L87" s="377">
        <v>42218</v>
      </c>
      <c r="M87" s="198">
        <v>79.080001999999993</v>
      </c>
      <c r="N87" s="349">
        <f t="shared" si="6"/>
        <v>1.5197948520744298E-3</v>
      </c>
      <c r="O87" s="198">
        <v>2103.8400879999999</v>
      </c>
      <c r="P87" s="349">
        <f t="shared" si="7"/>
        <v>1.1631854946708042E-2</v>
      </c>
      <c r="Q87" s="324"/>
      <c r="R87" s="324"/>
      <c r="S87" s="324"/>
      <c r="T87" s="324"/>
      <c r="U87" s="324"/>
      <c r="V87" s="377">
        <v>42654</v>
      </c>
      <c r="W87" s="198">
        <v>76.75</v>
      </c>
      <c r="X87" s="349">
        <f t="shared" si="8"/>
        <v>-1.5899449054992965E-2</v>
      </c>
      <c r="Y87" s="198">
        <v>2136.7299800000001</v>
      </c>
      <c r="Z87" s="349">
        <f t="shared" si="9"/>
        <v>-1.2446471763257416E-2</v>
      </c>
      <c r="AA87" s="324"/>
      <c r="AB87" s="324"/>
      <c r="AC87" s="324"/>
      <c r="AD87" s="324"/>
      <c r="AE87" s="324"/>
      <c r="AF87" s="324"/>
    </row>
    <row r="88" spans="1:32">
      <c r="A88" s="324"/>
      <c r="B88" s="244"/>
      <c r="C88" s="294"/>
      <c r="D88" s="235"/>
      <c r="E88" s="294"/>
      <c r="F88" s="235"/>
      <c r="G88" s="324"/>
      <c r="H88" s="324"/>
      <c r="I88" s="324"/>
      <c r="J88" s="324"/>
      <c r="K88" s="324"/>
      <c r="L88" s="377">
        <v>42211</v>
      </c>
      <c r="M88" s="198">
        <v>78.959998999999996</v>
      </c>
      <c r="N88" s="349">
        <f t="shared" si="6"/>
        <v>-1.2648495134036652E-3</v>
      </c>
      <c r="O88" s="198">
        <v>2079.6499020000001</v>
      </c>
      <c r="P88" s="349">
        <f t="shared" si="7"/>
        <v>-2.2095885229403978E-2</v>
      </c>
      <c r="Q88" s="324"/>
      <c r="R88" s="324"/>
      <c r="S88" s="324"/>
      <c r="T88" s="324"/>
      <c r="U88" s="324"/>
      <c r="V88" s="377">
        <v>42653</v>
      </c>
      <c r="W88" s="198">
        <v>77.989998</v>
      </c>
      <c r="X88" s="349">
        <f t="shared" si="8"/>
        <v>2.4420950215129356E-3</v>
      </c>
      <c r="Y88" s="198">
        <v>2163.6599120000001</v>
      </c>
      <c r="Z88" s="349">
        <f t="shared" si="9"/>
        <v>4.605905098135743E-3</v>
      </c>
      <c r="AA88" s="324"/>
      <c r="AB88" s="324"/>
      <c r="AC88" s="324"/>
      <c r="AD88" s="324"/>
      <c r="AE88" s="324"/>
      <c r="AF88" s="324"/>
    </row>
    <row r="89" spans="1:32">
      <c r="A89" s="324"/>
      <c r="B89" s="244"/>
      <c r="C89" s="294"/>
      <c r="D89" s="235"/>
      <c r="E89" s="294"/>
      <c r="F89" s="235"/>
      <c r="G89" s="324"/>
      <c r="H89" s="324"/>
      <c r="I89" s="324"/>
      <c r="J89" s="324"/>
      <c r="K89" s="324"/>
      <c r="L89" s="377">
        <v>42204</v>
      </c>
      <c r="M89" s="198">
        <v>79.059997999999993</v>
      </c>
      <c r="N89" s="349">
        <f t="shared" si="6"/>
        <v>6.620791868846343E-3</v>
      </c>
      <c r="O89" s="198">
        <v>2126.639893</v>
      </c>
      <c r="P89" s="349">
        <f t="shared" si="7"/>
        <v>2.4087109428690967E-2</v>
      </c>
      <c r="Q89" s="324"/>
      <c r="R89" s="324"/>
      <c r="S89" s="324"/>
      <c r="T89" s="324"/>
      <c r="U89" s="324"/>
      <c r="V89" s="377">
        <v>42650</v>
      </c>
      <c r="W89" s="198">
        <v>77.800003000000004</v>
      </c>
      <c r="X89" s="349">
        <f t="shared" si="8"/>
        <v>-1.0052080928977247E-2</v>
      </c>
      <c r="Y89" s="198">
        <v>2153.73999</v>
      </c>
      <c r="Z89" s="349">
        <f t="shared" si="9"/>
        <v>-3.2534836817107449E-3</v>
      </c>
      <c r="AA89" s="324"/>
      <c r="AB89" s="324"/>
      <c r="AC89" s="324"/>
      <c r="AD89" s="324"/>
      <c r="AE89" s="324"/>
      <c r="AF89" s="324"/>
    </row>
    <row r="90" spans="1:32">
      <c r="A90" s="324"/>
      <c r="B90" s="244"/>
      <c r="C90" s="294"/>
      <c r="D90" s="235"/>
      <c r="E90" s="294"/>
      <c r="F90" s="235"/>
      <c r="G90" s="324"/>
      <c r="H90" s="324"/>
      <c r="I90" s="324"/>
      <c r="J90" s="324"/>
      <c r="K90" s="324"/>
      <c r="L90" s="377">
        <v>42197</v>
      </c>
      <c r="M90" s="198">
        <v>78.540001000000004</v>
      </c>
      <c r="N90" s="349">
        <f t="shared" si="6"/>
        <v>2.1592144442981631E-2</v>
      </c>
      <c r="O90" s="198">
        <v>2076.6201169999999</v>
      </c>
      <c r="P90" s="349">
        <f t="shared" si="7"/>
        <v>-7.6999970033964082E-5</v>
      </c>
      <c r="Q90" s="324"/>
      <c r="R90" s="324"/>
      <c r="S90" s="324"/>
      <c r="T90" s="324"/>
      <c r="U90" s="324"/>
      <c r="V90" s="377">
        <v>42649</v>
      </c>
      <c r="W90" s="198">
        <v>78.589995999999999</v>
      </c>
      <c r="X90" s="349">
        <f t="shared" si="8"/>
        <v>-1.0575399723026679E-2</v>
      </c>
      <c r="Y90" s="198">
        <v>2160.7700199999999</v>
      </c>
      <c r="Z90" s="349">
        <f t="shared" si="9"/>
        <v>4.8156019948386586E-4</v>
      </c>
      <c r="AA90" s="324"/>
      <c r="AB90" s="324"/>
      <c r="AC90" s="324"/>
      <c r="AD90" s="324"/>
      <c r="AE90" s="324"/>
      <c r="AF90" s="324"/>
    </row>
    <row r="91" spans="1:32">
      <c r="A91" s="324"/>
      <c r="B91" s="244"/>
      <c r="C91" s="294"/>
      <c r="D91" s="235"/>
      <c r="E91" s="294"/>
      <c r="F91" s="235"/>
      <c r="G91" s="324"/>
      <c r="H91" s="324"/>
      <c r="I91" s="324"/>
      <c r="J91" s="324"/>
      <c r="K91" s="324"/>
      <c r="L91" s="377">
        <v>42190</v>
      </c>
      <c r="M91" s="198">
        <v>76.879997000000003</v>
      </c>
      <c r="N91" s="349">
        <f t="shared" si="6"/>
        <v>-7.744011057924105E-3</v>
      </c>
      <c r="O91" s="198">
        <v>2076.780029</v>
      </c>
      <c r="P91" s="349">
        <f t="shared" si="7"/>
        <v>-1.1758305353621989E-2</v>
      </c>
      <c r="Q91" s="324"/>
      <c r="R91" s="324"/>
      <c r="S91" s="324"/>
      <c r="T91" s="324"/>
      <c r="U91" s="324"/>
      <c r="V91" s="377">
        <v>42648</v>
      </c>
      <c r="W91" s="198">
        <v>79.430000000000007</v>
      </c>
      <c r="X91" s="349">
        <f t="shared" si="8"/>
        <v>-2.7621091585157131E-3</v>
      </c>
      <c r="Y91" s="198">
        <v>2159.7299800000001</v>
      </c>
      <c r="Z91" s="349">
        <f t="shared" si="9"/>
        <v>4.2966905416750301E-3</v>
      </c>
      <c r="AA91" s="324"/>
      <c r="AB91" s="324"/>
      <c r="AC91" s="324"/>
      <c r="AD91" s="324"/>
      <c r="AE91" s="324"/>
      <c r="AF91" s="324"/>
    </row>
    <row r="92" spans="1:32">
      <c r="A92" s="324"/>
      <c r="B92" s="244"/>
      <c r="C92" s="294"/>
      <c r="D92" s="235"/>
      <c r="E92" s="294"/>
      <c r="F92" s="235"/>
      <c r="G92" s="324"/>
      <c r="H92" s="324"/>
      <c r="I92" s="324"/>
      <c r="J92" s="324"/>
      <c r="K92" s="324"/>
      <c r="L92" s="377">
        <v>42183</v>
      </c>
      <c r="M92" s="198">
        <v>77.480002999999996</v>
      </c>
      <c r="N92" s="349">
        <f t="shared" si="6"/>
        <v>-2.2950818803878281E-2</v>
      </c>
      <c r="O92" s="198">
        <v>2101.48999</v>
      </c>
      <c r="P92" s="349">
        <f t="shared" si="7"/>
        <v>-4.0284551302539606E-3</v>
      </c>
      <c r="Q92" s="324"/>
      <c r="R92" s="324"/>
      <c r="S92" s="324"/>
      <c r="T92" s="324"/>
      <c r="U92" s="324"/>
      <c r="V92" s="377">
        <v>42647</v>
      </c>
      <c r="W92" s="198">
        <v>79.650002000000001</v>
      </c>
      <c r="X92" s="349">
        <f t="shared" si="8"/>
        <v>-6.8577932739822822E-3</v>
      </c>
      <c r="Y92" s="198">
        <v>2150.48999</v>
      </c>
      <c r="Z92" s="349">
        <f t="shared" si="9"/>
        <v>-4.9555623000289151E-3</v>
      </c>
      <c r="AA92" s="324"/>
      <c r="AB92" s="324"/>
      <c r="AC92" s="324"/>
      <c r="AD92" s="324"/>
      <c r="AE92" s="324"/>
      <c r="AF92" s="324"/>
    </row>
    <row r="93" spans="1:32">
      <c r="A93" s="324"/>
      <c r="B93" s="244"/>
      <c r="C93" s="294"/>
      <c r="D93" s="235"/>
      <c r="E93" s="294"/>
      <c r="F93" s="235"/>
      <c r="G93" s="324"/>
      <c r="H93" s="324"/>
      <c r="I93" s="324"/>
      <c r="J93" s="324"/>
      <c r="K93" s="324"/>
      <c r="L93" s="377">
        <v>42176</v>
      </c>
      <c r="M93" s="198">
        <v>79.300003000000004</v>
      </c>
      <c r="N93" s="349">
        <f t="shared" si="6"/>
        <v>1.4196201197181235E-2</v>
      </c>
      <c r="O93" s="198">
        <v>2109.98999</v>
      </c>
      <c r="P93" s="349">
        <f t="shared" si="7"/>
        <v>7.5831175003253648E-3</v>
      </c>
      <c r="Q93" s="324"/>
      <c r="R93" s="324"/>
      <c r="S93" s="324"/>
      <c r="T93" s="324"/>
      <c r="U93" s="324"/>
      <c r="V93" s="377">
        <v>42646</v>
      </c>
      <c r="W93" s="198">
        <v>80.199996999999996</v>
      </c>
      <c r="X93" s="349">
        <f t="shared" si="8"/>
        <v>-7.7941975060200619E-3</v>
      </c>
      <c r="Y93" s="198">
        <v>2161.1999510000001</v>
      </c>
      <c r="Z93" s="349">
        <f t="shared" si="9"/>
        <v>-3.2606958242220596E-3</v>
      </c>
      <c r="AA93" s="324"/>
      <c r="AB93" s="324"/>
      <c r="AC93" s="324"/>
      <c r="AD93" s="324"/>
      <c r="AE93" s="324"/>
      <c r="AF93" s="324"/>
    </row>
    <row r="94" spans="1:32">
      <c r="A94" s="324"/>
      <c r="B94" s="244"/>
      <c r="C94" s="294"/>
      <c r="D94" s="235"/>
      <c r="E94" s="294"/>
      <c r="F94" s="235"/>
      <c r="G94" s="324"/>
      <c r="H94" s="324"/>
      <c r="I94" s="324"/>
      <c r="J94" s="324"/>
      <c r="K94" s="324"/>
      <c r="L94" s="377">
        <v>42169</v>
      </c>
      <c r="M94" s="198">
        <v>78.190002000000007</v>
      </c>
      <c r="N94" s="349">
        <f t="shared" si="6"/>
        <v>3.7227213421637817E-3</v>
      </c>
      <c r="O94" s="198">
        <v>2094.110107</v>
      </c>
      <c r="P94" s="349">
        <f t="shared" si="7"/>
        <v>6.116258617723247E-4</v>
      </c>
      <c r="Q94" s="324"/>
      <c r="R94" s="324"/>
      <c r="S94" s="324"/>
      <c r="T94" s="324"/>
      <c r="U94" s="324"/>
      <c r="V94" s="377">
        <v>42643</v>
      </c>
      <c r="W94" s="198">
        <v>80.830001999999993</v>
      </c>
      <c r="X94" s="349">
        <f t="shared" si="8"/>
        <v>8.3582580659551375E-3</v>
      </c>
      <c r="Y94" s="198">
        <v>2168.2700199999999</v>
      </c>
      <c r="Z94" s="349">
        <f t="shared" si="9"/>
        <v>7.967969361336813E-3</v>
      </c>
      <c r="AA94" s="324"/>
      <c r="AB94" s="324"/>
      <c r="AC94" s="324"/>
      <c r="AD94" s="324"/>
      <c r="AE94" s="324"/>
      <c r="AF94" s="324"/>
    </row>
    <row r="95" spans="1:32">
      <c r="A95" s="324"/>
      <c r="B95" s="244"/>
      <c r="C95" s="294"/>
      <c r="D95" s="235"/>
      <c r="E95" s="294"/>
      <c r="F95" s="235"/>
      <c r="G95" s="324"/>
      <c r="H95" s="324"/>
      <c r="I95" s="324"/>
      <c r="J95" s="324"/>
      <c r="K95" s="324"/>
      <c r="L95" s="377">
        <v>42162</v>
      </c>
      <c r="M95" s="198">
        <v>77.900002000000001</v>
      </c>
      <c r="N95" s="349">
        <f t="shared" si="6"/>
        <v>8.153293962208874E-3</v>
      </c>
      <c r="O95" s="198">
        <v>2092.830078</v>
      </c>
      <c r="P95" s="349">
        <f t="shared" si="7"/>
        <v>-6.9089327268592182E-3</v>
      </c>
      <c r="Q95" s="324"/>
      <c r="R95" s="324"/>
      <c r="S95" s="324"/>
      <c r="T95" s="324"/>
      <c r="U95" s="324"/>
      <c r="V95" s="377">
        <v>42642</v>
      </c>
      <c r="W95" s="198">
        <v>80.160004000000001</v>
      </c>
      <c r="X95" s="349">
        <f t="shared" si="8"/>
        <v>-4.9651689415383116E-3</v>
      </c>
      <c r="Y95" s="198">
        <v>2151.1298830000001</v>
      </c>
      <c r="Z95" s="349">
        <f t="shared" si="9"/>
        <v>-9.3214113252899633E-3</v>
      </c>
      <c r="AA95" s="324"/>
      <c r="AB95" s="324"/>
      <c r="AC95" s="324"/>
      <c r="AD95" s="324"/>
      <c r="AE95" s="324"/>
      <c r="AF95" s="324"/>
    </row>
    <row r="96" spans="1:32">
      <c r="A96" s="324"/>
      <c r="B96" s="244"/>
      <c r="C96" s="294"/>
      <c r="D96" s="235"/>
      <c r="E96" s="294"/>
      <c r="F96" s="235"/>
      <c r="G96" s="324"/>
      <c r="H96" s="324"/>
      <c r="I96" s="324"/>
      <c r="J96" s="324"/>
      <c r="K96" s="324"/>
      <c r="L96" s="377">
        <v>42155</v>
      </c>
      <c r="M96" s="198">
        <v>77.269997000000004</v>
      </c>
      <c r="N96" s="349">
        <f t="shared" si="6"/>
        <v>-1.9540680612629702E-2</v>
      </c>
      <c r="O96" s="198">
        <v>2107.389893</v>
      </c>
      <c r="P96" s="349">
        <f t="shared" si="7"/>
        <v>-8.7815797681564112E-3</v>
      </c>
      <c r="Q96" s="324"/>
      <c r="R96" s="324"/>
      <c r="S96" s="324"/>
      <c r="T96" s="324"/>
      <c r="U96" s="324"/>
      <c r="V96" s="377">
        <v>42641</v>
      </c>
      <c r="W96" s="198">
        <v>80.559997999999993</v>
      </c>
      <c r="X96" s="349">
        <f t="shared" si="8"/>
        <v>1.8328870960322652E-2</v>
      </c>
      <c r="Y96" s="198">
        <v>2171.3701169999999</v>
      </c>
      <c r="Z96" s="349">
        <f t="shared" si="9"/>
        <v>5.2965537587632561E-3</v>
      </c>
      <c r="AA96" s="324"/>
      <c r="AB96" s="324"/>
      <c r="AC96" s="324"/>
      <c r="AD96" s="324"/>
      <c r="AE96" s="324"/>
      <c r="AF96" s="324"/>
    </row>
    <row r="97" spans="1:32">
      <c r="A97" s="324"/>
      <c r="B97" s="244"/>
      <c r="C97" s="294"/>
      <c r="D97" s="235"/>
      <c r="E97" s="294"/>
      <c r="F97" s="235"/>
      <c r="G97" s="324"/>
      <c r="H97" s="324"/>
      <c r="I97" s="324"/>
      <c r="J97" s="324"/>
      <c r="K97" s="324"/>
      <c r="L97" s="377">
        <v>42148</v>
      </c>
      <c r="M97" s="198">
        <v>78.809997999999993</v>
      </c>
      <c r="N97" s="349">
        <f t="shared" si="6"/>
        <v>1.3372779222300624E-2</v>
      </c>
      <c r="O97" s="198">
        <v>2126.0600589999999</v>
      </c>
      <c r="P97" s="349">
        <f t="shared" si="7"/>
        <v>1.5687718322043853E-3</v>
      </c>
      <c r="Q97" s="324"/>
      <c r="R97" s="324"/>
      <c r="S97" s="324"/>
      <c r="T97" s="324"/>
      <c r="U97" s="324"/>
      <c r="V97" s="377">
        <v>42640</v>
      </c>
      <c r="W97" s="198">
        <v>79.110000999999997</v>
      </c>
      <c r="X97" s="349">
        <f t="shared" si="8"/>
        <v>4.699047617451102E-3</v>
      </c>
      <c r="Y97" s="198">
        <v>2159.929932</v>
      </c>
      <c r="Z97" s="349">
        <f t="shared" si="9"/>
        <v>6.4441700612607455E-3</v>
      </c>
      <c r="AA97" s="324"/>
      <c r="AB97" s="324"/>
      <c r="AC97" s="324"/>
      <c r="AD97" s="324"/>
      <c r="AE97" s="324"/>
      <c r="AF97" s="324"/>
    </row>
    <row r="98" spans="1:32">
      <c r="A98" s="324"/>
      <c r="B98" s="244"/>
      <c r="C98" s="294"/>
      <c r="D98" s="235"/>
      <c r="E98" s="294"/>
      <c r="F98" s="235"/>
      <c r="G98" s="324"/>
      <c r="H98" s="324"/>
      <c r="I98" s="324"/>
      <c r="J98" s="324"/>
      <c r="K98" s="324"/>
      <c r="L98" s="377">
        <v>42141</v>
      </c>
      <c r="M98" s="198">
        <v>77.769997000000004</v>
      </c>
      <c r="N98" s="349">
        <f t="shared" si="6"/>
        <v>2.3558751373042197E-2</v>
      </c>
      <c r="O98" s="198">
        <v>2122.7299800000001</v>
      </c>
      <c r="P98" s="349">
        <f t="shared" si="7"/>
        <v>3.1330663451443197E-3</v>
      </c>
      <c r="Q98" s="324"/>
      <c r="R98" s="324"/>
      <c r="S98" s="324"/>
      <c r="T98" s="324"/>
      <c r="U98" s="324"/>
      <c r="V98" s="377">
        <v>42639</v>
      </c>
      <c r="W98" s="198">
        <v>78.739998</v>
      </c>
      <c r="X98" s="349">
        <f t="shared" si="8"/>
        <v>-4.9285860582050089E-3</v>
      </c>
      <c r="Y98" s="198">
        <v>2146.1000979999999</v>
      </c>
      <c r="Z98" s="349">
        <f t="shared" si="9"/>
        <v>-8.5877624540595665E-3</v>
      </c>
      <c r="AA98" s="324"/>
      <c r="AB98" s="324"/>
      <c r="AC98" s="324"/>
      <c r="AD98" s="324"/>
      <c r="AE98" s="324"/>
      <c r="AF98" s="324"/>
    </row>
    <row r="99" spans="1:32">
      <c r="A99" s="324"/>
      <c r="B99" s="244"/>
      <c r="C99" s="294"/>
      <c r="D99" s="235"/>
      <c r="E99" s="294"/>
      <c r="F99" s="235"/>
      <c r="G99" s="324"/>
      <c r="H99" s="324"/>
      <c r="I99" s="324"/>
      <c r="J99" s="324"/>
      <c r="K99" s="324"/>
      <c r="L99" s="377">
        <v>42134</v>
      </c>
      <c r="M99" s="198">
        <v>75.980002999999996</v>
      </c>
      <c r="N99" s="349">
        <f t="shared" si="6"/>
        <v>8.2272026509129237E-3</v>
      </c>
      <c r="O99" s="198">
        <v>2116.1000979999999</v>
      </c>
      <c r="P99" s="349">
        <f t="shared" si="7"/>
        <v>3.7044518806834681E-3</v>
      </c>
      <c r="Q99" s="324"/>
      <c r="R99" s="324"/>
      <c r="S99" s="324"/>
      <c r="T99" s="324"/>
      <c r="U99" s="324"/>
      <c r="V99" s="377">
        <v>42636</v>
      </c>
      <c r="W99" s="198">
        <v>79.129997000000003</v>
      </c>
      <c r="X99" s="349">
        <f t="shared" si="8"/>
        <v>-1.1122219862117699E-2</v>
      </c>
      <c r="Y99" s="198">
        <v>2164.6899410000001</v>
      </c>
      <c r="Z99" s="349">
        <f t="shared" si="9"/>
        <v>-5.7367748142553854E-3</v>
      </c>
      <c r="AA99" s="324"/>
      <c r="AB99" s="324"/>
      <c r="AC99" s="324"/>
      <c r="AD99" s="324"/>
      <c r="AE99" s="324"/>
      <c r="AF99" s="324"/>
    </row>
    <row r="100" spans="1:32">
      <c r="A100" s="324"/>
      <c r="B100" s="244"/>
      <c r="C100" s="294"/>
      <c r="D100" s="235"/>
      <c r="E100" s="294"/>
      <c r="F100" s="235"/>
      <c r="G100" s="324"/>
      <c r="H100" s="324"/>
      <c r="I100" s="324"/>
      <c r="J100" s="324"/>
      <c r="K100" s="324"/>
      <c r="L100" s="377">
        <v>42127</v>
      </c>
      <c r="M100" s="198">
        <v>75.360000999999997</v>
      </c>
      <c r="N100" s="349">
        <f t="shared" si="6"/>
        <v>-1.9133163630530636E-2</v>
      </c>
      <c r="O100" s="198">
        <v>2108.290039</v>
      </c>
      <c r="P100" s="349">
        <f t="shared" si="7"/>
        <v>-4.4387527267383264E-3</v>
      </c>
      <c r="Q100" s="324"/>
      <c r="R100" s="324"/>
      <c r="S100" s="324"/>
      <c r="T100" s="324"/>
      <c r="U100" s="324"/>
      <c r="V100" s="377">
        <v>42635</v>
      </c>
      <c r="W100" s="198">
        <v>80.019997000000004</v>
      </c>
      <c r="X100" s="349">
        <f t="shared" si="8"/>
        <v>3.8681152145883191E-2</v>
      </c>
      <c r="Y100" s="198">
        <v>2177.179932</v>
      </c>
      <c r="Z100" s="349">
        <f t="shared" si="9"/>
        <v>6.4997846811667426E-3</v>
      </c>
      <c r="AA100" s="324"/>
      <c r="AB100" s="324"/>
      <c r="AC100" s="324"/>
      <c r="AD100" s="324"/>
      <c r="AE100" s="324"/>
      <c r="AF100" s="324"/>
    </row>
    <row r="101" spans="1:32">
      <c r="A101" s="324"/>
      <c r="B101" s="244"/>
      <c r="C101" s="294"/>
      <c r="D101" s="235"/>
      <c r="E101" s="294"/>
      <c r="F101" s="235"/>
      <c r="G101" s="324"/>
      <c r="H101" s="324"/>
      <c r="I101" s="324"/>
      <c r="J101" s="324"/>
      <c r="K101" s="324"/>
      <c r="L101" s="377">
        <v>42120</v>
      </c>
      <c r="M101" s="198">
        <v>76.830001999999993</v>
      </c>
      <c r="N101" s="349">
        <f t="shared" si="6"/>
        <v>3.9226322196672436E-2</v>
      </c>
      <c r="O101" s="198">
        <v>2117.6899410000001</v>
      </c>
      <c r="P101" s="349">
        <f t="shared" si="7"/>
        <v>1.7542937272566395E-2</v>
      </c>
      <c r="Q101" s="324"/>
      <c r="R101" s="324"/>
      <c r="S101" s="324"/>
      <c r="T101" s="324"/>
      <c r="U101" s="324"/>
      <c r="V101" s="377">
        <v>42634</v>
      </c>
      <c r="W101" s="198">
        <v>77.040001000000004</v>
      </c>
      <c r="X101" s="349">
        <f t="shared" si="8"/>
        <v>1.6627104996398856E-2</v>
      </c>
      <c r="Y101" s="198">
        <v>2163.1201169999999</v>
      </c>
      <c r="Z101" s="349">
        <f t="shared" si="9"/>
        <v>1.0917162154086668E-2</v>
      </c>
      <c r="AA101" s="324"/>
      <c r="AB101" s="324"/>
      <c r="AC101" s="324"/>
      <c r="AD101" s="324"/>
      <c r="AE101" s="324"/>
      <c r="AF101" s="324"/>
    </row>
    <row r="102" spans="1:32">
      <c r="A102" s="324"/>
      <c r="B102" s="244"/>
      <c r="C102" s="294"/>
      <c r="D102" s="235"/>
      <c r="E102" s="294"/>
      <c r="F102" s="235"/>
      <c r="G102" s="324"/>
      <c r="H102" s="324"/>
      <c r="I102" s="324"/>
      <c r="J102" s="324"/>
      <c r="K102" s="324"/>
      <c r="L102" s="377">
        <v>42113</v>
      </c>
      <c r="M102" s="198">
        <v>73.930000000000007</v>
      </c>
      <c r="N102" s="349">
        <f t="shared" si="6"/>
        <v>-2.40264026402639E-2</v>
      </c>
      <c r="O102" s="198">
        <v>2081.179932</v>
      </c>
      <c r="P102" s="349">
        <f t="shared" si="7"/>
        <v>-9.9331733699050684E-3</v>
      </c>
      <c r="Q102" s="324"/>
      <c r="R102" s="324"/>
      <c r="S102" s="324"/>
      <c r="T102" s="324"/>
      <c r="U102" s="324"/>
      <c r="V102" s="377">
        <v>42633</v>
      </c>
      <c r="W102" s="198">
        <v>75.779999000000004</v>
      </c>
      <c r="X102" s="349">
        <f t="shared" si="8"/>
        <v>-2.1069659703195631E-3</v>
      </c>
      <c r="Y102" s="198">
        <v>2139.76001</v>
      </c>
      <c r="Z102" s="349">
        <f t="shared" si="9"/>
        <v>2.9913841439510591E-4</v>
      </c>
      <c r="AA102" s="324"/>
      <c r="AB102" s="324"/>
      <c r="AC102" s="324"/>
      <c r="AD102" s="324"/>
      <c r="AE102" s="324"/>
      <c r="AF102" s="324"/>
    </row>
    <row r="103" spans="1:32">
      <c r="A103" s="324"/>
      <c r="B103" s="244"/>
      <c r="C103" s="294"/>
      <c r="D103" s="235"/>
      <c r="E103" s="294"/>
      <c r="F103" s="235"/>
      <c r="G103" s="324"/>
      <c r="H103" s="324"/>
      <c r="I103" s="324"/>
      <c r="J103" s="324"/>
      <c r="K103" s="324"/>
      <c r="L103" s="377">
        <v>42106</v>
      </c>
      <c r="M103" s="198">
        <v>75.75</v>
      </c>
      <c r="N103" s="349">
        <f t="shared" si="6"/>
        <v>8.6551533596579411E-3</v>
      </c>
      <c r="O103" s="198">
        <v>2102.0600589999999</v>
      </c>
      <c r="P103" s="349">
        <f t="shared" si="7"/>
        <v>1.6981508428938419E-2</v>
      </c>
      <c r="Q103" s="324"/>
      <c r="R103" s="324"/>
      <c r="S103" s="324"/>
      <c r="T103" s="324"/>
      <c r="U103" s="324"/>
      <c r="V103" s="377">
        <v>42632</v>
      </c>
      <c r="W103" s="198">
        <v>75.940002000000007</v>
      </c>
      <c r="X103" s="349">
        <f t="shared" si="8"/>
        <v>2.8997275244013299E-2</v>
      </c>
      <c r="Y103" s="198">
        <v>2139.1201169999999</v>
      </c>
      <c r="Z103" s="349">
        <f t="shared" si="9"/>
        <v>-1.8603097307945404E-5</v>
      </c>
      <c r="AA103" s="324"/>
      <c r="AB103" s="324"/>
      <c r="AC103" s="324"/>
      <c r="AD103" s="324"/>
      <c r="AE103" s="324"/>
      <c r="AF103" s="324"/>
    </row>
    <row r="104" spans="1:32">
      <c r="A104" s="324"/>
      <c r="B104" s="244"/>
      <c r="C104" s="294"/>
      <c r="D104" s="235"/>
      <c r="E104" s="294"/>
      <c r="F104" s="235"/>
      <c r="G104" s="324"/>
      <c r="H104" s="324"/>
      <c r="I104" s="324"/>
      <c r="J104" s="324"/>
      <c r="K104" s="324"/>
      <c r="L104" s="377">
        <v>42099</v>
      </c>
      <c r="M104" s="198">
        <v>75.099997999999999</v>
      </c>
      <c r="N104" s="349">
        <f t="shared" si="6"/>
        <v>-1.8557227596336712E-2</v>
      </c>
      <c r="O104" s="198">
        <v>2066.959961</v>
      </c>
      <c r="P104" s="349">
        <f t="shared" si="7"/>
        <v>2.882039447632323E-3</v>
      </c>
      <c r="Q104" s="324"/>
      <c r="R104" s="324"/>
      <c r="S104" s="324"/>
      <c r="T104" s="324"/>
      <c r="U104" s="324"/>
      <c r="V104" s="377">
        <v>42629</v>
      </c>
      <c r="W104" s="198">
        <v>73.800003000000004</v>
      </c>
      <c r="X104" s="349">
        <f t="shared" si="8"/>
        <v>1.764693953161256E-3</v>
      </c>
      <c r="Y104" s="198">
        <v>2139.1599120000001</v>
      </c>
      <c r="Z104" s="349">
        <f t="shared" si="9"/>
        <v>-3.7722949071267164E-3</v>
      </c>
      <c r="AA104" s="324"/>
      <c r="AB104" s="324"/>
      <c r="AC104" s="324"/>
      <c r="AD104" s="324"/>
      <c r="AE104" s="324"/>
      <c r="AF104" s="324"/>
    </row>
    <row r="105" spans="1:32">
      <c r="A105" s="324"/>
      <c r="B105" s="244"/>
      <c r="C105" s="294"/>
      <c r="D105" s="235"/>
      <c r="E105" s="294"/>
      <c r="F105" s="235"/>
      <c r="G105" s="324"/>
      <c r="H105" s="324"/>
      <c r="I105" s="324"/>
      <c r="J105" s="324"/>
      <c r="K105" s="324"/>
      <c r="L105" s="377">
        <v>42092</v>
      </c>
      <c r="M105" s="198">
        <v>76.519997000000004</v>
      </c>
      <c r="N105" s="349">
        <f t="shared" si="6"/>
        <v>0.10100715107913683</v>
      </c>
      <c r="O105" s="198">
        <v>2061.0200199999999</v>
      </c>
      <c r="P105" s="349">
        <f t="shared" si="7"/>
        <v>-2.2332942370557163E-2</v>
      </c>
      <c r="Q105" s="324"/>
      <c r="R105" s="324"/>
      <c r="S105" s="324"/>
      <c r="T105" s="324"/>
      <c r="U105" s="324"/>
      <c r="V105" s="377">
        <v>42628</v>
      </c>
      <c r="W105" s="198">
        <v>73.669998000000007</v>
      </c>
      <c r="X105" s="349">
        <f t="shared" si="8"/>
        <v>-4.070420789838991E-4</v>
      </c>
      <c r="Y105" s="198">
        <v>2147.26001</v>
      </c>
      <c r="Z105" s="349">
        <f t="shared" si="9"/>
        <v>1.0109273250546558E-2</v>
      </c>
      <c r="AA105" s="324"/>
      <c r="AB105" s="324"/>
      <c r="AC105" s="324"/>
      <c r="AD105" s="324"/>
      <c r="AE105" s="324"/>
      <c r="AF105" s="324"/>
    </row>
    <row r="106" spans="1:32">
      <c r="A106" s="324"/>
      <c r="B106" s="244"/>
      <c r="C106" s="294"/>
      <c r="D106" s="235"/>
      <c r="E106" s="294"/>
      <c r="F106" s="235"/>
      <c r="G106" s="324"/>
      <c r="H106" s="324"/>
      <c r="I106" s="324"/>
      <c r="J106" s="324"/>
      <c r="K106" s="324"/>
      <c r="L106" s="377">
        <v>42085</v>
      </c>
      <c r="M106" s="198">
        <v>69.5</v>
      </c>
      <c r="N106" s="349">
        <f t="shared" si="6"/>
        <v>5.0642447448452144E-2</v>
      </c>
      <c r="O106" s="198">
        <v>2108.1000979999999</v>
      </c>
      <c r="P106" s="349">
        <f t="shared" si="7"/>
        <v>2.6638842218080327E-2</v>
      </c>
      <c r="Q106" s="324"/>
      <c r="R106" s="324"/>
      <c r="S106" s="324"/>
      <c r="T106" s="324"/>
      <c r="U106" s="324"/>
      <c r="V106" s="377">
        <v>42627</v>
      </c>
      <c r="W106" s="198">
        <v>73.699996999999996</v>
      </c>
      <c r="X106" s="349">
        <f t="shared" si="8"/>
        <v>1.7674662183779555E-2</v>
      </c>
      <c r="Y106" s="198">
        <v>2125.7700199999999</v>
      </c>
      <c r="Z106" s="349">
        <f t="shared" si="9"/>
        <v>-5.8767665007686265E-4</v>
      </c>
      <c r="AA106" s="324"/>
      <c r="AB106" s="324"/>
      <c r="AC106" s="324"/>
      <c r="AD106" s="324"/>
      <c r="AE106" s="324"/>
      <c r="AF106" s="324"/>
    </row>
    <row r="107" spans="1:32">
      <c r="A107" s="324"/>
      <c r="B107" s="244"/>
      <c r="C107" s="294"/>
      <c r="D107" s="235"/>
      <c r="E107" s="294"/>
      <c r="F107" s="235"/>
      <c r="G107" s="324"/>
      <c r="H107" s="324"/>
      <c r="I107" s="324"/>
      <c r="J107" s="324"/>
      <c r="K107" s="324"/>
      <c r="L107" s="377">
        <v>42078</v>
      </c>
      <c r="M107" s="198">
        <v>66.150002000000001</v>
      </c>
      <c r="N107" s="349">
        <f t="shared" si="6"/>
        <v>-6.4583957206849618E-3</v>
      </c>
      <c r="O107" s="198">
        <v>2053.3999020000001</v>
      </c>
      <c r="P107" s="349">
        <f t="shared" si="7"/>
        <v>-8.6228227811919744E-3</v>
      </c>
      <c r="Q107" s="324"/>
      <c r="R107" s="324"/>
      <c r="S107" s="324"/>
      <c r="T107" s="324"/>
      <c r="U107" s="324"/>
      <c r="V107" s="377">
        <v>42626</v>
      </c>
      <c r="W107" s="198">
        <v>72.419998000000007</v>
      </c>
      <c r="X107" s="349">
        <f t="shared" si="8"/>
        <v>-7.2652367621068858E-3</v>
      </c>
      <c r="Y107" s="198">
        <v>2127.0200199999999</v>
      </c>
      <c r="Z107" s="349">
        <f t="shared" si="9"/>
        <v>-1.4830674013266876E-2</v>
      </c>
      <c r="AA107" s="324"/>
      <c r="AB107" s="324"/>
      <c r="AC107" s="324"/>
      <c r="AD107" s="324"/>
      <c r="AE107" s="324"/>
      <c r="AF107" s="324"/>
    </row>
    <row r="108" spans="1:32">
      <c r="A108" s="324"/>
      <c r="B108" s="244"/>
      <c r="C108" s="294"/>
      <c r="D108" s="235"/>
      <c r="E108" s="294"/>
      <c r="F108" s="235"/>
      <c r="G108" s="324"/>
      <c r="H108" s="324"/>
      <c r="I108" s="324"/>
      <c r="J108" s="324"/>
      <c r="K108" s="324"/>
      <c r="L108" s="377">
        <v>42071</v>
      </c>
      <c r="M108" s="198">
        <v>66.580001999999993</v>
      </c>
      <c r="N108" s="349">
        <f t="shared" si="6"/>
        <v>-3.6747698057825628E-2</v>
      </c>
      <c r="O108" s="198">
        <v>2071.26001</v>
      </c>
      <c r="P108" s="349">
        <f t="shared" si="7"/>
        <v>-1.5794720836303178E-2</v>
      </c>
      <c r="Q108" s="324"/>
      <c r="R108" s="324"/>
      <c r="S108" s="324"/>
      <c r="T108" s="324"/>
      <c r="U108" s="324"/>
      <c r="V108" s="377">
        <v>42625</v>
      </c>
      <c r="W108" s="198">
        <v>72.949996999999996</v>
      </c>
      <c r="X108" s="349">
        <f t="shared" si="8"/>
        <v>9.8283363739848362E-3</v>
      </c>
      <c r="Y108" s="198">
        <v>2159.040039</v>
      </c>
      <c r="Z108" s="349">
        <f t="shared" si="9"/>
        <v>1.4677052525391865E-2</v>
      </c>
      <c r="AA108" s="324"/>
      <c r="AB108" s="324"/>
      <c r="AC108" s="324"/>
      <c r="AD108" s="324"/>
      <c r="AE108" s="324"/>
      <c r="AF108" s="324"/>
    </row>
    <row r="109" spans="1:32">
      <c r="A109" s="324"/>
      <c r="B109" s="244"/>
      <c r="C109" s="294"/>
      <c r="D109" s="235"/>
      <c r="E109" s="294"/>
      <c r="F109" s="235"/>
      <c r="G109" s="324"/>
      <c r="H109" s="324"/>
      <c r="I109" s="324"/>
      <c r="J109" s="324"/>
      <c r="K109" s="324"/>
      <c r="L109" s="377">
        <v>42064</v>
      </c>
      <c r="M109" s="198">
        <v>69.120002999999997</v>
      </c>
      <c r="N109" s="349">
        <f t="shared" si="6"/>
        <v>-1.9017825986628267E-2</v>
      </c>
      <c r="O109" s="198">
        <v>2104.5</v>
      </c>
      <c r="P109" s="349">
        <f t="shared" si="7"/>
        <v>-2.7484475502658201E-3</v>
      </c>
      <c r="Q109" s="324"/>
      <c r="R109" s="324"/>
      <c r="S109" s="324"/>
      <c r="T109" s="324"/>
      <c r="U109" s="324"/>
      <c r="V109" s="377">
        <v>42622</v>
      </c>
      <c r="W109" s="198">
        <v>72.239998</v>
      </c>
      <c r="X109" s="349">
        <f t="shared" si="8"/>
        <v>-4.9586778225531036E-3</v>
      </c>
      <c r="Y109" s="198">
        <v>2127.8100589999999</v>
      </c>
      <c r="Z109" s="349">
        <f t="shared" si="9"/>
        <v>-2.4522068857295465E-2</v>
      </c>
      <c r="AA109" s="324"/>
      <c r="AB109" s="324"/>
      <c r="AC109" s="324"/>
      <c r="AD109" s="324"/>
      <c r="AE109" s="324"/>
      <c r="AF109" s="324"/>
    </row>
    <row r="110" spans="1:32">
      <c r="A110" s="324"/>
      <c r="B110" s="244"/>
      <c r="C110" s="294"/>
      <c r="D110" s="235"/>
      <c r="E110" s="294"/>
      <c r="F110" s="235"/>
      <c r="G110" s="324"/>
      <c r="H110" s="324"/>
      <c r="I110" s="324"/>
      <c r="J110" s="324"/>
      <c r="K110" s="324"/>
      <c r="L110" s="377">
        <v>42057</v>
      </c>
      <c r="M110" s="198">
        <v>70.459998999999996</v>
      </c>
      <c r="N110" s="349">
        <f t="shared" si="6"/>
        <v>2.9063793938019611E-2</v>
      </c>
      <c r="O110" s="198">
        <v>2110.3000489999999</v>
      </c>
      <c r="P110" s="349">
        <f t="shared" si="7"/>
        <v>6.3472210470589818E-3</v>
      </c>
      <c r="Q110" s="324"/>
      <c r="R110" s="324"/>
      <c r="S110" s="324"/>
      <c r="T110" s="324"/>
      <c r="U110" s="324"/>
      <c r="V110" s="377">
        <v>42621</v>
      </c>
      <c r="W110" s="198">
        <v>72.599997999999999</v>
      </c>
      <c r="X110" s="349">
        <f t="shared" si="8"/>
        <v>-8.0612649798808E-3</v>
      </c>
      <c r="Y110" s="198">
        <v>2181.3000489999999</v>
      </c>
      <c r="Z110" s="349">
        <f t="shared" si="9"/>
        <v>-2.2230135011277463E-3</v>
      </c>
      <c r="AA110" s="324"/>
      <c r="AB110" s="324"/>
      <c r="AC110" s="324"/>
      <c r="AD110" s="324"/>
      <c r="AE110" s="324"/>
      <c r="AF110" s="324"/>
    </row>
    <row r="111" spans="1:32">
      <c r="A111" s="324"/>
      <c r="B111" s="244"/>
      <c r="C111" s="294"/>
      <c r="D111" s="235"/>
      <c r="E111" s="294"/>
      <c r="F111" s="235"/>
      <c r="G111" s="324"/>
      <c r="H111" s="324"/>
      <c r="I111" s="324"/>
      <c r="J111" s="324"/>
      <c r="K111" s="324"/>
      <c r="L111" s="377">
        <v>42050</v>
      </c>
      <c r="M111" s="198">
        <v>68.470000999999996</v>
      </c>
      <c r="N111" s="349">
        <f t="shared" si="6"/>
        <v>5.387101656347526E-2</v>
      </c>
      <c r="O111" s="198">
        <v>2096.98999</v>
      </c>
      <c r="P111" s="349">
        <f t="shared" si="7"/>
        <v>2.0199769194293005E-2</v>
      </c>
      <c r="Q111" s="324"/>
      <c r="R111" s="324"/>
      <c r="S111" s="324"/>
      <c r="T111" s="324"/>
      <c r="U111" s="324"/>
      <c r="V111" s="377">
        <v>42620</v>
      </c>
      <c r="W111" s="198">
        <v>73.190002000000007</v>
      </c>
      <c r="X111" s="349">
        <f t="shared" si="8"/>
        <v>-2.4533323243831617E-3</v>
      </c>
      <c r="Y111" s="198">
        <v>2186.1599120000001</v>
      </c>
      <c r="Z111" s="349">
        <f t="shared" si="9"/>
        <v>-1.4638505859998485E-4</v>
      </c>
      <c r="AA111" s="324"/>
      <c r="AB111" s="324"/>
      <c r="AC111" s="324"/>
      <c r="AD111" s="324"/>
      <c r="AE111" s="324"/>
      <c r="AF111" s="324"/>
    </row>
    <row r="112" spans="1:32">
      <c r="A112" s="324"/>
      <c r="B112" s="244"/>
      <c r="C112" s="294"/>
      <c r="D112" s="235"/>
      <c r="E112" s="294"/>
      <c r="F112" s="235"/>
      <c r="G112" s="324"/>
      <c r="H112" s="324"/>
      <c r="I112" s="324"/>
      <c r="J112" s="324"/>
      <c r="K112" s="324"/>
      <c r="L112" s="377">
        <v>42043</v>
      </c>
      <c r="M112" s="198">
        <v>64.970000999999996</v>
      </c>
      <c r="N112" s="349">
        <f t="shared" si="6"/>
        <v>1.8498196919608079E-2</v>
      </c>
      <c r="O112" s="198">
        <v>2055.469971</v>
      </c>
      <c r="P112" s="349">
        <f t="shared" si="7"/>
        <v>3.0315932061393491E-2</v>
      </c>
      <c r="Q112" s="324"/>
      <c r="R112" s="324"/>
      <c r="S112" s="324"/>
      <c r="T112" s="324"/>
      <c r="U112" s="324"/>
      <c r="V112" s="377">
        <v>42619</v>
      </c>
      <c r="W112" s="198">
        <v>73.370002999999997</v>
      </c>
      <c r="X112" s="349">
        <f t="shared" si="8"/>
        <v>-5.1525016949153235E-3</v>
      </c>
      <c r="Y112" s="198">
        <v>2186.4799800000001</v>
      </c>
      <c r="Z112" s="349">
        <f t="shared" si="9"/>
        <v>2.981678758352535E-3</v>
      </c>
      <c r="AA112" s="324"/>
      <c r="AB112" s="324"/>
      <c r="AC112" s="324"/>
      <c r="AD112" s="324"/>
      <c r="AE112" s="324"/>
      <c r="AF112" s="324"/>
    </row>
    <row r="113" spans="1:32">
      <c r="A113" s="324"/>
      <c r="B113" s="244"/>
      <c r="C113" s="294"/>
      <c r="D113" s="235"/>
      <c r="E113" s="294"/>
      <c r="F113" s="235"/>
      <c r="G113" s="324"/>
      <c r="H113" s="324"/>
      <c r="I113" s="324"/>
      <c r="J113" s="324"/>
      <c r="K113" s="324"/>
      <c r="L113" s="377">
        <v>42036</v>
      </c>
      <c r="M113" s="198">
        <v>63.790000999999997</v>
      </c>
      <c r="N113" s="349">
        <f t="shared" si="6"/>
        <v>-3.4362656202320707E-2</v>
      </c>
      <c r="O113" s="198">
        <v>1994.98999</v>
      </c>
      <c r="P113" s="349">
        <f t="shared" si="7"/>
        <v>-2.7697398464084033E-2</v>
      </c>
      <c r="Q113" s="324"/>
      <c r="R113" s="324"/>
      <c r="S113" s="324"/>
      <c r="T113" s="324"/>
      <c r="U113" s="324"/>
      <c r="V113" s="377">
        <v>42615</v>
      </c>
      <c r="W113" s="198">
        <v>73.75</v>
      </c>
      <c r="X113" s="349">
        <f t="shared" si="8"/>
        <v>1.1104990098574241E-2</v>
      </c>
      <c r="Y113" s="198">
        <v>2179.9799800000001</v>
      </c>
      <c r="Z113" s="349">
        <f t="shared" si="9"/>
        <v>4.2010413156485793E-3</v>
      </c>
      <c r="AA113" s="324"/>
      <c r="AB113" s="324"/>
      <c r="AC113" s="324"/>
      <c r="AD113" s="324"/>
      <c r="AE113" s="324"/>
      <c r="AF113" s="324"/>
    </row>
    <row r="114" spans="1:32">
      <c r="A114" s="324"/>
      <c r="B114" s="244"/>
      <c r="C114" s="294"/>
      <c r="D114" s="235"/>
      <c r="E114" s="294"/>
      <c r="F114" s="235"/>
      <c r="G114" s="324"/>
      <c r="H114" s="324"/>
      <c r="I114" s="324"/>
      <c r="J114" s="324"/>
      <c r="K114" s="324"/>
      <c r="L114" s="377">
        <v>42029</v>
      </c>
      <c r="M114" s="198">
        <v>66.059997999999993</v>
      </c>
      <c r="N114" s="349">
        <f t="shared" si="6"/>
        <v>1.3345543385625103E-2</v>
      </c>
      <c r="O114" s="198">
        <v>2051.820068</v>
      </c>
      <c r="P114" s="349">
        <f t="shared" si="7"/>
        <v>1.6044222248989382E-2</v>
      </c>
      <c r="Q114" s="324"/>
      <c r="R114" s="324"/>
      <c r="S114" s="324"/>
      <c r="T114" s="324"/>
      <c r="U114" s="324"/>
      <c r="V114" s="377">
        <v>42614</v>
      </c>
      <c r="W114" s="198">
        <v>72.940002000000007</v>
      </c>
      <c r="X114" s="349">
        <f t="shared" si="8"/>
        <v>-5.48109048447043E-4</v>
      </c>
      <c r="Y114" s="198">
        <v>2170.860107</v>
      </c>
      <c r="Z114" s="349">
        <f t="shared" si="9"/>
        <v>-4.1384648208353525E-5</v>
      </c>
      <c r="AA114" s="324"/>
      <c r="AB114" s="324"/>
      <c r="AC114" s="324"/>
      <c r="AD114" s="324"/>
      <c r="AE114" s="324"/>
      <c r="AF114" s="324"/>
    </row>
    <row r="115" spans="1:32">
      <c r="A115" s="324"/>
      <c r="B115" s="244"/>
      <c r="C115" s="294"/>
      <c r="D115" s="235"/>
      <c r="E115" s="294"/>
      <c r="F115" s="235"/>
      <c r="G115" s="324"/>
      <c r="H115" s="324"/>
      <c r="I115" s="324"/>
      <c r="J115" s="324"/>
      <c r="K115" s="324"/>
      <c r="L115" s="377">
        <v>42022</v>
      </c>
      <c r="M115" s="198">
        <v>65.190002000000007</v>
      </c>
      <c r="N115" s="349">
        <f t="shared" si="6"/>
        <v>-5.1643818785097939E-2</v>
      </c>
      <c r="O115" s="198">
        <v>2019.420044</v>
      </c>
      <c r="P115" s="349">
        <f t="shared" si="7"/>
        <v>-1.2416808538401214E-2</v>
      </c>
      <c r="Q115" s="324"/>
      <c r="R115" s="324"/>
      <c r="S115" s="324"/>
      <c r="T115" s="324"/>
      <c r="U115" s="324"/>
      <c r="V115" s="377">
        <v>42613</v>
      </c>
      <c r="W115" s="198">
        <v>72.980002999999996</v>
      </c>
      <c r="X115" s="349">
        <f t="shared" si="8"/>
        <v>5.4840963673119525E-4</v>
      </c>
      <c r="Y115" s="198">
        <v>2170.9499510000001</v>
      </c>
      <c r="Z115" s="349">
        <f t="shared" si="9"/>
        <v>-2.3758642547395681E-3</v>
      </c>
      <c r="AA115" s="324"/>
      <c r="AB115" s="324"/>
      <c r="AC115" s="324"/>
      <c r="AD115" s="324"/>
      <c r="AE115" s="324"/>
      <c r="AF115" s="324"/>
    </row>
    <row r="116" spans="1:32">
      <c r="A116" s="324"/>
      <c r="B116" s="244"/>
      <c r="C116" s="294"/>
      <c r="D116" s="235"/>
      <c r="E116" s="294"/>
      <c r="F116" s="235"/>
      <c r="G116" s="324"/>
      <c r="H116" s="324"/>
      <c r="I116" s="324"/>
      <c r="J116" s="324"/>
      <c r="K116" s="324"/>
      <c r="L116" s="377">
        <v>42015</v>
      </c>
      <c r="M116" s="198">
        <v>68.739998</v>
      </c>
      <c r="N116" s="349">
        <f t="shared" si="6"/>
        <v>-3.6237136867288688E-3</v>
      </c>
      <c r="O116" s="198">
        <v>2044.8100589999999</v>
      </c>
      <c r="P116" s="349">
        <f t="shared" si="7"/>
        <v>-6.5056322606045214E-3</v>
      </c>
      <c r="Q116" s="324"/>
      <c r="R116" s="324"/>
      <c r="S116" s="324"/>
      <c r="T116" s="324"/>
      <c r="U116" s="324"/>
      <c r="V116" s="377">
        <v>42612</v>
      </c>
      <c r="W116" s="198">
        <v>72.940002000000007</v>
      </c>
      <c r="X116" s="349">
        <f t="shared" si="8"/>
        <v>-9.9089998617890584E-3</v>
      </c>
      <c r="Y116" s="198">
        <v>2176.1201169999999</v>
      </c>
      <c r="Z116" s="349">
        <f t="shared" si="9"/>
        <v>-1.9536806559319331E-3</v>
      </c>
      <c r="AA116" s="324"/>
      <c r="AB116" s="324"/>
      <c r="AC116" s="324"/>
      <c r="AD116" s="324"/>
      <c r="AE116" s="324"/>
      <c r="AF116" s="324"/>
    </row>
    <row r="117" spans="1:32">
      <c r="A117" s="324"/>
      <c r="B117" s="244"/>
      <c r="C117" s="294"/>
      <c r="D117" s="235"/>
      <c r="E117" s="294"/>
      <c r="F117" s="235"/>
      <c r="G117" s="324"/>
      <c r="H117" s="324"/>
      <c r="I117" s="324"/>
      <c r="J117" s="324"/>
      <c r="K117" s="324"/>
      <c r="L117" s="377">
        <v>42008</v>
      </c>
      <c r="M117" s="198">
        <v>68.989998</v>
      </c>
      <c r="N117" s="349">
        <f t="shared" si="6"/>
        <v>-2.9539993222112426E-2</v>
      </c>
      <c r="O117" s="198">
        <v>2058.1999510000001</v>
      </c>
      <c r="P117" s="349">
        <f t="shared" si="7"/>
        <v>-1.4635440334403005E-2</v>
      </c>
      <c r="Q117" s="324"/>
      <c r="R117" s="324"/>
      <c r="S117" s="324"/>
      <c r="T117" s="324"/>
      <c r="U117" s="324"/>
      <c r="V117" s="377">
        <v>42611</v>
      </c>
      <c r="W117" s="198">
        <v>73.669998000000007</v>
      </c>
      <c r="X117" s="349">
        <f t="shared" si="8"/>
        <v>-9.4124643238213679E-3</v>
      </c>
      <c r="Y117" s="198">
        <v>2180.3798830000001</v>
      </c>
      <c r="Z117" s="349">
        <f t="shared" si="9"/>
        <v>5.22804733711979E-3</v>
      </c>
      <c r="AA117" s="324"/>
      <c r="AB117" s="324"/>
      <c r="AC117" s="324"/>
      <c r="AD117" s="324"/>
      <c r="AE117" s="324"/>
      <c r="AF117" s="324"/>
    </row>
    <row r="118" spans="1:32">
      <c r="A118" s="324"/>
      <c r="B118" s="244"/>
      <c r="C118" s="294"/>
      <c r="D118" s="235"/>
      <c r="E118" s="294"/>
      <c r="F118" s="235"/>
      <c r="G118" s="324"/>
      <c r="H118" s="324"/>
      <c r="I118" s="324"/>
      <c r="J118" s="324"/>
      <c r="K118" s="324"/>
      <c r="L118" s="377">
        <v>42001</v>
      </c>
      <c r="M118" s="198">
        <v>71.089995999999999</v>
      </c>
      <c r="N118" s="349">
        <f t="shared" si="6"/>
        <v>4.4826498459340058E-2</v>
      </c>
      <c r="O118" s="198">
        <v>2088.7700199999999</v>
      </c>
      <c r="P118" s="349">
        <f t="shared" si="7"/>
        <v>8.7509327301047435E-3</v>
      </c>
      <c r="Q118" s="324"/>
      <c r="R118" s="324"/>
      <c r="S118" s="324"/>
      <c r="T118" s="324"/>
      <c r="U118" s="324"/>
      <c r="V118" s="377">
        <v>42608</v>
      </c>
      <c r="W118" s="198">
        <v>74.370002999999997</v>
      </c>
      <c r="X118" s="349">
        <f t="shared" si="8"/>
        <v>-6.8108175805616789E-3</v>
      </c>
      <c r="Y118" s="198">
        <v>2169.040039</v>
      </c>
      <c r="Z118" s="349">
        <f t="shared" si="9"/>
        <v>-1.5788167596264557E-3</v>
      </c>
      <c r="AA118" s="324"/>
      <c r="AB118" s="324"/>
      <c r="AC118" s="324"/>
      <c r="AD118" s="324"/>
      <c r="AE118" s="324"/>
      <c r="AF118" s="324"/>
    </row>
    <row r="119" spans="1:32">
      <c r="A119" s="324"/>
      <c r="B119" s="244"/>
      <c r="C119" s="294"/>
      <c r="D119" s="235"/>
      <c r="E119" s="294"/>
      <c r="F119" s="235"/>
      <c r="G119" s="324"/>
      <c r="H119" s="324"/>
      <c r="I119" s="324"/>
      <c r="J119" s="324"/>
      <c r="K119" s="324"/>
      <c r="L119" s="377">
        <v>41994</v>
      </c>
      <c r="M119" s="198">
        <v>68.040001000000004</v>
      </c>
      <c r="N119" s="349">
        <f t="shared" si="6"/>
        <v>0.17573876232484476</v>
      </c>
      <c r="O119" s="198">
        <v>2070.6499020000001</v>
      </c>
      <c r="P119" s="349">
        <f t="shared" si="7"/>
        <v>3.412022369004597E-2</v>
      </c>
      <c r="Q119" s="324"/>
      <c r="R119" s="324"/>
      <c r="S119" s="324"/>
      <c r="T119" s="324"/>
      <c r="U119" s="324"/>
      <c r="V119" s="377">
        <v>42607</v>
      </c>
      <c r="W119" s="198">
        <v>74.879997000000003</v>
      </c>
      <c r="X119" s="349">
        <f t="shared" si="8"/>
        <v>2.1412740612785086E-3</v>
      </c>
      <c r="Y119" s="198">
        <v>2172.469971</v>
      </c>
      <c r="Z119" s="349">
        <f t="shared" si="9"/>
        <v>-1.3652273013957661E-3</v>
      </c>
      <c r="AA119" s="324"/>
      <c r="AB119" s="324"/>
      <c r="AC119" s="324"/>
      <c r="AD119" s="324"/>
      <c r="AE119" s="324"/>
      <c r="AF119" s="324"/>
    </row>
    <row r="120" spans="1:32">
      <c r="A120" s="324"/>
      <c r="B120" s="244"/>
      <c r="C120" s="294"/>
      <c r="D120" s="235"/>
      <c r="E120" s="294"/>
      <c r="F120" s="235"/>
      <c r="G120" s="324"/>
      <c r="H120" s="324"/>
      <c r="I120" s="324"/>
      <c r="J120" s="324"/>
      <c r="K120" s="324"/>
      <c r="L120" s="377">
        <v>41987</v>
      </c>
      <c r="M120" s="198">
        <v>57.869999</v>
      </c>
      <c r="N120" s="349">
        <f t="shared" si="6"/>
        <v>-6.1770444228274934E-2</v>
      </c>
      <c r="O120" s="198">
        <v>2002.329956</v>
      </c>
      <c r="P120" s="349">
        <f t="shared" si="7"/>
        <v>-3.5193800084960869E-2</v>
      </c>
      <c r="Q120" s="324"/>
      <c r="R120" s="324"/>
      <c r="S120" s="324"/>
      <c r="T120" s="324"/>
      <c r="U120" s="324"/>
      <c r="V120" s="377">
        <v>42606</v>
      </c>
      <c r="W120" s="198">
        <v>74.720000999999996</v>
      </c>
      <c r="X120" s="349">
        <f t="shared" si="8"/>
        <v>-2.2699693186002401E-3</v>
      </c>
      <c r="Y120" s="198">
        <v>2175.4399410000001</v>
      </c>
      <c r="Z120" s="349">
        <f t="shared" si="9"/>
        <v>-5.2402768821377954E-3</v>
      </c>
      <c r="AA120" s="324"/>
      <c r="AB120" s="324"/>
      <c r="AC120" s="324"/>
      <c r="AD120" s="324"/>
      <c r="AE120" s="324"/>
      <c r="AF120" s="324"/>
    </row>
    <row r="121" spans="1:32">
      <c r="A121" s="324"/>
      <c r="B121" s="244"/>
      <c r="C121" s="294"/>
      <c r="D121" s="235"/>
      <c r="E121" s="294"/>
      <c r="F121" s="235"/>
      <c r="G121" s="324"/>
      <c r="H121" s="324"/>
      <c r="I121" s="324"/>
      <c r="J121" s="324"/>
      <c r="K121" s="324"/>
      <c r="L121" s="377">
        <v>41980</v>
      </c>
      <c r="M121" s="198">
        <v>61.68</v>
      </c>
      <c r="N121" s="349">
        <f t="shared" si="6"/>
        <v>-7.5623810921197077E-3</v>
      </c>
      <c r="O121" s="198">
        <v>2075.3701169999999</v>
      </c>
      <c r="P121" s="349">
        <f t="shared" si="7"/>
        <v>3.7774273912882794E-3</v>
      </c>
      <c r="Q121" s="324"/>
      <c r="R121" s="324"/>
      <c r="S121" s="324"/>
      <c r="T121" s="324"/>
      <c r="U121" s="324"/>
      <c r="V121" s="377">
        <v>42605</v>
      </c>
      <c r="W121" s="198">
        <v>74.889999000000003</v>
      </c>
      <c r="X121" s="349">
        <f t="shared" si="8"/>
        <v>1.1070595382746129E-2</v>
      </c>
      <c r="Y121" s="198">
        <v>2186.8999020000001</v>
      </c>
      <c r="Z121" s="349">
        <f t="shared" si="9"/>
        <v>1.9517690543742194E-3</v>
      </c>
      <c r="AA121" s="324"/>
      <c r="AB121" s="324"/>
      <c r="AC121" s="324"/>
      <c r="AD121" s="324"/>
      <c r="AE121" s="324"/>
      <c r="AF121" s="324"/>
    </row>
    <row r="122" spans="1:32">
      <c r="A122" s="324"/>
      <c r="B122" s="244"/>
      <c r="C122" s="294"/>
      <c r="D122" s="235"/>
      <c r="E122" s="294"/>
      <c r="F122" s="235"/>
      <c r="G122" s="324"/>
      <c r="H122" s="324"/>
      <c r="I122" s="324"/>
      <c r="J122" s="324"/>
      <c r="K122" s="324"/>
      <c r="L122" s="377">
        <v>41973</v>
      </c>
      <c r="M122" s="198">
        <v>62.150002000000001</v>
      </c>
      <c r="N122" s="349">
        <f t="shared" si="6"/>
        <v>-1.6063935742971491E-3</v>
      </c>
      <c r="O122" s="198">
        <v>2067.5600589999999</v>
      </c>
      <c r="P122" s="349">
        <f t="shared" si="7"/>
        <v>1.9675594863095558E-3</v>
      </c>
      <c r="Q122" s="324"/>
      <c r="R122" s="324"/>
      <c r="S122" s="324"/>
      <c r="T122" s="324"/>
      <c r="U122" s="324"/>
      <c r="V122" s="377">
        <v>42604</v>
      </c>
      <c r="W122" s="198">
        <v>74.069999999999993</v>
      </c>
      <c r="X122" s="349">
        <f t="shared" si="8"/>
        <v>-2.1555030787214768E-3</v>
      </c>
      <c r="Y122" s="198">
        <v>2182.639893</v>
      </c>
      <c r="Z122" s="349">
        <f t="shared" si="9"/>
        <v>-5.6332287823501748E-4</v>
      </c>
      <c r="AA122" s="324"/>
      <c r="AB122" s="324"/>
      <c r="AC122" s="324"/>
      <c r="AD122" s="324"/>
      <c r="AE122" s="324"/>
      <c r="AF122" s="324"/>
    </row>
    <row r="123" spans="1:32">
      <c r="A123" s="324"/>
      <c r="B123" s="244"/>
      <c r="C123" s="294"/>
      <c r="D123" s="235"/>
      <c r="E123" s="294"/>
      <c r="F123" s="235"/>
      <c r="G123" s="324"/>
      <c r="H123" s="324"/>
      <c r="I123" s="324"/>
      <c r="J123" s="324"/>
      <c r="K123" s="324"/>
      <c r="L123" s="377">
        <v>41966</v>
      </c>
      <c r="M123" s="198">
        <v>62.25</v>
      </c>
      <c r="N123" s="349">
        <f t="shared" si="6"/>
        <v>-1.7639672584354171E-3</v>
      </c>
      <c r="O123" s="198">
        <v>2063.5</v>
      </c>
      <c r="P123" s="349">
        <f t="shared" si="7"/>
        <v>1.1608894229333977E-2</v>
      </c>
      <c r="Q123" s="324"/>
      <c r="R123" s="324"/>
      <c r="S123" s="324"/>
      <c r="T123" s="324"/>
      <c r="U123" s="324"/>
      <c r="V123" s="377">
        <v>42601</v>
      </c>
      <c r="W123" s="198">
        <v>74.230002999999996</v>
      </c>
      <c r="X123" s="349">
        <f t="shared" si="8"/>
        <v>7.0547280837705006E-3</v>
      </c>
      <c r="Y123" s="198">
        <v>2183.8701169999999</v>
      </c>
      <c r="Z123" s="349">
        <f t="shared" si="9"/>
        <v>-1.4402716807320193E-3</v>
      </c>
      <c r="AA123" s="324"/>
      <c r="AB123" s="324"/>
      <c r="AC123" s="324"/>
      <c r="AD123" s="324"/>
      <c r="AE123" s="324"/>
      <c r="AF123" s="324"/>
    </row>
    <row r="124" spans="1:32">
      <c r="A124" s="324"/>
      <c r="B124" s="244"/>
      <c r="C124" s="294"/>
      <c r="D124" s="235"/>
      <c r="E124" s="294"/>
      <c r="F124" s="235"/>
      <c r="G124" s="324"/>
      <c r="H124" s="324"/>
      <c r="I124" s="324"/>
      <c r="J124" s="324"/>
      <c r="K124" s="324"/>
      <c r="L124" s="377">
        <v>41959</v>
      </c>
      <c r="M124" s="198">
        <v>62.360000999999997</v>
      </c>
      <c r="N124" s="349">
        <f t="shared" si="6"/>
        <v>1.7292039433801643E-2</v>
      </c>
      <c r="O124" s="198">
        <v>2039.8199460000001</v>
      </c>
      <c r="P124" s="349">
        <f t="shared" si="7"/>
        <v>3.8879000299876232E-3</v>
      </c>
      <c r="Q124" s="324"/>
      <c r="R124" s="324"/>
      <c r="S124" s="324"/>
      <c r="T124" s="324"/>
      <c r="U124" s="324"/>
      <c r="V124" s="377">
        <v>42600</v>
      </c>
      <c r="W124" s="198">
        <v>73.709998999999996</v>
      </c>
      <c r="X124" s="349">
        <f t="shared" si="8"/>
        <v>7.380087669265567E-3</v>
      </c>
      <c r="Y124" s="198">
        <v>2187.0200199999999</v>
      </c>
      <c r="Z124" s="349">
        <f t="shared" si="9"/>
        <v>2.1996173913669814E-3</v>
      </c>
      <c r="AA124" s="324"/>
      <c r="AB124" s="324"/>
      <c r="AC124" s="324"/>
      <c r="AD124" s="324"/>
      <c r="AE124" s="324"/>
      <c r="AF124" s="324"/>
    </row>
    <row r="125" spans="1:32">
      <c r="A125" s="324"/>
      <c r="B125" s="244"/>
      <c r="C125" s="294"/>
      <c r="D125" s="235"/>
      <c r="E125" s="294"/>
      <c r="F125" s="235"/>
      <c r="G125" s="324"/>
      <c r="H125" s="324"/>
      <c r="I125" s="324"/>
      <c r="J125" s="324"/>
      <c r="K125" s="324"/>
      <c r="L125" s="377">
        <v>41952</v>
      </c>
      <c r="M125" s="198">
        <v>61.299999</v>
      </c>
      <c r="N125" s="349">
        <f t="shared" si="6"/>
        <v>4.0393772586346577E-2</v>
      </c>
      <c r="O125" s="198">
        <v>2031.920044</v>
      </c>
      <c r="P125" s="349">
        <f t="shared" si="7"/>
        <v>6.8729687882977952E-3</v>
      </c>
      <c r="Q125" s="324"/>
      <c r="R125" s="324"/>
      <c r="S125" s="324"/>
      <c r="T125" s="324"/>
      <c r="U125" s="324"/>
      <c r="V125" s="377">
        <v>42599</v>
      </c>
      <c r="W125" s="198">
        <v>73.169998000000007</v>
      </c>
      <c r="X125" s="349">
        <f t="shared" si="8"/>
        <v>-5.7072703197319496E-3</v>
      </c>
      <c r="Y125" s="198">
        <v>2182.219971</v>
      </c>
      <c r="Z125" s="349">
        <f t="shared" si="9"/>
        <v>1.8685899424382146E-3</v>
      </c>
      <c r="AA125" s="324"/>
      <c r="AB125" s="324"/>
      <c r="AC125" s="324"/>
      <c r="AD125" s="324"/>
      <c r="AE125" s="324"/>
      <c r="AF125" s="324"/>
    </row>
    <row r="126" spans="1:32">
      <c r="A126" s="324"/>
      <c r="B126" s="244"/>
      <c r="C126" s="294"/>
      <c r="D126" s="235"/>
      <c r="E126" s="294"/>
      <c r="F126" s="235"/>
      <c r="G126" s="324"/>
      <c r="H126" s="324"/>
      <c r="I126" s="324"/>
      <c r="J126" s="324"/>
      <c r="K126" s="324"/>
      <c r="L126" s="377">
        <v>41945</v>
      </c>
      <c r="M126" s="198">
        <v>58.919998</v>
      </c>
      <c r="N126" s="349">
        <f t="shared" si="6"/>
        <v>5.1767190289182308E-2</v>
      </c>
      <c r="O126" s="198">
        <v>2018.0500489999999</v>
      </c>
      <c r="P126" s="349">
        <f t="shared" si="7"/>
        <v>2.7217061253576036E-2</v>
      </c>
      <c r="Q126" s="324"/>
      <c r="R126" s="324"/>
      <c r="S126" s="324"/>
      <c r="T126" s="324"/>
      <c r="U126" s="324"/>
      <c r="V126" s="377">
        <v>42598</v>
      </c>
      <c r="W126" s="198">
        <v>73.589995999999999</v>
      </c>
      <c r="X126" s="349">
        <f t="shared" si="8"/>
        <v>-5.1372853165163601E-3</v>
      </c>
      <c r="Y126" s="198">
        <v>2178.1499020000001</v>
      </c>
      <c r="Z126" s="349">
        <f t="shared" si="9"/>
        <v>-5.4790770207289174E-3</v>
      </c>
      <c r="AA126" s="324"/>
      <c r="AB126" s="324"/>
      <c r="AC126" s="324"/>
      <c r="AD126" s="324"/>
      <c r="AE126" s="324"/>
      <c r="AF126" s="324"/>
    </row>
    <row r="127" spans="1:32">
      <c r="A127" s="324"/>
      <c r="B127" s="244"/>
      <c r="C127" s="294"/>
      <c r="D127" s="235"/>
      <c r="E127" s="294"/>
      <c r="F127" s="235"/>
      <c r="G127" s="324"/>
      <c r="H127" s="324"/>
      <c r="I127" s="324"/>
      <c r="J127" s="324"/>
      <c r="K127" s="324"/>
      <c r="L127" s="377">
        <v>41938</v>
      </c>
      <c r="M127" s="198">
        <v>56.02</v>
      </c>
      <c r="N127" s="349">
        <f t="shared" si="6"/>
        <v>5.9256779659846437E-3</v>
      </c>
      <c r="O127" s="198">
        <v>1964.579956</v>
      </c>
      <c r="P127" s="349">
        <f t="shared" si="7"/>
        <v>4.124528058022614E-2</v>
      </c>
      <c r="Q127" s="324"/>
      <c r="R127" s="324"/>
      <c r="S127" s="324"/>
      <c r="T127" s="324"/>
      <c r="U127" s="324"/>
      <c r="V127" s="377">
        <v>42597</v>
      </c>
      <c r="W127" s="198">
        <v>73.970000999999996</v>
      </c>
      <c r="X127" s="349">
        <f t="shared" si="8"/>
        <v>-4.0539189189192637E-4</v>
      </c>
      <c r="Y127" s="198">
        <v>2190.1499020000001</v>
      </c>
      <c r="Z127" s="349">
        <f t="shared" si="9"/>
        <v>2.7929089824627606E-3</v>
      </c>
      <c r="AA127" s="324"/>
      <c r="AB127" s="324"/>
      <c r="AC127" s="324"/>
      <c r="AD127" s="324"/>
      <c r="AE127" s="324"/>
      <c r="AF127" s="324"/>
    </row>
    <row r="128" spans="1:32">
      <c r="A128" s="324"/>
      <c r="B128" s="244"/>
      <c r="C128" s="294"/>
      <c r="D128" s="235"/>
      <c r="E128" s="294"/>
      <c r="F128" s="235"/>
      <c r="G128" s="324"/>
      <c r="H128" s="324"/>
      <c r="I128" s="324"/>
      <c r="J128" s="324"/>
      <c r="K128" s="324"/>
      <c r="L128" s="377">
        <v>41931</v>
      </c>
      <c r="M128" s="198">
        <v>55.689999</v>
      </c>
      <c r="N128" s="349">
        <f t="shared" si="6"/>
        <v>3.4234054054054219E-3</v>
      </c>
      <c r="O128" s="198">
        <v>1886.76001</v>
      </c>
      <c r="P128" s="349">
        <f t="shared" si="7"/>
        <v>-1.016194852879404E-2</v>
      </c>
      <c r="Q128" s="324"/>
      <c r="R128" s="324"/>
      <c r="S128" s="324"/>
      <c r="T128" s="324"/>
      <c r="U128" s="324"/>
      <c r="V128" s="377">
        <v>42594</v>
      </c>
      <c r="W128" s="198">
        <v>74</v>
      </c>
      <c r="X128" s="349">
        <f t="shared" si="8"/>
        <v>-5.6436174588450072E-3</v>
      </c>
      <c r="Y128" s="198">
        <v>2184.0500489999999</v>
      </c>
      <c r="Z128" s="349">
        <f t="shared" si="9"/>
        <v>-7.9604626654627975E-4</v>
      </c>
      <c r="AA128" s="324"/>
      <c r="AB128" s="324"/>
      <c r="AC128" s="324"/>
      <c r="AD128" s="324"/>
      <c r="AE128" s="324"/>
      <c r="AF128" s="324"/>
    </row>
    <row r="129" spans="1:32">
      <c r="A129" s="324"/>
      <c r="B129" s="244"/>
      <c r="C129" s="294"/>
      <c r="D129" s="235"/>
      <c r="E129" s="294"/>
      <c r="F129" s="235"/>
      <c r="G129" s="324"/>
      <c r="H129" s="324"/>
      <c r="I129" s="324"/>
      <c r="J129" s="324"/>
      <c r="K129" s="324"/>
      <c r="L129" s="377">
        <v>41924</v>
      </c>
      <c r="M129" s="198">
        <v>55.5</v>
      </c>
      <c r="N129" s="349">
        <f t="shared" si="6"/>
        <v>-4.5407620320048525E-2</v>
      </c>
      <c r="O129" s="198">
        <v>1906.130005</v>
      </c>
      <c r="P129" s="349">
        <f t="shared" si="7"/>
        <v>-3.1388799352949248E-2</v>
      </c>
      <c r="Q129" s="324"/>
      <c r="R129" s="324"/>
      <c r="S129" s="324"/>
      <c r="T129" s="324"/>
      <c r="U129" s="324"/>
      <c r="V129" s="377">
        <v>42593</v>
      </c>
      <c r="W129" s="198">
        <v>74.419998000000007</v>
      </c>
      <c r="X129" s="349">
        <f t="shared" si="8"/>
        <v>9.4149296412893158E-4</v>
      </c>
      <c r="Y129" s="198">
        <v>2185.790039</v>
      </c>
      <c r="Z129" s="349">
        <f t="shared" si="9"/>
        <v>4.7345880915774519E-3</v>
      </c>
      <c r="AA129" s="324"/>
      <c r="AB129" s="324"/>
      <c r="AC129" s="324"/>
      <c r="AD129" s="324"/>
      <c r="AE129" s="324"/>
      <c r="AF129" s="324"/>
    </row>
    <row r="130" spans="1:32">
      <c r="A130" s="324"/>
      <c r="B130" s="244"/>
      <c r="C130" s="294"/>
      <c r="D130" s="235"/>
      <c r="E130" s="294"/>
      <c r="F130" s="235"/>
      <c r="G130" s="324"/>
      <c r="H130" s="324"/>
      <c r="I130" s="324"/>
      <c r="J130" s="324"/>
      <c r="K130" s="324"/>
      <c r="L130" s="377">
        <v>41917</v>
      </c>
      <c r="M130" s="198">
        <v>58.139999000000003</v>
      </c>
      <c r="N130" s="349">
        <f t="shared" si="6"/>
        <v>4.8701299579749335E-2</v>
      </c>
      <c r="O130" s="198">
        <v>1967.900024</v>
      </c>
      <c r="P130" s="349">
        <f t="shared" si="7"/>
        <v>-7.5396284040400996E-3</v>
      </c>
      <c r="Q130" s="324"/>
      <c r="R130" s="324"/>
      <c r="S130" s="324"/>
      <c r="T130" s="324"/>
      <c r="U130" s="324"/>
      <c r="V130" s="377">
        <v>42592</v>
      </c>
      <c r="W130" s="198">
        <v>74.349997999999999</v>
      </c>
      <c r="X130" s="349">
        <f t="shared" si="8"/>
        <v>-1.0908607447349006E-2</v>
      </c>
      <c r="Y130" s="198">
        <v>2175.48999</v>
      </c>
      <c r="Z130" s="349">
        <f t="shared" si="9"/>
        <v>-2.8646859977113914E-3</v>
      </c>
      <c r="AA130" s="324"/>
      <c r="AB130" s="324"/>
      <c r="AC130" s="324"/>
      <c r="AD130" s="324"/>
      <c r="AE130" s="324"/>
      <c r="AF130" s="324"/>
    </row>
    <row r="131" spans="1:32">
      <c r="A131" s="324"/>
      <c r="B131" s="244"/>
      <c r="C131" s="294"/>
      <c r="D131" s="235"/>
      <c r="E131" s="294"/>
      <c r="F131" s="235"/>
      <c r="G131" s="324"/>
      <c r="H131" s="324"/>
      <c r="I131" s="324"/>
      <c r="J131" s="324"/>
      <c r="K131" s="324"/>
      <c r="L131" s="377">
        <v>41910</v>
      </c>
      <c r="M131" s="198">
        <v>55.439999</v>
      </c>
      <c r="N131" s="349">
        <f t="shared" si="6"/>
        <v>-4.2982927671327498E-2</v>
      </c>
      <c r="O131" s="198">
        <v>1982.849976</v>
      </c>
      <c r="P131" s="349">
        <f t="shared" si="7"/>
        <v>-1.3703764261395635E-2</v>
      </c>
      <c r="Q131" s="324"/>
      <c r="R131" s="324"/>
      <c r="S131" s="324"/>
      <c r="T131" s="324"/>
      <c r="U131" s="324"/>
      <c r="V131" s="377">
        <v>42591</v>
      </c>
      <c r="W131" s="198">
        <v>75.169998000000007</v>
      </c>
      <c r="X131" s="349">
        <f t="shared" si="8"/>
        <v>-1.063149501661087E-3</v>
      </c>
      <c r="Y131" s="198">
        <v>2181.73999</v>
      </c>
      <c r="Z131" s="349">
        <f t="shared" si="9"/>
        <v>3.89793635491964E-4</v>
      </c>
      <c r="AA131" s="324"/>
      <c r="AB131" s="324"/>
      <c r="AC131" s="324"/>
      <c r="AD131" s="324"/>
      <c r="AE131" s="324"/>
      <c r="AF131" s="324"/>
    </row>
    <row r="132" spans="1:32">
      <c r="A132" s="324"/>
      <c r="B132" s="244"/>
      <c r="C132" s="294"/>
      <c r="D132" s="235"/>
      <c r="E132" s="294"/>
      <c r="F132" s="235"/>
      <c r="G132" s="324"/>
      <c r="H132" s="324"/>
      <c r="I132" s="324"/>
      <c r="J132" s="324"/>
      <c r="K132" s="324"/>
      <c r="L132" s="377">
        <v>41903</v>
      </c>
      <c r="M132" s="198">
        <v>57.93</v>
      </c>
      <c r="N132" s="349">
        <f t="shared" si="6"/>
        <v>-4.2953891342373818E-2</v>
      </c>
      <c r="O132" s="198">
        <v>2010.400024</v>
      </c>
      <c r="P132" s="349">
        <f t="shared" si="7"/>
        <v>1.2520515583518854E-2</v>
      </c>
      <c r="Q132" s="324"/>
      <c r="R132" s="324"/>
      <c r="S132" s="324"/>
      <c r="T132" s="324"/>
      <c r="U132" s="324"/>
      <c r="V132" s="377">
        <v>42590</v>
      </c>
      <c r="W132" s="198">
        <v>75.25</v>
      </c>
      <c r="X132" s="349">
        <f t="shared" si="8"/>
        <v>-7.6487140274635879E-3</v>
      </c>
      <c r="Y132" s="198">
        <v>2180.889893</v>
      </c>
      <c r="Z132" s="349">
        <f t="shared" si="9"/>
        <v>-9.0716528875356417E-4</v>
      </c>
      <c r="AA132" s="324"/>
      <c r="AB132" s="324"/>
      <c r="AC132" s="324"/>
      <c r="AD132" s="324"/>
      <c r="AE132" s="324"/>
      <c r="AF132" s="324"/>
    </row>
    <row r="133" spans="1:32">
      <c r="A133" s="324"/>
      <c r="B133" s="244"/>
      <c r="C133" s="294"/>
      <c r="D133" s="235"/>
      <c r="E133" s="294"/>
      <c r="F133" s="235"/>
      <c r="G133" s="324"/>
      <c r="H133" s="324"/>
      <c r="I133" s="324"/>
      <c r="J133" s="324"/>
      <c r="K133" s="324"/>
      <c r="L133" s="377">
        <v>41896</v>
      </c>
      <c r="M133" s="198">
        <v>60.529998999999997</v>
      </c>
      <c r="N133" s="349">
        <f t="shared" si="6"/>
        <v>-8.8423284755199116E-3</v>
      </c>
      <c r="O133" s="198">
        <v>1985.540039</v>
      </c>
      <c r="P133" s="349">
        <f t="shared" si="7"/>
        <v>-1.1042392791116962E-2</v>
      </c>
      <c r="Q133" s="324"/>
      <c r="R133" s="324"/>
      <c r="S133" s="324"/>
      <c r="T133" s="324"/>
      <c r="U133" s="324"/>
      <c r="V133" s="377">
        <v>42587</v>
      </c>
      <c r="W133" s="198">
        <v>75.830001999999993</v>
      </c>
      <c r="X133" s="349">
        <f t="shared" si="8"/>
        <v>1.6487989718176665E-2</v>
      </c>
      <c r="Y133" s="198">
        <v>2182.8701169999999</v>
      </c>
      <c r="Z133" s="349">
        <f t="shared" si="9"/>
        <v>8.6034963613259574E-3</v>
      </c>
      <c r="AA133" s="324"/>
      <c r="AB133" s="324"/>
      <c r="AC133" s="324"/>
      <c r="AD133" s="324"/>
      <c r="AE133" s="324"/>
      <c r="AF133" s="324"/>
    </row>
    <row r="134" spans="1:32">
      <c r="A134" s="324"/>
      <c r="B134" s="244"/>
      <c r="C134" s="294"/>
      <c r="D134" s="235"/>
      <c r="E134" s="294"/>
      <c r="F134" s="235"/>
      <c r="G134" s="324"/>
      <c r="H134" s="324"/>
      <c r="I134" s="324"/>
      <c r="J134" s="324"/>
      <c r="K134" s="324"/>
      <c r="L134" s="377">
        <v>41889</v>
      </c>
      <c r="M134" s="198">
        <v>61.07</v>
      </c>
      <c r="N134" s="349">
        <f t="shared" si="6"/>
        <v>2.4622784787353691E-3</v>
      </c>
      <c r="O134" s="198">
        <v>2007.709961</v>
      </c>
      <c r="P134" s="349">
        <f t="shared" si="7"/>
        <v>2.1663327347578587E-3</v>
      </c>
      <c r="Q134" s="324"/>
      <c r="R134" s="324"/>
      <c r="S134" s="324"/>
      <c r="T134" s="324"/>
      <c r="U134" s="324"/>
      <c r="V134" s="377">
        <v>42586</v>
      </c>
      <c r="W134" s="198">
        <v>74.599997999999999</v>
      </c>
      <c r="X134" s="349">
        <f t="shared" si="8"/>
        <v>2.6811476888943808E-4</v>
      </c>
      <c r="Y134" s="198">
        <v>2164.25</v>
      </c>
      <c r="Z134" s="349">
        <f t="shared" si="9"/>
        <v>2.1257191858259361E-4</v>
      </c>
      <c r="AA134" s="324"/>
      <c r="AB134" s="324"/>
      <c r="AC134" s="324"/>
      <c r="AD134" s="324"/>
      <c r="AE134" s="324"/>
      <c r="AF134" s="324"/>
    </row>
    <row r="135" spans="1:32">
      <c r="A135" s="324"/>
      <c r="B135" s="244"/>
      <c r="C135" s="294"/>
      <c r="D135" s="235"/>
      <c r="E135" s="294"/>
      <c r="F135" s="235"/>
      <c r="G135" s="324"/>
      <c r="H135" s="324"/>
      <c r="I135" s="324"/>
      <c r="J135" s="324"/>
      <c r="K135" s="324"/>
      <c r="L135" s="377">
        <v>41882</v>
      </c>
      <c r="M135" s="198">
        <v>60.919998</v>
      </c>
      <c r="N135" s="349">
        <f t="shared" si="6"/>
        <v>-1.9159603620035326E-2</v>
      </c>
      <c r="O135" s="198">
        <v>2003.369995</v>
      </c>
      <c r="P135" s="349">
        <f t="shared" si="7"/>
        <v>7.5286515888717265E-3</v>
      </c>
      <c r="Q135" s="324"/>
      <c r="R135" s="324"/>
      <c r="S135" s="324"/>
      <c r="T135" s="324"/>
      <c r="U135" s="324"/>
      <c r="V135" s="377">
        <v>42585</v>
      </c>
      <c r="W135" s="198">
        <v>74.580001999999993</v>
      </c>
      <c r="X135" s="349">
        <f t="shared" si="8"/>
        <v>2.318566364639385E-2</v>
      </c>
      <c r="Y135" s="198">
        <v>2163.790039</v>
      </c>
      <c r="Z135" s="349">
        <f t="shared" si="9"/>
        <v>3.1339433893435853E-3</v>
      </c>
      <c r="AA135" s="324"/>
      <c r="AB135" s="324"/>
      <c r="AC135" s="324"/>
      <c r="AD135" s="324"/>
      <c r="AE135" s="324"/>
      <c r="AF135" s="324"/>
    </row>
    <row r="136" spans="1:32">
      <c r="A136" s="324"/>
      <c r="B136" s="244"/>
      <c r="C136" s="294"/>
      <c r="D136" s="235"/>
      <c r="E136" s="294"/>
      <c r="F136" s="235"/>
      <c r="G136" s="324"/>
      <c r="H136" s="324"/>
      <c r="I136" s="324"/>
      <c r="J136" s="324"/>
      <c r="K136" s="324"/>
      <c r="L136" s="377">
        <v>41875</v>
      </c>
      <c r="M136" s="198">
        <v>62.110000999999997</v>
      </c>
      <c r="N136" s="349">
        <f t="shared" si="6"/>
        <v>3.7761120727188624E-2</v>
      </c>
      <c r="O136" s="198">
        <v>1988.400024</v>
      </c>
      <c r="P136" s="349">
        <f t="shared" si="7"/>
        <v>1.7053166651592955E-2</v>
      </c>
      <c r="Q136" s="324"/>
      <c r="R136" s="324"/>
      <c r="S136" s="324"/>
      <c r="T136" s="324"/>
      <c r="U136" s="324"/>
      <c r="V136" s="377">
        <v>42584</v>
      </c>
      <c r="W136" s="198">
        <v>72.889999000000003</v>
      </c>
      <c r="X136" s="349">
        <f t="shared" si="8"/>
        <v>-2.5795255279336904E-2</v>
      </c>
      <c r="Y136" s="198">
        <v>2157.030029</v>
      </c>
      <c r="Z136" s="349">
        <f t="shared" si="9"/>
        <v>-6.3616196680443826E-3</v>
      </c>
      <c r="AA136" s="324"/>
      <c r="AB136" s="324"/>
      <c r="AC136" s="324"/>
      <c r="AD136" s="324"/>
      <c r="AE136" s="324"/>
      <c r="AF136" s="324"/>
    </row>
    <row r="137" spans="1:32">
      <c r="A137" s="324"/>
      <c r="B137" s="244"/>
      <c r="C137" s="294"/>
      <c r="D137" s="235"/>
      <c r="E137" s="294"/>
      <c r="F137" s="235"/>
      <c r="G137" s="324"/>
      <c r="H137" s="324"/>
      <c r="I137" s="324"/>
      <c r="J137" s="324"/>
      <c r="K137" s="324"/>
      <c r="L137" s="377">
        <v>41868</v>
      </c>
      <c r="M137" s="198">
        <v>59.849997999999999</v>
      </c>
      <c r="N137" s="349">
        <f t="shared" ref="N137:N200" si="10">M137/M138-1</f>
        <v>1.7684016023056914E-2</v>
      </c>
      <c r="O137" s="198">
        <v>1955.0600589999999</v>
      </c>
      <c r="P137" s="349">
        <f t="shared" ref="P137:P200" si="11">O137/O138-1</f>
        <v>1.215066003298948E-2</v>
      </c>
      <c r="Q137" s="324"/>
      <c r="R137" s="324"/>
      <c r="S137" s="324"/>
      <c r="T137" s="324"/>
      <c r="U137" s="324"/>
      <c r="V137" s="377">
        <v>42583</v>
      </c>
      <c r="W137" s="198">
        <v>74.819999999999993</v>
      </c>
      <c r="X137" s="349">
        <f t="shared" ref="X137:X200" si="12">W137/W138-1</f>
        <v>-6.2425420873617465E-3</v>
      </c>
      <c r="Y137" s="198">
        <v>2170.8400879999999</v>
      </c>
      <c r="Z137" s="349">
        <f t="shared" ref="Z137:Z200" si="13">Y137/Y138-1</f>
        <v>-1.2697873921424518E-3</v>
      </c>
      <c r="AA137" s="324"/>
      <c r="AB137" s="324"/>
      <c r="AC137" s="324"/>
      <c r="AD137" s="324"/>
      <c r="AE137" s="324"/>
      <c r="AF137" s="324"/>
    </row>
    <row r="138" spans="1:32">
      <c r="A138" s="324"/>
      <c r="B138" s="244"/>
      <c r="C138" s="294"/>
      <c r="D138" s="235"/>
      <c r="E138" s="294"/>
      <c r="F138" s="235"/>
      <c r="G138" s="324"/>
      <c r="H138" s="324"/>
      <c r="I138" s="324"/>
      <c r="J138" s="324"/>
      <c r="K138" s="324"/>
      <c r="L138" s="377">
        <v>41861</v>
      </c>
      <c r="M138" s="198">
        <v>58.810001</v>
      </c>
      <c r="N138" s="349">
        <f t="shared" si="10"/>
        <v>7.1930468777710033E-3</v>
      </c>
      <c r="O138" s="198">
        <v>1931.589966</v>
      </c>
      <c r="P138" s="349">
        <f t="shared" si="11"/>
        <v>3.3451637117709598E-3</v>
      </c>
      <c r="Q138" s="324"/>
      <c r="R138" s="324"/>
      <c r="S138" s="324"/>
      <c r="T138" s="324"/>
      <c r="U138" s="324"/>
      <c r="V138" s="377">
        <v>42580</v>
      </c>
      <c r="W138" s="198">
        <v>75.290001000000004</v>
      </c>
      <c r="X138" s="349">
        <f t="shared" si="12"/>
        <v>1.1554494155582296E-2</v>
      </c>
      <c r="Y138" s="198">
        <v>2173.6000979999999</v>
      </c>
      <c r="Z138" s="349">
        <f t="shared" si="13"/>
        <v>1.6313092282023156E-3</v>
      </c>
      <c r="AA138" s="324"/>
      <c r="AB138" s="324"/>
      <c r="AC138" s="324"/>
      <c r="AD138" s="324"/>
      <c r="AE138" s="324"/>
      <c r="AF138" s="324"/>
    </row>
    <row r="139" spans="1:32">
      <c r="A139" s="324"/>
      <c r="B139" s="244"/>
      <c r="C139" s="294"/>
      <c r="D139" s="235"/>
      <c r="E139" s="294"/>
      <c r="F139" s="235"/>
      <c r="G139" s="324"/>
      <c r="H139" s="324"/>
      <c r="I139" s="324"/>
      <c r="J139" s="324"/>
      <c r="K139" s="324"/>
      <c r="L139" s="377">
        <v>41854</v>
      </c>
      <c r="M139" s="198">
        <v>58.389999000000003</v>
      </c>
      <c r="N139" s="349">
        <f t="shared" si="10"/>
        <v>3.0169354269583781E-2</v>
      </c>
      <c r="O139" s="198">
        <v>1925.150024</v>
      </c>
      <c r="P139" s="349">
        <f t="shared" si="11"/>
        <v>-2.6886148444720814E-2</v>
      </c>
      <c r="Q139" s="324"/>
      <c r="R139" s="324"/>
      <c r="S139" s="324"/>
      <c r="T139" s="324"/>
      <c r="U139" s="324"/>
      <c r="V139" s="377">
        <v>42579</v>
      </c>
      <c r="W139" s="198">
        <v>74.430000000000007</v>
      </c>
      <c r="X139" s="349">
        <f t="shared" si="12"/>
        <v>1.0727879015859365E-2</v>
      </c>
      <c r="Y139" s="198">
        <v>2170.0600589999999</v>
      </c>
      <c r="Z139" s="349">
        <f t="shared" si="13"/>
        <v>1.6062092674702377E-3</v>
      </c>
      <c r="AA139" s="324"/>
      <c r="AB139" s="324"/>
      <c r="AC139" s="324"/>
      <c r="AD139" s="324"/>
      <c r="AE139" s="324"/>
      <c r="AF139" s="324"/>
    </row>
    <row r="140" spans="1:32">
      <c r="A140" s="324"/>
      <c r="B140" s="244"/>
      <c r="C140" s="294"/>
      <c r="D140" s="235"/>
      <c r="E140" s="294"/>
      <c r="F140" s="235"/>
      <c r="G140" s="324"/>
      <c r="H140" s="324"/>
      <c r="I140" s="324"/>
      <c r="J140" s="324"/>
      <c r="K140" s="324"/>
      <c r="L140" s="377">
        <v>41847</v>
      </c>
      <c r="M140" s="198">
        <v>56.68</v>
      </c>
      <c r="N140" s="349">
        <f t="shared" si="10"/>
        <v>3.3175336617292439E-2</v>
      </c>
      <c r="O140" s="198">
        <v>1978.339966</v>
      </c>
      <c r="P140" s="349">
        <f t="shared" si="11"/>
        <v>6.0658067231766921E-5</v>
      </c>
      <c r="Q140" s="324"/>
      <c r="R140" s="324"/>
      <c r="S140" s="324"/>
      <c r="T140" s="324"/>
      <c r="U140" s="324"/>
      <c r="V140" s="377">
        <v>42578</v>
      </c>
      <c r="W140" s="198">
        <v>73.639999000000003</v>
      </c>
      <c r="X140" s="349">
        <f t="shared" si="12"/>
        <v>-1.8787527563456585E-2</v>
      </c>
      <c r="Y140" s="198">
        <v>2166.580078</v>
      </c>
      <c r="Z140" s="349">
        <f t="shared" si="13"/>
        <v>-1.1985423438815035E-3</v>
      </c>
      <c r="AA140" s="324"/>
      <c r="AB140" s="324"/>
      <c r="AC140" s="324"/>
      <c r="AD140" s="324"/>
      <c r="AE140" s="324"/>
      <c r="AF140" s="324"/>
    </row>
    <row r="141" spans="1:32">
      <c r="A141" s="324"/>
      <c r="B141" s="244"/>
      <c r="C141" s="294"/>
      <c r="D141" s="235"/>
      <c r="E141" s="294"/>
      <c r="F141" s="235"/>
      <c r="G141" s="324"/>
      <c r="H141" s="324"/>
      <c r="I141" s="324"/>
      <c r="J141" s="324"/>
      <c r="K141" s="324"/>
      <c r="L141" s="377">
        <v>41840</v>
      </c>
      <c r="M141" s="198">
        <v>54.860000999999997</v>
      </c>
      <c r="N141" s="349">
        <f t="shared" si="10"/>
        <v>2.3753151836287678E-3</v>
      </c>
      <c r="O141" s="198">
        <v>1978.219971</v>
      </c>
      <c r="P141" s="349">
        <f t="shared" si="11"/>
        <v>5.4127808882480366E-3</v>
      </c>
      <c r="Q141" s="324"/>
      <c r="R141" s="324"/>
      <c r="S141" s="324"/>
      <c r="T141" s="324"/>
      <c r="U141" s="324"/>
      <c r="V141" s="377">
        <v>42577</v>
      </c>
      <c r="W141" s="198">
        <v>75.050003000000004</v>
      </c>
      <c r="X141" s="349">
        <f t="shared" si="12"/>
        <v>2.0533070158647471E-2</v>
      </c>
      <c r="Y141" s="198">
        <v>2169.179932</v>
      </c>
      <c r="Z141" s="349">
        <f t="shared" si="13"/>
        <v>3.2278462630763727E-4</v>
      </c>
      <c r="AA141" s="324"/>
      <c r="AB141" s="324"/>
      <c r="AC141" s="324"/>
      <c r="AD141" s="324"/>
      <c r="AE141" s="324"/>
      <c r="AF141" s="324"/>
    </row>
    <row r="142" spans="1:32">
      <c r="A142" s="324"/>
      <c r="B142" s="244"/>
      <c r="C142" s="294"/>
      <c r="D142" s="235"/>
      <c r="E142" s="294"/>
      <c r="F142" s="235"/>
      <c r="G142" s="324"/>
      <c r="H142" s="324"/>
      <c r="I142" s="324"/>
      <c r="J142" s="324"/>
      <c r="K142" s="324"/>
      <c r="L142" s="377">
        <v>41833</v>
      </c>
      <c r="M142" s="198">
        <v>54.73</v>
      </c>
      <c r="N142" s="349">
        <f t="shared" si="10"/>
        <v>-2.4420642581841179E-2</v>
      </c>
      <c r="O142" s="198">
        <v>1967.5699460000001</v>
      </c>
      <c r="P142" s="349">
        <f t="shared" si="11"/>
        <v>-9.0005215624903157E-3</v>
      </c>
      <c r="Q142" s="324"/>
      <c r="R142" s="324"/>
      <c r="S142" s="324"/>
      <c r="T142" s="324"/>
      <c r="U142" s="324"/>
      <c r="V142" s="377">
        <v>42576</v>
      </c>
      <c r="W142" s="198">
        <v>73.540001000000004</v>
      </c>
      <c r="X142" s="349">
        <f t="shared" si="12"/>
        <v>9.5276982506109498E-4</v>
      </c>
      <c r="Y142" s="198">
        <v>2168.4799800000001</v>
      </c>
      <c r="Z142" s="349">
        <f t="shared" si="13"/>
        <v>-3.0114752038671311E-3</v>
      </c>
      <c r="AA142" s="324"/>
      <c r="AB142" s="324"/>
      <c r="AC142" s="324"/>
      <c r="AD142" s="324"/>
      <c r="AE142" s="324"/>
      <c r="AF142" s="324"/>
    </row>
    <row r="143" spans="1:32">
      <c r="A143" s="324"/>
      <c r="B143" s="244"/>
      <c r="C143" s="294"/>
      <c r="D143" s="235"/>
      <c r="E143" s="294"/>
      <c r="F143" s="235"/>
      <c r="G143" s="324"/>
      <c r="H143" s="324"/>
      <c r="I143" s="324"/>
      <c r="J143" s="324"/>
      <c r="K143" s="324"/>
      <c r="L143" s="377">
        <v>41826</v>
      </c>
      <c r="M143" s="198">
        <v>56.099997999999999</v>
      </c>
      <c r="N143" s="349">
        <f t="shared" si="10"/>
        <v>1.7041298042059561E-2</v>
      </c>
      <c r="O143" s="198">
        <v>1985.4399410000001</v>
      </c>
      <c r="P143" s="349">
        <f t="shared" si="11"/>
        <v>1.2483671511332783E-2</v>
      </c>
      <c r="Q143" s="324"/>
      <c r="R143" s="324"/>
      <c r="S143" s="324"/>
      <c r="T143" s="324"/>
      <c r="U143" s="324"/>
      <c r="V143" s="377">
        <v>42573</v>
      </c>
      <c r="W143" s="198">
        <v>73.470000999999996</v>
      </c>
      <c r="X143" s="349">
        <f t="shared" si="12"/>
        <v>1.6182544280115563E-2</v>
      </c>
      <c r="Y143" s="198">
        <v>2175.030029</v>
      </c>
      <c r="Z143" s="349">
        <f t="shared" si="13"/>
        <v>4.5539645178942489E-3</v>
      </c>
      <c r="AA143" s="324"/>
      <c r="AB143" s="324"/>
      <c r="AC143" s="324"/>
      <c r="AD143" s="324"/>
      <c r="AE143" s="324"/>
      <c r="AF143" s="324"/>
    </row>
    <row r="144" spans="1:32">
      <c r="A144" s="324"/>
      <c r="B144" s="244"/>
      <c r="C144" s="294"/>
      <c r="D144" s="235"/>
      <c r="E144" s="294"/>
      <c r="F144" s="235"/>
      <c r="G144" s="324"/>
      <c r="H144" s="324"/>
      <c r="I144" s="324"/>
      <c r="J144" s="324"/>
      <c r="K144" s="324"/>
      <c r="L144" s="377">
        <v>41819</v>
      </c>
      <c r="M144" s="198">
        <v>55.16</v>
      </c>
      <c r="N144" s="349">
        <f t="shared" si="10"/>
        <v>1.4523964614234774E-3</v>
      </c>
      <c r="O144" s="198">
        <v>1960.959961</v>
      </c>
      <c r="P144" s="349">
        <f t="shared" si="11"/>
        <v>-9.7308227486558874E-4</v>
      </c>
      <c r="Q144" s="324"/>
      <c r="R144" s="324"/>
      <c r="S144" s="324"/>
      <c r="T144" s="324"/>
      <c r="U144" s="324"/>
      <c r="V144" s="377">
        <v>42572</v>
      </c>
      <c r="W144" s="198">
        <v>72.300003000000004</v>
      </c>
      <c r="X144" s="349">
        <f t="shared" si="12"/>
        <v>-1.659404311455559E-2</v>
      </c>
      <c r="Y144" s="198">
        <v>2165.169922</v>
      </c>
      <c r="Z144" s="349">
        <f t="shared" si="13"/>
        <v>-3.6125290737081261E-3</v>
      </c>
      <c r="AA144" s="324"/>
      <c r="AB144" s="324"/>
      <c r="AC144" s="324"/>
      <c r="AD144" s="324"/>
      <c r="AE144" s="324"/>
      <c r="AF144" s="324"/>
    </row>
    <row r="145" spans="1:32">
      <c r="A145" s="324"/>
      <c r="B145" s="244"/>
      <c r="C145" s="294"/>
      <c r="D145" s="235"/>
      <c r="E145" s="294"/>
      <c r="F145" s="235"/>
      <c r="G145" s="324"/>
      <c r="H145" s="324"/>
      <c r="I145" s="324"/>
      <c r="J145" s="324"/>
      <c r="K145" s="324"/>
      <c r="L145" s="377">
        <v>41812</v>
      </c>
      <c r="M145" s="198">
        <v>55.080002</v>
      </c>
      <c r="N145" s="349">
        <f t="shared" si="10"/>
        <v>6.0862945333703511E-2</v>
      </c>
      <c r="O145" s="198">
        <v>1962.869995</v>
      </c>
      <c r="P145" s="349">
        <f t="shared" si="11"/>
        <v>1.3795327106726152E-2</v>
      </c>
      <c r="Q145" s="324"/>
      <c r="R145" s="324"/>
      <c r="S145" s="324"/>
      <c r="T145" s="324"/>
      <c r="U145" s="324"/>
      <c r="V145" s="377">
        <v>42571</v>
      </c>
      <c r="W145" s="198">
        <v>73.519997000000004</v>
      </c>
      <c r="X145" s="349">
        <f t="shared" si="12"/>
        <v>1.6030900828760464E-2</v>
      </c>
      <c r="Y145" s="198">
        <v>2173.0200199999999</v>
      </c>
      <c r="Z145" s="349">
        <f t="shared" si="13"/>
        <v>4.270300527854598E-3</v>
      </c>
      <c r="AA145" s="324"/>
      <c r="AB145" s="324"/>
      <c r="AC145" s="324"/>
      <c r="AD145" s="324"/>
      <c r="AE145" s="324"/>
      <c r="AF145" s="324"/>
    </row>
    <row r="146" spans="1:32">
      <c r="A146" s="324"/>
      <c r="B146" s="244"/>
      <c r="C146" s="294"/>
      <c r="D146" s="235"/>
      <c r="E146" s="294"/>
      <c r="F146" s="235"/>
      <c r="G146" s="324"/>
      <c r="H146" s="324"/>
      <c r="I146" s="324"/>
      <c r="J146" s="324"/>
      <c r="K146" s="324"/>
      <c r="L146" s="377">
        <v>41805</v>
      </c>
      <c r="M146" s="198">
        <v>51.919998</v>
      </c>
      <c r="N146" s="349">
        <f t="shared" si="10"/>
        <v>2.1042282046894067E-2</v>
      </c>
      <c r="O146" s="198">
        <v>1936.160034</v>
      </c>
      <c r="P146" s="349">
        <f t="shared" si="11"/>
        <v>-6.8121652381800679E-3</v>
      </c>
      <c r="Q146" s="324"/>
      <c r="R146" s="324"/>
      <c r="S146" s="324"/>
      <c r="T146" s="324"/>
      <c r="U146" s="324"/>
      <c r="V146" s="377">
        <v>42570</v>
      </c>
      <c r="W146" s="198">
        <v>72.360000999999997</v>
      </c>
      <c r="X146" s="349">
        <f t="shared" si="12"/>
        <v>-6.0439832674183958E-3</v>
      </c>
      <c r="Y146" s="198">
        <v>2163.780029</v>
      </c>
      <c r="Z146" s="349">
        <f t="shared" si="13"/>
        <v>-1.4351739837110689E-3</v>
      </c>
      <c r="AA146" s="324"/>
      <c r="AB146" s="324"/>
      <c r="AC146" s="324"/>
      <c r="AD146" s="324"/>
      <c r="AE146" s="324"/>
      <c r="AF146" s="324"/>
    </row>
    <row r="147" spans="1:32">
      <c r="A147" s="324"/>
      <c r="B147" s="244"/>
      <c r="C147" s="294"/>
      <c r="D147" s="235"/>
      <c r="E147" s="294"/>
      <c r="F147" s="235"/>
      <c r="G147" s="324"/>
      <c r="H147" s="324"/>
      <c r="I147" s="324"/>
      <c r="J147" s="324"/>
      <c r="K147" s="324"/>
      <c r="L147" s="377">
        <v>41798</v>
      </c>
      <c r="M147" s="198">
        <v>50.849997999999999</v>
      </c>
      <c r="N147" s="349">
        <f t="shared" si="10"/>
        <v>1.4565024233140988E-2</v>
      </c>
      <c r="O147" s="198">
        <v>1949.4399410000001</v>
      </c>
      <c r="P147" s="349">
        <f t="shared" si="11"/>
        <v>1.3448949467003146E-2</v>
      </c>
      <c r="Q147" s="324"/>
      <c r="R147" s="324"/>
      <c r="S147" s="324"/>
      <c r="T147" s="324"/>
      <c r="U147" s="324"/>
      <c r="V147" s="377">
        <v>42569</v>
      </c>
      <c r="W147" s="198">
        <v>72.800003000000004</v>
      </c>
      <c r="X147" s="349">
        <f t="shared" si="12"/>
        <v>-4.1190442367400326E-4</v>
      </c>
      <c r="Y147" s="198">
        <v>2166.889893</v>
      </c>
      <c r="Z147" s="349">
        <f t="shared" si="13"/>
        <v>2.382295291673886E-3</v>
      </c>
      <c r="AA147" s="324"/>
      <c r="AB147" s="324"/>
      <c r="AC147" s="324"/>
      <c r="AD147" s="324"/>
      <c r="AE147" s="324"/>
      <c r="AF147" s="324"/>
    </row>
    <row r="148" spans="1:32">
      <c r="A148" s="324"/>
      <c r="B148" s="244"/>
      <c r="C148" s="294"/>
      <c r="D148" s="235"/>
      <c r="E148" s="294"/>
      <c r="F148" s="235"/>
      <c r="G148" s="324"/>
      <c r="H148" s="324"/>
      <c r="I148" s="324"/>
      <c r="J148" s="324"/>
      <c r="K148" s="324"/>
      <c r="L148" s="377">
        <v>41791</v>
      </c>
      <c r="M148" s="198">
        <v>50.119999</v>
      </c>
      <c r="N148" s="349">
        <f t="shared" si="10"/>
        <v>-1.1244821685634676E-2</v>
      </c>
      <c r="O148" s="198">
        <v>1923.5699460000001</v>
      </c>
      <c r="P148" s="349">
        <f t="shared" si="11"/>
        <v>1.2122890271890618E-2</v>
      </c>
      <c r="Q148" s="324"/>
      <c r="R148" s="324"/>
      <c r="S148" s="324"/>
      <c r="T148" s="324"/>
      <c r="U148" s="324"/>
      <c r="V148" s="377">
        <v>42566</v>
      </c>
      <c r="W148" s="198">
        <v>72.830001999999993</v>
      </c>
      <c r="X148" s="349">
        <f t="shared" si="12"/>
        <v>-8.9807595313855515E-3</v>
      </c>
      <c r="Y148" s="198">
        <v>2161.73999</v>
      </c>
      <c r="Z148" s="349">
        <f t="shared" si="13"/>
        <v>-9.2894742923166351E-4</v>
      </c>
      <c r="AA148" s="324"/>
      <c r="AB148" s="324"/>
      <c r="AC148" s="324"/>
      <c r="AD148" s="324"/>
      <c r="AE148" s="324"/>
      <c r="AF148" s="324"/>
    </row>
    <row r="149" spans="1:32">
      <c r="A149" s="324"/>
      <c r="B149" s="244"/>
      <c r="C149" s="294"/>
      <c r="D149" s="235"/>
      <c r="E149" s="294"/>
      <c r="F149" s="235"/>
      <c r="G149" s="324"/>
      <c r="H149" s="324"/>
      <c r="I149" s="324"/>
      <c r="J149" s="324"/>
      <c r="K149" s="324"/>
      <c r="L149" s="377">
        <v>41784</v>
      </c>
      <c r="M149" s="198">
        <v>50.689999</v>
      </c>
      <c r="N149" s="349">
        <f t="shared" si="10"/>
        <v>1.3394622151139401E-2</v>
      </c>
      <c r="O149" s="198">
        <v>1900.530029</v>
      </c>
      <c r="P149" s="349">
        <f t="shared" si="11"/>
        <v>1.2072275984942538E-2</v>
      </c>
      <c r="Q149" s="324"/>
      <c r="R149" s="324"/>
      <c r="S149" s="324"/>
      <c r="T149" s="324"/>
      <c r="U149" s="324"/>
      <c r="V149" s="377">
        <v>42565</v>
      </c>
      <c r="W149" s="198">
        <v>73.489998</v>
      </c>
      <c r="X149" s="349">
        <f t="shared" si="12"/>
        <v>-2.3079824975301699E-3</v>
      </c>
      <c r="Y149" s="198">
        <v>2163.75</v>
      </c>
      <c r="Z149" s="349">
        <f t="shared" si="13"/>
        <v>5.2592039497805221E-3</v>
      </c>
      <c r="AA149" s="324"/>
      <c r="AB149" s="324"/>
      <c r="AC149" s="324"/>
      <c r="AD149" s="324"/>
      <c r="AE149" s="324"/>
      <c r="AF149" s="324"/>
    </row>
    <row r="150" spans="1:32">
      <c r="A150" s="324"/>
      <c r="B150" s="244"/>
      <c r="C150" s="294"/>
      <c r="D150" s="235"/>
      <c r="E150" s="294"/>
      <c r="F150" s="235"/>
      <c r="G150" s="324"/>
      <c r="H150" s="324"/>
      <c r="I150" s="324"/>
      <c r="J150" s="324"/>
      <c r="K150" s="324"/>
      <c r="L150" s="377">
        <v>41777</v>
      </c>
      <c r="M150" s="198">
        <v>50.02</v>
      </c>
      <c r="N150" s="349">
        <f t="shared" si="10"/>
        <v>2.6261755180067681E-2</v>
      </c>
      <c r="O150" s="198">
        <v>1877.8599850000001</v>
      </c>
      <c r="P150" s="349">
        <f t="shared" si="11"/>
        <v>-3.3005142807007726E-4</v>
      </c>
      <c r="Q150" s="324"/>
      <c r="R150" s="324"/>
      <c r="S150" s="324"/>
      <c r="T150" s="324"/>
      <c r="U150" s="324"/>
      <c r="V150" s="377">
        <v>42564</v>
      </c>
      <c r="W150" s="198">
        <v>73.660004000000001</v>
      </c>
      <c r="X150" s="349">
        <f t="shared" si="12"/>
        <v>-3.3824920372078626E-3</v>
      </c>
      <c r="Y150" s="198">
        <v>2152.429932</v>
      </c>
      <c r="Z150" s="349">
        <f t="shared" si="13"/>
        <v>1.3476772627241118E-4</v>
      </c>
      <c r="AA150" s="324"/>
      <c r="AB150" s="324"/>
      <c r="AC150" s="324"/>
      <c r="AD150" s="324"/>
      <c r="AE150" s="324"/>
      <c r="AF150" s="324"/>
    </row>
    <row r="151" spans="1:32">
      <c r="A151" s="324"/>
      <c r="B151" s="244"/>
      <c r="C151" s="294"/>
      <c r="D151" s="235"/>
      <c r="E151" s="294"/>
      <c r="F151" s="235"/>
      <c r="G151" s="324"/>
      <c r="H151" s="324"/>
      <c r="I151" s="324"/>
      <c r="J151" s="324"/>
      <c r="K151" s="324"/>
      <c r="L151" s="377">
        <v>41770</v>
      </c>
      <c r="M151" s="198">
        <v>48.740001999999997</v>
      </c>
      <c r="N151" s="349">
        <f t="shared" si="10"/>
        <v>3.5001441218858176E-3</v>
      </c>
      <c r="O151" s="198">
        <v>1878.4799800000001</v>
      </c>
      <c r="P151" s="349">
        <f t="shared" si="11"/>
        <v>-1.4140547640202339E-3</v>
      </c>
      <c r="Q151" s="324"/>
      <c r="R151" s="324"/>
      <c r="S151" s="324"/>
      <c r="T151" s="324"/>
      <c r="U151" s="324"/>
      <c r="V151" s="377">
        <v>42563</v>
      </c>
      <c r="W151" s="198">
        <v>73.910004000000001</v>
      </c>
      <c r="X151" s="349">
        <f t="shared" si="12"/>
        <v>1.7483549249498243E-2</v>
      </c>
      <c r="Y151" s="198">
        <v>2152.139893</v>
      </c>
      <c r="Z151" s="349">
        <f t="shared" si="13"/>
        <v>7.0092934627346004E-3</v>
      </c>
      <c r="AA151" s="324"/>
      <c r="AB151" s="324"/>
      <c r="AC151" s="324"/>
      <c r="AD151" s="324"/>
      <c r="AE151" s="324"/>
      <c r="AF151" s="324"/>
    </row>
    <row r="152" spans="1:32">
      <c r="A152" s="324"/>
      <c r="B152" s="244"/>
      <c r="C152" s="294"/>
      <c r="D152" s="235"/>
      <c r="E152" s="294"/>
      <c r="F152" s="235"/>
      <c r="G152" s="324"/>
      <c r="H152" s="324"/>
      <c r="I152" s="324"/>
      <c r="J152" s="324"/>
      <c r="K152" s="324"/>
      <c r="L152" s="377">
        <v>41763</v>
      </c>
      <c r="M152" s="198">
        <v>48.57</v>
      </c>
      <c r="N152" s="349">
        <f t="shared" si="10"/>
        <v>4.1348150534383787E-3</v>
      </c>
      <c r="O152" s="198">
        <v>1881.1400149999999</v>
      </c>
      <c r="P152" s="349">
        <f t="shared" si="11"/>
        <v>9.5202268817831115E-3</v>
      </c>
      <c r="Q152" s="324"/>
      <c r="R152" s="324"/>
      <c r="S152" s="324"/>
      <c r="T152" s="324"/>
      <c r="U152" s="324"/>
      <c r="V152" s="377">
        <v>42562</v>
      </c>
      <c r="W152" s="198">
        <v>72.639999000000003</v>
      </c>
      <c r="X152" s="349">
        <f t="shared" si="12"/>
        <v>-6.8789377664346674E-4</v>
      </c>
      <c r="Y152" s="198">
        <v>2137.1599120000001</v>
      </c>
      <c r="Z152" s="349">
        <f t="shared" si="13"/>
        <v>3.408615584790109E-3</v>
      </c>
      <c r="AA152" s="324"/>
      <c r="AB152" s="324"/>
      <c r="AC152" s="324"/>
      <c r="AD152" s="324"/>
      <c r="AE152" s="324"/>
      <c r="AF152" s="324"/>
    </row>
    <row r="153" spans="1:32">
      <c r="A153" s="324"/>
      <c r="B153" s="244"/>
      <c r="C153" s="294"/>
      <c r="D153" s="235"/>
      <c r="E153" s="294"/>
      <c r="F153" s="235"/>
      <c r="G153" s="324"/>
      <c r="H153" s="324"/>
      <c r="I153" s="324"/>
      <c r="J153" s="324"/>
      <c r="K153" s="324"/>
      <c r="L153" s="377">
        <v>41756</v>
      </c>
      <c r="M153" s="198">
        <v>48.369999</v>
      </c>
      <c r="N153" s="349">
        <f t="shared" si="10"/>
        <v>-4.3125619052930109E-2</v>
      </c>
      <c r="O153" s="198">
        <v>1863.400024</v>
      </c>
      <c r="P153" s="349">
        <f t="shared" si="11"/>
        <v>-7.7751670035675069E-4</v>
      </c>
      <c r="Q153" s="324"/>
      <c r="R153" s="324"/>
      <c r="S153" s="324"/>
      <c r="T153" s="324"/>
      <c r="U153" s="324"/>
      <c r="V153" s="377">
        <v>42559</v>
      </c>
      <c r="W153" s="198">
        <v>72.690002000000007</v>
      </c>
      <c r="X153" s="349">
        <f t="shared" si="12"/>
        <v>1.7782190360744687E-2</v>
      </c>
      <c r="Y153" s="198">
        <v>2129.8999020000001</v>
      </c>
      <c r="Z153" s="349">
        <f t="shared" si="13"/>
        <v>1.5253349299217511E-2</v>
      </c>
      <c r="AA153" s="324"/>
      <c r="AB153" s="324"/>
      <c r="AC153" s="324"/>
      <c r="AD153" s="324"/>
      <c r="AE153" s="324"/>
      <c r="AF153" s="324"/>
    </row>
    <row r="154" spans="1:32">
      <c r="A154" s="324"/>
      <c r="B154" s="244"/>
      <c r="C154" s="294"/>
      <c r="D154" s="235"/>
      <c r="E154" s="294"/>
      <c r="F154" s="235"/>
      <c r="G154" s="324"/>
      <c r="H154" s="324"/>
      <c r="I154" s="324"/>
      <c r="J154" s="324"/>
      <c r="K154" s="324"/>
      <c r="L154" s="377">
        <v>41749</v>
      </c>
      <c r="M154" s="198">
        <v>50.549999</v>
      </c>
      <c r="N154" s="349">
        <f t="shared" si="10"/>
        <v>2.4108548944316244E-2</v>
      </c>
      <c r="O154" s="198">
        <v>1864.849976</v>
      </c>
      <c r="P154" s="349">
        <f t="shared" si="11"/>
        <v>2.707512658957878E-2</v>
      </c>
      <c r="Q154" s="324"/>
      <c r="R154" s="324"/>
      <c r="S154" s="324"/>
      <c r="T154" s="324"/>
      <c r="U154" s="324"/>
      <c r="V154" s="377">
        <v>42558</v>
      </c>
      <c r="W154" s="198">
        <v>71.419998000000007</v>
      </c>
      <c r="X154" s="349">
        <f t="shared" si="12"/>
        <v>-1.0529260182876143E-2</v>
      </c>
      <c r="Y154" s="198">
        <v>2097.8999020000001</v>
      </c>
      <c r="Z154" s="349">
        <f t="shared" si="13"/>
        <v>-8.7157778258706298E-4</v>
      </c>
      <c r="AA154" s="324"/>
      <c r="AB154" s="324"/>
      <c r="AC154" s="324"/>
      <c r="AD154" s="324"/>
      <c r="AE154" s="324"/>
      <c r="AF154" s="324"/>
    </row>
    <row r="155" spans="1:32">
      <c r="A155" s="324"/>
      <c r="B155" s="244"/>
      <c r="C155" s="294"/>
      <c r="D155" s="235"/>
      <c r="E155" s="294"/>
      <c r="F155" s="235"/>
      <c r="G155" s="324"/>
      <c r="H155" s="324"/>
      <c r="I155" s="324"/>
      <c r="J155" s="324"/>
      <c r="K155" s="324"/>
      <c r="L155" s="377">
        <v>41742</v>
      </c>
      <c r="M155" s="198">
        <v>49.360000999999997</v>
      </c>
      <c r="N155" s="349">
        <f t="shared" si="10"/>
        <v>-2.1799405901692714E-2</v>
      </c>
      <c r="O155" s="198">
        <v>1815.6899410000001</v>
      </c>
      <c r="P155" s="349">
        <f t="shared" si="11"/>
        <v>-2.6486671367358494E-2</v>
      </c>
      <c r="Q155" s="324"/>
      <c r="R155" s="324"/>
      <c r="S155" s="324"/>
      <c r="T155" s="324"/>
      <c r="U155" s="324"/>
      <c r="V155" s="377">
        <v>42557</v>
      </c>
      <c r="W155" s="198">
        <v>72.180000000000007</v>
      </c>
      <c r="X155" s="349">
        <f t="shared" si="12"/>
        <v>1.2484205183276753E-2</v>
      </c>
      <c r="Y155" s="198">
        <v>2099.7299800000001</v>
      </c>
      <c r="Z155" s="349">
        <f t="shared" si="13"/>
        <v>5.3529629349093888E-3</v>
      </c>
      <c r="AA155" s="324"/>
      <c r="AB155" s="324"/>
      <c r="AC155" s="324"/>
      <c r="AD155" s="324"/>
      <c r="AE155" s="324"/>
      <c r="AF155" s="324"/>
    </row>
    <row r="156" spans="1:32">
      <c r="A156" s="324"/>
      <c r="B156" s="244"/>
      <c r="C156" s="294"/>
      <c r="D156" s="235"/>
      <c r="E156" s="294"/>
      <c r="F156" s="235"/>
      <c r="G156" s="324"/>
      <c r="H156" s="324"/>
      <c r="I156" s="324"/>
      <c r="J156" s="324"/>
      <c r="K156" s="324"/>
      <c r="L156" s="377">
        <v>41735</v>
      </c>
      <c r="M156" s="198">
        <v>50.459999000000003</v>
      </c>
      <c r="N156" s="349">
        <f t="shared" si="10"/>
        <v>-3.3888588933562946E-2</v>
      </c>
      <c r="O156" s="198">
        <v>1865.089966</v>
      </c>
      <c r="P156" s="349">
        <f t="shared" si="11"/>
        <v>4.0212589335313353E-3</v>
      </c>
      <c r="Q156" s="324"/>
      <c r="R156" s="324"/>
      <c r="S156" s="324"/>
      <c r="T156" s="324"/>
      <c r="U156" s="324"/>
      <c r="V156" s="377">
        <v>42556</v>
      </c>
      <c r="W156" s="198">
        <v>71.290001000000004</v>
      </c>
      <c r="X156" s="349">
        <f t="shared" si="12"/>
        <v>-9.7235313161141423E-3</v>
      </c>
      <c r="Y156" s="198">
        <v>2088.5500489999999</v>
      </c>
      <c r="Z156" s="349">
        <f t="shared" si="13"/>
        <v>-6.8474772750309887E-3</v>
      </c>
      <c r="AA156" s="324"/>
      <c r="AB156" s="324"/>
      <c r="AC156" s="324"/>
      <c r="AD156" s="324"/>
      <c r="AE156" s="324"/>
      <c r="AF156" s="324"/>
    </row>
    <row r="157" spans="1:32">
      <c r="A157" s="324"/>
      <c r="B157" s="244"/>
      <c r="C157" s="294"/>
      <c r="D157" s="235"/>
      <c r="E157" s="294"/>
      <c r="F157" s="235"/>
      <c r="G157" s="324"/>
      <c r="H157" s="324"/>
      <c r="I157" s="324"/>
      <c r="J157" s="324"/>
      <c r="K157" s="324"/>
      <c r="L157" s="377">
        <v>41728</v>
      </c>
      <c r="M157" s="198">
        <v>52.23</v>
      </c>
      <c r="N157" s="349">
        <f t="shared" si="10"/>
        <v>-9.0069718116037811E-2</v>
      </c>
      <c r="O157" s="198">
        <v>1857.619995</v>
      </c>
      <c r="P157" s="349">
        <f t="shared" si="11"/>
        <v>-4.7682451324577713E-3</v>
      </c>
      <c r="Q157" s="324"/>
      <c r="R157" s="324"/>
      <c r="S157" s="324"/>
      <c r="T157" s="324"/>
      <c r="U157" s="324"/>
      <c r="V157" s="377">
        <v>42552</v>
      </c>
      <c r="W157" s="198">
        <v>71.989998</v>
      </c>
      <c r="X157" s="349">
        <f t="shared" si="12"/>
        <v>-8.4022040882150151E-3</v>
      </c>
      <c r="Y157" s="198">
        <v>2102.9499510000001</v>
      </c>
      <c r="Z157" s="349">
        <f t="shared" si="13"/>
        <v>1.9486024753911924E-3</v>
      </c>
      <c r="AA157" s="324"/>
      <c r="AB157" s="324"/>
      <c r="AC157" s="324"/>
      <c r="AD157" s="324"/>
      <c r="AE157" s="324"/>
      <c r="AF157" s="324"/>
    </row>
    <row r="158" spans="1:32">
      <c r="A158" s="324"/>
      <c r="B158" s="244"/>
      <c r="C158" s="294"/>
      <c r="D158" s="235"/>
      <c r="E158" s="294"/>
      <c r="F158" s="235"/>
      <c r="G158" s="324"/>
      <c r="H158" s="324"/>
      <c r="I158" s="324"/>
      <c r="J158" s="324"/>
      <c r="K158" s="324"/>
      <c r="L158" s="377">
        <v>41721</v>
      </c>
      <c r="M158" s="198">
        <v>57.400002000000001</v>
      </c>
      <c r="N158" s="349">
        <f t="shared" si="10"/>
        <v>-3.8180667097894583E-3</v>
      </c>
      <c r="O158" s="198">
        <v>1866.5200199999999</v>
      </c>
      <c r="P158" s="349">
        <f t="shared" si="11"/>
        <v>1.3790452021882116E-2</v>
      </c>
      <c r="Q158" s="324"/>
      <c r="R158" s="324"/>
      <c r="S158" s="324"/>
      <c r="T158" s="324"/>
      <c r="U158" s="324"/>
      <c r="V158" s="377">
        <v>42551</v>
      </c>
      <c r="W158" s="198">
        <v>72.599997999999999</v>
      </c>
      <c r="X158" s="349">
        <f t="shared" si="12"/>
        <v>-4.524914301385019E-3</v>
      </c>
      <c r="Y158" s="198">
        <v>2098.860107</v>
      </c>
      <c r="Z158" s="349">
        <f t="shared" si="13"/>
        <v>1.3565044272757953E-2</v>
      </c>
      <c r="AA158" s="324"/>
      <c r="AB158" s="324"/>
      <c r="AC158" s="324"/>
      <c r="AD158" s="324"/>
      <c r="AE158" s="324"/>
      <c r="AF158" s="324"/>
    </row>
    <row r="159" spans="1:32">
      <c r="A159" s="324"/>
      <c r="B159" s="244"/>
      <c r="C159" s="294"/>
      <c r="D159" s="235"/>
      <c r="E159" s="294"/>
      <c r="F159" s="235"/>
      <c r="G159" s="324"/>
      <c r="H159" s="324"/>
      <c r="I159" s="324"/>
      <c r="J159" s="324"/>
      <c r="K159" s="324"/>
      <c r="L159" s="377">
        <v>41714</v>
      </c>
      <c r="M159" s="198">
        <v>57.619999</v>
      </c>
      <c r="N159" s="349">
        <f t="shared" si="10"/>
        <v>-4.791806014540656E-2</v>
      </c>
      <c r="O159" s="198">
        <v>1841.130005</v>
      </c>
      <c r="P159" s="349">
        <f t="shared" si="11"/>
        <v>-1.9653486205572834E-2</v>
      </c>
      <c r="Q159" s="324"/>
      <c r="R159" s="324"/>
      <c r="S159" s="324"/>
      <c r="T159" s="324"/>
      <c r="U159" s="324"/>
      <c r="V159" s="377">
        <v>42550</v>
      </c>
      <c r="W159" s="198">
        <v>72.930000000000007</v>
      </c>
      <c r="X159" s="349">
        <f t="shared" si="12"/>
        <v>2.0285351694795173E-2</v>
      </c>
      <c r="Y159" s="198">
        <v>2070.7700199999999</v>
      </c>
      <c r="Z159" s="349">
        <f t="shared" si="13"/>
        <v>1.7032672710494579E-2</v>
      </c>
      <c r="AA159" s="324"/>
      <c r="AB159" s="324"/>
      <c r="AC159" s="324"/>
      <c r="AD159" s="324"/>
      <c r="AE159" s="324"/>
      <c r="AF159" s="324"/>
    </row>
    <row r="160" spans="1:32">
      <c r="A160" s="324"/>
      <c r="B160" s="244"/>
      <c r="C160" s="294"/>
      <c r="D160" s="235"/>
      <c r="E160" s="294"/>
      <c r="F160" s="235"/>
      <c r="G160" s="324"/>
      <c r="H160" s="324"/>
      <c r="I160" s="324"/>
      <c r="J160" s="324"/>
      <c r="K160" s="324"/>
      <c r="L160" s="377">
        <v>41707</v>
      </c>
      <c r="M160" s="198">
        <v>60.52</v>
      </c>
      <c r="N160" s="349">
        <f t="shared" si="10"/>
        <v>2.5936564640224979E-2</v>
      </c>
      <c r="O160" s="198">
        <v>1878.040039</v>
      </c>
      <c r="P160" s="349">
        <f t="shared" si="11"/>
        <v>9.9976275188273789E-3</v>
      </c>
      <c r="Q160" s="324"/>
      <c r="R160" s="324"/>
      <c r="S160" s="324"/>
      <c r="T160" s="324"/>
      <c r="U160" s="324"/>
      <c r="V160" s="377">
        <v>42549</v>
      </c>
      <c r="W160" s="198">
        <v>71.480002999999996</v>
      </c>
      <c r="X160" s="349">
        <f t="shared" si="12"/>
        <v>1.9104705148341949E-2</v>
      </c>
      <c r="Y160" s="198">
        <v>2036.089966</v>
      </c>
      <c r="Z160" s="349">
        <f t="shared" si="13"/>
        <v>1.777016520887531E-2</v>
      </c>
      <c r="AA160" s="324"/>
      <c r="AB160" s="324"/>
      <c r="AC160" s="324"/>
      <c r="AD160" s="324"/>
      <c r="AE160" s="324"/>
      <c r="AF160" s="324"/>
    </row>
    <row r="161" spans="1:32">
      <c r="A161" s="324"/>
      <c r="B161" s="244"/>
      <c r="C161" s="294"/>
      <c r="D161" s="235"/>
      <c r="E161" s="294"/>
      <c r="F161" s="235"/>
      <c r="G161" s="324"/>
      <c r="H161" s="324"/>
      <c r="I161" s="324"/>
      <c r="J161" s="324"/>
      <c r="K161" s="324"/>
      <c r="L161" s="377">
        <v>41700</v>
      </c>
      <c r="M161" s="198">
        <v>58.990001999999997</v>
      </c>
      <c r="N161" s="349">
        <f t="shared" si="10"/>
        <v>5.1116545427101201E-3</v>
      </c>
      <c r="O161" s="198">
        <v>1859.4499510000001</v>
      </c>
      <c r="P161" s="349">
        <f t="shared" si="11"/>
        <v>1.2634418515997226E-2</v>
      </c>
      <c r="Q161" s="324"/>
      <c r="R161" s="324"/>
      <c r="S161" s="324"/>
      <c r="T161" s="324"/>
      <c r="U161" s="324"/>
      <c r="V161" s="377">
        <v>42548</v>
      </c>
      <c r="W161" s="198">
        <v>70.139999000000003</v>
      </c>
      <c r="X161" s="349">
        <f t="shared" si="12"/>
        <v>-4.7269816058007952E-2</v>
      </c>
      <c r="Y161" s="198">
        <v>2000.540039</v>
      </c>
      <c r="Z161" s="349">
        <f t="shared" si="13"/>
        <v>-1.8096502120201086E-2</v>
      </c>
      <c r="AA161" s="324"/>
      <c r="AB161" s="324"/>
      <c r="AC161" s="324"/>
      <c r="AD161" s="324"/>
      <c r="AE161" s="324"/>
      <c r="AF161" s="324"/>
    </row>
    <row r="162" spans="1:32">
      <c r="A162" s="324"/>
      <c r="B162" s="244"/>
      <c r="C162" s="294"/>
      <c r="D162" s="235"/>
      <c r="E162" s="294"/>
      <c r="F162" s="235"/>
      <c r="G162" s="324"/>
      <c r="H162" s="324"/>
      <c r="I162" s="324"/>
      <c r="J162" s="324"/>
      <c r="K162" s="324"/>
      <c r="L162" s="377">
        <v>41693</v>
      </c>
      <c r="M162" s="198">
        <v>58.689999</v>
      </c>
      <c r="N162" s="349">
        <f t="shared" si="10"/>
        <v>6.3442901234567195E-3</v>
      </c>
      <c r="O162" s="198">
        <v>1836.25</v>
      </c>
      <c r="P162" s="349">
        <f t="shared" si="11"/>
        <v>-1.2944447732974318E-3</v>
      </c>
      <c r="Q162" s="324"/>
      <c r="R162" s="324"/>
      <c r="S162" s="324"/>
      <c r="T162" s="324"/>
      <c r="U162" s="324"/>
      <c r="V162" s="377">
        <v>42545</v>
      </c>
      <c r="W162" s="198">
        <v>73.620002999999997</v>
      </c>
      <c r="X162" s="349">
        <f t="shared" si="12"/>
        <v>-6.0849547912355528E-2</v>
      </c>
      <c r="Y162" s="198">
        <v>2037.410034</v>
      </c>
      <c r="Z162" s="349">
        <f t="shared" si="13"/>
        <v>-3.591979991551375E-2</v>
      </c>
      <c r="AA162" s="324"/>
      <c r="AB162" s="324"/>
      <c r="AC162" s="324"/>
      <c r="AD162" s="324"/>
      <c r="AE162" s="324"/>
      <c r="AF162" s="324"/>
    </row>
    <row r="163" spans="1:32">
      <c r="A163" s="324"/>
      <c r="B163" s="244"/>
      <c r="C163" s="294"/>
      <c r="D163" s="235"/>
      <c r="E163" s="294"/>
      <c r="F163" s="235"/>
      <c r="G163" s="324"/>
      <c r="H163" s="324"/>
      <c r="I163" s="324"/>
      <c r="J163" s="324"/>
      <c r="K163" s="324"/>
      <c r="L163" s="377">
        <v>41686</v>
      </c>
      <c r="M163" s="198">
        <v>58.32</v>
      </c>
      <c r="N163" s="349">
        <f t="shared" si="10"/>
        <v>2.3337391706004906E-2</v>
      </c>
      <c r="O163" s="198">
        <v>1838.630005</v>
      </c>
      <c r="P163" s="349">
        <f t="shared" si="11"/>
        <v>2.315499245244923E-2</v>
      </c>
      <c r="Q163" s="324"/>
      <c r="R163" s="324"/>
      <c r="S163" s="324"/>
      <c r="T163" s="324"/>
      <c r="U163" s="324"/>
      <c r="V163" s="377">
        <v>42544</v>
      </c>
      <c r="W163" s="198">
        <v>78.389999000000003</v>
      </c>
      <c r="X163" s="349">
        <f t="shared" si="12"/>
        <v>-1.7053304075235087E-2</v>
      </c>
      <c r="Y163" s="198">
        <v>2113.320068</v>
      </c>
      <c r="Z163" s="349">
        <f t="shared" si="13"/>
        <v>1.3364078570495375E-2</v>
      </c>
      <c r="AA163" s="324"/>
      <c r="AB163" s="324"/>
      <c r="AC163" s="324"/>
      <c r="AD163" s="324"/>
      <c r="AE163" s="324"/>
      <c r="AF163" s="324"/>
    </row>
    <row r="164" spans="1:32">
      <c r="A164" s="324"/>
      <c r="B164" s="244"/>
      <c r="C164" s="294"/>
      <c r="D164" s="235"/>
      <c r="E164" s="294"/>
      <c r="F164" s="235"/>
      <c r="G164" s="324"/>
      <c r="H164" s="324"/>
      <c r="I164" s="324"/>
      <c r="J164" s="324"/>
      <c r="K164" s="324"/>
      <c r="L164" s="377">
        <v>41679</v>
      </c>
      <c r="M164" s="198">
        <v>56.990001999999997</v>
      </c>
      <c r="N164" s="349">
        <f t="shared" si="10"/>
        <v>8.6726017699114699E-3</v>
      </c>
      <c r="O164" s="198">
        <v>1797.0200199999999</v>
      </c>
      <c r="P164" s="349">
        <f t="shared" si="11"/>
        <v>8.0949933945717589E-3</v>
      </c>
      <c r="Q164" s="324"/>
      <c r="R164" s="324"/>
      <c r="S164" s="324"/>
      <c r="T164" s="324"/>
      <c r="U164" s="324"/>
      <c r="V164" s="377">
        <v>42543</v>
      </c>
      <c r="W164" s="198">
        <v>79.75</v>
      </c>
      <c r="X164" s="349">
        <f t="shared" si="12"/>
        <v>-7.9611768623110146E-3</v>
      </c>
      <c r="Y164" s="198">
        <v>2085.4499510000001</v>
      </c>
      <c r="Z164" s="349">
        <f t="shared" si="13"/>
        <v>-1.6515635798043382E-3</v>
      </c>
      <c r="AA164" s="324"/>
      <c r="AB164" s="324"/>
      <c r="AC164" s="324"/>
      <c r="AD164" s="324"/>
      <c r="AE164" s="324"/>
      <c r="AF164" s="324"/>
    </row>
    <row r="165" spans="1:32">
      <c r="A165" s="324"/>
      <c r="B165" s="244"/>
      <c r="C165" s="294"/>
      <c r="D165" s="235"/>
      <c r="E165" s="294"/>
      <c r="F165" s="235"/>
      <c r="G165" s="324"/>
      <c r="H165" s="324"/>
      <c r="I165" s="324"/>
      <c r="J165" s="324"/>
      <c r="K165" s="324"/>
      <c r="L165" s="377">
        <v>41672</v>
      </c>
      <c r="M165" s="198">
        <v>56.5</v>
      </c>
      <c r="N165" s="349">
        <f t="shared" si="10"/>
        <v>-4.0542922615899313E-3</v>
      </c>
      <c r="O165" s="198">
        <v>1782.589966</v>
      </c>
      <c r="P165" s="349">
        <f t="shared" si="11"/>
        <v>-4.3010198527949628E-3</v>
      </c>
      <c r="Q165" s="324"/>
      <c r="R165" s="324"/>
      <c r="S165" s="324"/>
      <c r="T165" s="324"/>
      <c r="U165" s="324"/>
      <c r="V165" s="377">
        <v>42542</v>
      </c>
      <c r="W165" s="198">
        <v>80.389999000000003</v>
      </c>
      <c r="X165" s="349">
        <f t="shared" si="12"/>
        <v>1.9143028111423543E-2</v>
      </c>
      <c r="Y165" s="198">
        <v>2088.8999020000001</v>
      </c>
      <c r="Z165" s="349">
        <f t="shared" si="13"/>
        <v>2.712061442457836E-3</v>
      </c>
      <c r="AA165" s="324"/>
      <c r="AB165" s="324"/>
      <c r="AC165" s="324"/>
      <c r="AD165" s="324"/>
      <c r="AE165" s="324"/>
      <c r="AF165" s="324"/>
    </row>
    <row r="166" spans="1:32">
      <c r="A166" s="324"/>
      <c r="B166" s="244"/>
      <c r="C166" s="294"/>
      <c r="D166" s="235"/>
      <c r="E166" s="294"/>
      <c r="F166" s="235"/>
      <c r="G166" s="324"/>
      <c r="H166" s="324"/>
      <c r="I166" s="324"/>
      <c r="J166" s="324"/>
      <c r="K166" s="324"/>
      <c r="L166" s="377">
        <v>41665</v>
      </c>
      <c r="M166" s="198">
        <v>56.73</v>
      </c>
      <c r="N166" s="349">
        <f t="shared" si="10"/>
        <v>-3.1746031746031855E-2</v>
      </c>
      <c r="O166" s="198">
        <v>1790.290039</v>
      </c>
      <c r="P166" s="349">
        <f t="shared" si="11"/>
        <v>-2.632833702620796E-2</v>
      </c>
      <c r="Q166" s="324"/>
      <c r="R166" s="324"/>
      <c r="S166" s="324"/>
      <c r="T166" s="324"/>
      <c r="U166" s="324"/>
      <c r="V166" s="377">
        <v>42541</v>
      </c>
      <c r="W166" s="198">
        <v>78.879997000000003</v>
      </c>
      <c r="X166" s="349">
        <f t="shared" si="12"/>
        <v>2.0439766347745136E-2</v>
      </c>
      <c r="Y166" s="198">
        <v>2083.25</v>
      </c>
      <c r="Z166" s="349">
        <f t="shared" si="13"/>
        <v>5.8081851123672479E-3</v>
      </c>
      <c r="AA166" s="324"/>
      <c r="AB166" s="324"/>
      <c r="AC166" s="324"/>
      <c r="AD166" s="324"/>
      <c r="AE166" s="324"/>
      <c r="AF166" s="324"/>
    </row>
    <row r="167" spans="1:32">
      <c r="A167" s="324"/>
      <c r="B167" s="244"/>
      <c r="C167" s="294"/>
      <c r="D167" s="235"/>
      <c r="E167" s="294"/>
      <c r="F167" s="235"/>
      <c r="G167" s="324"/>
      <c r="H167" s="324"/>
      <c r="I167" s="324"/>
      <c r="J167" s="324"/>
      <c r="K167" s="324"/>
      <c r="L167" s="377">
        <v>41658</v>
      </c>
      <c r="M167" s="198">
        <v>58.59</v>
      </c>
      <c r="N167" s="349">
        <f t="shared" si="10"/>
        <v>3.1332493727644906E-2</v>
      </c>
      <c r="O167" s="198">
        <v>1838.6999510000001</v>
      </c>
      <c r="P167" s="349">
        <f t="shared" si="11"/>
        <v>-1.9920233231979223E-3</v>
      </c>
      <c r="Q167" s="324"/>
      <c r="R167" s="324"/>
      <c r="S167" s="324"/>
      <c r="T167" s="324"/>
      <c r="U167" s="324"/>
      <c r="V167" s="377">
        <v>42538</v>
      </c>
      <c r="W167" s="198">
        <v>77.300003000000004</v>
      </c>
      <c r="X167" s="349">
        <f t="shared" si="12"/>
        <v>4.2874106237833498E-3</v>
      </c>
      <c r="Y167" s="198">
        <v>2071.219971</v>
      </c>
      <c r="Z167" s="349">
        <f t="shared" si="13"/>
        <v>-3.2579651646926777E-3</v>
      </c>
      <c r="AA167" s="324"/>
      <c r="AB167" s="324"/>
      <c r="AC167" s="324"/>
      <c r="AD167" s="324"/>
      <c r="AE167" s="324"/>
      <c r="AF167" s="324"/>
    </row>
    <row r="168" spans="1:32">
      <c r="A168" s="324"/>
      <c r="B168" s="244"/>
      <c r="C168" s="294"/>
      <c r="D168" s="235"/>
      <c r="E168" s="294"/>
      <c r="F168" s="235"/>
      <c r="G168" s="324"/>
      <c r="H168" s="324"/>
      <c r="I168" s="324"/>
      <c r="J168" s="324"/>
      <c r="K168" s="324"/>
      <c r="L168" s="377">
        <v>41651</v>
      </c>
      <c r="M168" s="198">
        <v>56.810001</v>
      </c>
      <c r="N168" s="349">
        <f t="shared" si="10"/>
        <v>1.8465435971054767E-2</v>
      </c>
      <c r="O168" s="198">
        <v>1842.369995</v>
      </c>
      <c r="P168" s="349">
        <f t="shared" si="11"/>
        <v>6.0064323593986835E-3</v>
      </c>
      <c r="Q168" s="324"/>
      <c r="R168" s="324"/>
      <c r="S168" s="324"/>
      <c r="T168" s="324"/>
      <c r="U168" s="324"/>
      <c r="V168" s="377">
        <v>42537</v>
      </c>
      <c r="W168" s="198">
        <v>76.970000999999996</v>
      </c>
      <c r="X168" s="349">
        <f t="shared" si="12"/>
        <v>-2.5973503727072522E-4</v>
      </c>
      <c r="Y168" s="198">
        <v>2077.98999</v>
      </c>
      <c r="Z168" s="349">
        <f t="shared" si="13"/>
        <v>3.1329905865316032E-3</v>
      </c>
      <c r="AA168" s="324"/>
      <c r="AB168" s="324"/>
      <c r="AC168" s="324"/>
      <c r="AD168" s="324"/>
      <c r="AE168" s="324"/>
      <c r="AF168" s="324"/>
    </row>
    <row r="169" spans="1:32">
      <c r="A169" s="324"/>
      <c r="B169" s="244"/>
      <c r="C169" s="294"/>
      <c r="D169" s="235"/>
      <c r="E169" s="294"/>
      <c r="F169" s="235"/>
      <c r="G169" s="324"/>
      <c r="H169" s="324"/>
      <c r="I169" s="324"/>
      <c r="J169" s="324"/>
      <c r="K169" s="324"/>
      <c r="L169" s="377">
        <v>41644</v>
      </c>
      <c r="M169" s="198">
        <v>55.779998999999997</v>
      </c>
      <c r="N169" s="349">
        <f t="shared" si="10"/>
        <v>-8.1792849153882186E-3</v>
      </c>
      <c r="O169" s="198">
        <v>1831.369995</v>
      </c>
      <c r="P169" s="349">
        <f t="shared" si="11"/>
        <v>-5.4469582216102319E-3</v>
      </c>
      <c r="Q169" s="324"/>
      <c r="R169" s="324"/>
      <c r="S169" s="324"/>
      <c r="T169" s="324"/>
      <c r="U169" s="324"/>
      <c r="V169" s="377">
        <v>42536</v>
      </c>
      <c r="W169" s="198">
        <v>76.989998</v>
      </c>
      <c r="X169" s="349">
        <f t="shared" si="12"/>
        <v>-2.3325126948947617E-3</v>
      </c>
      <c r="Y169" s="198">
        <v>2071.5</v>
      </c>
      <c r="Z169" s="349">
        <f t="shared" si="13"/>
        <v>-1.8407126972377341E-3</v>
      </c>
      <c r="AA169" s="324"/>
      <c r="AB169" s="324"/>
      <c r="AC169" s="324"/>
      <c r="AD169" s="324"/>
      <c r="AE169" s="324"/>
      <c r="AF169" s="324"/>
    </row>
    <row r="170" spans="1:32">
      <c r="A170" s="324"/>
      <c r="B170" s="244"/>
      <c r="C170" s="294"/>
      <c r="D170" s="235"/>
      <c r="E170" s="294"/>
      <c r="F170" s="235"/>
      <c r="G170" s="324"/>
      <c r="H170" s="324"/>
      <c r="I170" s="324"/>
      <c r="J170" s="324"/>
      <c r="K170" s="324"/>
      <c r="L170" s="377">
        <v>41637</v>
      </c>
      <c r="M170" s="198">
        <v>56.240001999999997</v>
      </c>
      <c r="N170" s="349">
        <f t="shared" si="10"/>
        <v>2.4956150622321704E-3</v>
      </c>
      <c r="O170" s="198">
        <v>1841.400024</v>
      </c>
      <c r="P170" s="349">
        <f t="shared" si="11"/>
        <v>1.269307860301061E-2</v>
      </c>
      <c r="Q170" s="324"/>
      <c r="R170" s="324"/>
      <c r="S170" s="324"/>
      <c r="T170" s="324"/>
      <c r="U170" s="324"/>
      <c r="V170" s="377">
        <v>42535</v>
      </c>
      <c r="W170" s="198">
        <v>77.169998000000007</v>
      </c>
      <c r="X170" s="349">
        <f t="shared" si="12"/>
        <v>3.5110012090768805E-3</v>
      </c>
      <c r="Y170" s="198">
        <v>2075.320068</v>
      </c>
      <c r="Z170" s="349">
        <f t="shared" si="13"/>
        <v>-1.7988855029992257E-3</v>
      </c>
      <c r="AA170" s="324"/>
      <c r="AB170" s="324"/>
      <c r="AC170" s="324"/>
      <c r="AD170" s="324"/>
      <c r="AE170" s="324"/>
      <c r="AF170" s="324"/>
    </row>
    <row r="171" spans="1:32">
      <c r="A171" s="324"/>
      <c r="B171" s="244"/>
      <c r="C171" s="294"/>
      <c r="D171" s="235"/>
      <c r="E171" s="294"/>
      <c r="F171" s="235"/>
      <c r="G171" s="324"/>
      <c r="H171" s="324"/>
      <c r="I171" s="324"/>
      <c r="J171" s="324"/>
      <c r="K171" s="324"/>
      <c r="L171" s="377">
        <v>41630</v>
      </c>
      <c r="M171" s="198">
        <v>56.099997999999999</v>
      </c>
      <c r="N171" s="349">
        <f t="shared" si="10"/>
        <v>0.19948680778276673</v>
      </c>
      <c r="O171" s="198">
        <v>1818.3199460000001</v>
      </c>
      <c r="P171" s="349">
        <f t="shared" si="11"/>
        <v>2.4220986249201992E-2</v>
      </c>
      <c r="Q171" s="324"/>
      <c r="R171" s="324"/>
      <c r="S171" s="324"/>
      <c r="T171" s="324"/>
      <c r="U171" s="324"/>
      <c r="V171" s="377">
        <v>42534</v>
      </c>
      <c r="W171" s="198">
        <v>76.900002000000001</v>
      </c>
      <c r="X171" s="349">
        <f t="shared" si="12"/>
        <v>-2.599584050951842E-4</v>
      </c>
      <c r="Y171" s="198">
        <v>2079.0600589999999</v>
      </c>
      <c r="Z171" s="349">
        <f t="shared" si="13"/>
        <v>-8.1151910232802882E-3</v>
      </c>
      <c r="AA171" s="324"/>
      <c r="AB171" s="324"/>
      <c r="AC171" s="324"/>
      <c r="AD171" s="324"/>
      <c r="AE171" s="324"/>
      <c r="AF171" s="324"/>
    </row>
    <row r="172" spans="1:32">
      <c r="A172" s="324"/>
      <c r="B172" s="244"/>
      <c r="C172" s="294"/>
      <c r="D172" s="235"/>
      <c r="E172" s="294"/>
      <c r="F172" s="235"/>
      <c r="G172" s="324"/>
      <c r="H172" s="324"/>
      <c r="I172" s="324"/>
      <c r="J172" s="324"/>
      <c r="K172" s="324"/>
      <c r="L172" s="377">
        <v>41623</v>
      </c>
      <c r="M172" s="198">
        <v>46.77</v>
      </c>
      <c r="N172" s="349">
        <f t="shared" si="10"/>
        <v>0</v>
      </c>
      <c r="O172" s="198">
        <v>1775.3199460000001</v>
      </c>
      <c r="P172" s="349">
        <f t="shared" si="11"/>
        <v>-1.6492263854288147E-2</v>
      </c>
      <c r="Q172" s="324"/>
      <c r="R172" s="324"/>
      <c r="S172" s="324"/>
      <c r="T172" s="324"/>
      <c r="U172" s="324"/>
      <c r="V172" s="377">
        <v>42531</v>
      </c>
      <c r="W172" s="198">
        <v>76.919998000000007</v>
      </c>
      <c r="X172" s="349">
        <f t="shared" si="12"/>
        <v>-1.6745557327921712E-2</v>
      </c>
      <c r="Y172" s="198">
        <v>2096.070068</v>
      </c>
      <c r="Z172" s="349">
        <f t="shared" si="13"/>
        <v>-9.1751811331252098E-3</v>
      </c>
      <c r="AA172" s="324"/>
      <c r="AB172" s="324"/>
      <c r="AC172" s="324"/>
      <c r="AD172" s="324"/>
      <c r="AE172" s="324"/>
      <c r="AF172" s="324"/>
    </row>
    <row r="173" spans="1:32">
      <c r="A173" s="324"/>
      <c r="B173" s="244"/>
      <c r="C173" s="294"/>
      <c r="D173" s="235"/>
      <c r="E173" s="294"/>
      <c r="F173" s="235"/>
      <c r="G173" s="324"/>
      <c r="H173" s="324"/>
      <c r="I173" s="324"/>
      <c r="J173" s="324"/>
      <c r="K173" s="324"/>
      <c r="L173" s="377">
        <v>41616</v>
      </c>
      <c r="M173" s="198">
        <v>46.77</v>
      </c>
      <c r="N173" s="349">
        <f t="shared" si="10"/>
        <v>-1.7075347580590705E-3</v>
      </c>
      <c r="O173" s="198">
        <v>1805.089966</v>
      </c>
      <c r="P173" s="349">
        <f t="shared" si="11"/>
        <v>-3.9876453030651682E-4</v>
      </c>
      <c r="Q173" s="324"/>
      <c r="R173" s="324"/>
      <c r="S173" s="324"/>
      <c r="T173" s="324"/>
      <c r="U173" s="324"/>
      <c r="V173" s="377">
        <v>42530</v>
      </c>
      <c r="W173" s="198">
        <v>78.230002999999996</v>
      </c>
      <c r="X173" s="349">
        <f t="shared" si="12"/>
        <v>-1.0498292701702328E-2</v>
      </c>
      <c r="Y173" s="198">
        <v>2115.4799800000001</v>
      </c>
      <c r="Z173" s="349">
        <f t="shared" si="13"/>
        <v>-1.717758691825888E-3</v>
      </c>
      <c r="AA173" s="324"/>
      <c r="AB173" s="324"/>
      <c r="AC173" s="324"/>
      <c r="AD173" s="324"/>
      <c r="AE173" s="324"/>
      <c r="AF173" s="324"/>
    </row>
    <row r="174" spans="1:32">
      <c r="A174" s="324"/>
      <c r="B174" s="244"/>
      <c r="C174" s="294"/>
      <c r="D174" s="235"/>
      <c r="E174" s="294"/>
      <c r="F174" s="235"/>
      <c r="G174" s="324"/>
      <c r="H174" s="324"/>
      <c r="I174" s="324"/>
      <c r="J174" s="324"/>
      <c r="K174" s="324"/>
      <c r="L174" s="377">
        <v>41609</v>
      </c>
      <c r="M174" s="198">
        <v>46.849997999999999</v>
      </c>
      <c r="N174" s="349">
        <f t="shared" si="10"/>
        <v>-5.5190616531720638E-3</v>
      </c>
      <c r="O174" s="198">
        <v>1805.8100589999999</v>
      </c>
      <c r="P174" s="349">
        <f t="shared" si="11"/>
        <v>5.8182195648259771E-4</v>
      </c>
      <c r="Q174" s="324"/>
      <c r="R174" s="324"/>
      <c r="S174" s="324"/>
      <c r="T174" s="324"/>
      <c r="U174" s="324"/>
      <c r="V174" s="377">
        <v>42529</v>
      </c>
      <c r="W174" s="198">
        <v>79.059997999999993</v>
      </c>
      <c r="X174" s="349">
        <f t="shared" si="12"/>
        <v>2.4089640265385626E-3</v>
      </c>
      <c r="Y174" s="198">
        <v>2119.1201169999999</v>
      </c>
      <c r="Z174" s="349">
        <f t="shared" si="13"/>
        <v>3.3095663558677657E-3</v>
      </c>
      <c r="AA174" s="324"/>
      <c r="AB174" s="324"/>
      <c r="AC174" s="324"/>
      <c r="AD174" s="324"/>
      <c r="AE174" s="324"/>
      <c r="AF174" s="324"/>
    </row>
    <row r="175" spans="1:32">
      <c r="A175" s="324"/>
      <c r="B175" s="244"/>
      <c r="C175" s="294"/>
      <c r="D175" s="235"/>
      <c r="E175" s="294"/>
      <c r="F175" s="235"/>
      <c r="G175" s="324"/>
      <c r="H175" s="324"/>
      <c r="I175" s="324"/>
      <c r="J175" s="324"/>
      <c r="K175" s="324"/>
      <c r="L175" s="377">
        <v>41602</v>
      </c>
      <c r="M175" s="198">
        <v>47.110000999999997</v>
      </c>
      <c r="N175" s="349">
        <f t="shared" si="10"/>
        <v>2.1237792833872504E-4</v>
      </c>
      <c r="O175" s="198">
        <v>1804.76001</v>
      </c>
      <c r="P175" s="349">
        <f t="shared" si="11"/>
        <v>3.6592308903455883E-3</v>
      </c>
      <c r="Q175" s="324"/>
      <c r="R175" s="324"/>
      <c r="S175" s="324"/>
      <c r="T175" s="324"/>
      <c r="U175" s="324"/>
      <c r="V175" s="377">
        <v>42528</v>
      </c>
      <c r="W175" s="198">
        <v>78.870002999999997</v>
      </c>
      <c r="X175" s="349">
        <f t="shared" si="12"/>
        <v>9.4714709895611371E-3</v>
      </c>
      <c r="Y175" s="198">
        <v>2112.1298830000001</v>
      </c>
      <c r="Z175" s="349">
        <f t="shared" si="13"/>
        <v>1.289446391868454E-3</v>
      </c>
      <c r="AA175" s="324"/>
      <c r="AB175" s="324"/>
      <c r="AC175" s="324"/>
      <c r="AD175" s="324"/>
      <c r="AE175" s="324"/>
      <c r="AF175" s="324"/>
    </row>
    <row r="176" spans="1:32">
      <c r="A176" s="324"/>
      <c r="B176" s="244"/>
      <c r="C176" s="294"/>
      <c r="D176" s="235"/>
      <c r="E176" s="294"/>
      <c r="F176" s="235"/>
      <c r="G176" s="324"/>
      <c r="H176" s="324"/>
      <c r="I176" s="324"/>
      <c r="J176" s="324"/>
      <c r="K176" s="324"/>
      <c r="L176" s="377">
        <v>41595</v>
      </c>
      <c r="M176" s="198">
        <v>47.099997999999999</v>
      </c>
      <c r="N176" s="349">
        <f t="shared" si="10"/>
        <v>8.7257571560480196E-2</v>
      </c>
      <c r="O176" s="198">
        <v>1798.1800539999999</v>
      </c>
      <c r="P176" s="349">
        <f t="shared" si="11"/>
        <v>1.5570944043896695E-2</v>
      </c>
      <c r="Q176" s="324"/>
      <c r="R176" s="324"/>
      <c r="S176" s="324"/>
      <c r="T176" s="324"/>
      <c r="U176" s="324"/>
      <c r="V176" s="377">
        <v>42527</v>
      </c>
      <c r="W176" s="198">
        <v>78.129997000000003</v>
      </c>
      <c r="X176" s="349">
        <f t="shared" si="12"/>
        <v>-8.9514069930196616E-4</v>
      </c>
      <c r="Y176" s="198">
        <v>2109.4099120000001</v>
      </c>
      <c r="Z176" s="349">
        <f t="shared" si="13"/>
        <v>4.8972810511886955E-3</v>
      </c>
      <c r="AA176" s="324"/>
      <c r="AB176" s="324"/>
      <c r="AC176" s="324"/>
      <c r="AD176" s="324"/>
      <c r="AE176" s="324"/>
      <c r="AF176" s="324"/>
    </row>
    <row r="177" spans="1:32">
      <c r="A177" s="324"/>
      <c r="B177" s="244"/>
      <c r="C177" s="294"/>
      <c r="D177" s="235"/>
      <c r="E177" s="294"/>
      <c r="F177" s="235"/>
      <c r="G177" s="324"/>
      <c r="H177" s="324"/>
      <c r="I177" s="324"/>
      <c r="J177" s="324"/>
      <c r="K177" s="324"/>
      <c r="L177" s="377">
        <v>41588</v>
      </c>
      <c r="M177" s="198">
        <v>43.32</v>
      </c>
      <c r="N177" s="349">
        <f t="shared" si="10"/>
        <v>2.0818875780708179E-3</v>
      </c>
      <c r="O177" s="198">
        <v>1770.6099850000001</v>
      </c>
      <c r="P177" s="349">
        <f t="shared" si="11"/>
        <v>5.0918291612489508E-3</v>
      </c>
      <c r="Q177" s="324"/>
      <c r="R177" s="324"/>
      <c r="S177" s="324"/>
      <c r="T177" s="324"/>
      <c r="U177" s="324"/>
      <c r="V177" s="377">
        <v>42524</v>
      </c>
      <c r="W177" s="198">
        <v>78.199996999999996</v>
      </c>
      <c r="X177" s="349">
        <f t="shared" si="12"/>
        <v>-3.8356127891236991E-4</v>
      </c>
      <c r="Y177" s="198">
        <v>2099.1298830000001</v>
      </c>
      <c r="Z177" s="349">
        <f t="shared" si="13"/>
        <v>-2.9118146788909005E-3</v>
      </c>
      <c r="AA177" s="324"/>
      <c r="AB177" s="324"/>
      <c r="AC177" s="324"/>
      <c r="AD177" s="324"/>
      <c r="AE177" s="324"/>
      <c r="AF177" s="324"/>
    </row>
    <row r="178" spans="1:32">
      <c r="A178" s="324"/>
      <c r="B178" s="244"/>
      <c r="C178" s="294"/>
      <c r="D178" s="235"/>
      <c r="E178" s="294"/>
      <c r="F178" s="235"/>
      <c r="G178" s="324"/>
      <c r="H178" s="324"/>
      <c r="I178" s="324"/>
      <c r="J178" s="324"/>
      <c r="K178" s="324"/>
      <c r="L178" s="377">
        <v>41581</v>
      </c>
      <c r="M178" s="198">
        <v>43.23</v>
      </c>
      <c r="N178" s="349">
        <f t="shared" si="10"/>
        <v>-3.9170965936822233E-3</v>
      </c>
      <c r="O178" s="198">
        <v>1761.6400149999999</v>
      </c>
      <c r="P178" s="349">
        <f t="shared" si="11"/>
        <v>1.0626360142218516E-3</v>
      </c>
      <c r="Q178" s="324"/>
      <c r="R178" s="324"/>
      <c r="S178" s="324"/>
      <c r="T178" s="324"/>
      <c r="U178" s="324"/>
      <c r="V178" s="377">
        <v>42523</v>
      </c>
      <c r="W178" s="198">
        <v>78.230002999999996</v>
      </c>
      <c r="X178" s="349">
        <f t="shared" si="12"/>
        <v>1.059293318212462E-2</v>
      </c>
      <c r="Y178" s="198">
        <v>2105.26001</v>
      </c>
      <c r="Z178" s="349">
        <f t="shared" si="13"/>
        <v>2.8246782448091423E-3</v>
      </c>
      <c r="AA178" s="324"/>
      <c r="AB178" s="324"/>
      <c r="AC178" s="324"/>
      <c r="AD178" s="324"/>
      <c r="AE178" s="324"/>
      <c r="AF178" s="324"/>
    </row>
    <row r="179" spans="1:32">
      <c r="A179" s="324"/>
      <c r="B179" s="244"/>
      <c r="C179" s="294"/>
      <c r="D179" s="235"/>
      <c r="E179" s="294"/>
      <c r="F179" s="235"/>
      <c r="G179" s="324"/>
      <c r="H179" s="324"/>
      <c r="I179" s="324"/>
      <c r="J179" s="324"/>
      <c r="K179" s="324"/>
      <c r="L179" s="377">
        <v>41574</v>
      </c>
      <c r="M179" s="198">
        <v>43.400002000000001</v>
      </c>
      <c r="N179" s="349">
        <f t="shared" si="10"/>
        <v>2.5410255823279382E-3</v>
      </c>
      <c r="O179" s="198">
        <v>1759.7700199999999</v>
      </c>
      <c r="P179" s="349">
        <f t="shared" si="11"/>
        <v>8.7532358842075109E-3</v>
      </c>
      <c r="Q179" s="324"/>
      <c r="R179" s="324"/>
      <c r="S179" s="324"/>
      <c r="T179" s="324"/>
      <c r="U179" s="324"/>
      <c r="V179" s="377">
        <v>42522</v>
      </c>
      <c r="W179" s="198">
        <v>77.410004000000001</v>
      </c>
      <c r="X179" s="349">
        <f t="shared" si="12"/>
        <v>-6.4542990763527541E-4</v>
      </c>
      <c r="Y179" s="198">
        <v>2099.330078</v>
      </c>
      <c r="Z179" s="349">
        <f t="shared" si="13"/>
        <v>1.1350423498972528E-3</v>
      </c>
      <c r="AA179" s="324"/>
      <c r="AB179" s="324"/>
      <c r="AC179" s="324"/>
      <c r="AD179" s="324"/>
      <c r="AE179" s="324"/>
      <c r="AF179" s="324"/>
    </row>
    <row r="180" spans="1:32">
      <c r="A180" s="324"/>
      <c r="B180" s="244"/>
      <c r="C180" s="294"/>
      <c r="D180" s="235"/>
      <c r="E180" s="294"/>
      <c r="F180" s="235"/>
      <c r="G180" s="324"/>
      <c r="H180" s="324"/>
      <c r="I180" s="324"/>
      <c r="J180" s="324"/>
      <c r="K180" s="324"/>
      <c r="L180" s="377">
        <v>41567</v>
      </c>
      <c r="M180" s="198">
        <v>43.290000999999997</v>
      </c>
      <c r="N180" s="349">
        <f t="shared" si="10"/>
        <v>1.0976202709014338E-2</v>
      </c>
      <c r="O180" s="198">
        <v>1744.5</v>
      </c>
      <c r="P180" s="349">
        <f t="shared" si="11"/>
        <v>2.4248502928708726E-2</v>
      </c>
      <c r="Q180" s="324"/>
      <c r="R180" s="324"/>
      <c r="S180" s="324"/>
      <c r="T180" s="324"/>
      <c r="U180" s="324"/>
      <c r="V180" s="377">
        <v>42521</v>
      </c>
      <c r="W180" s="198">
        <v>77.459998999999996</v>
      </c>
      <c r="X180" s="349">
        <f t="shared" si="12"/>
        <v>1.2284396717893165E-2</v>
      </c>
      <c r="Y180" s="198">
        <v>2096.9499510000001</v>
      </c>
      <c r="Z180" s="349">
        <f t="shared" si="13"/>
        <v>-1.0052632800822137E-3</v>
      </c>
      <c r="AA180" s="324"/>
      <c r="AB180" s="324"/>
      <c r="AC180" s="324"/>
      <c r="AD180" s="324"/>
      <c r="AE180" s="324"/>
      <c r="AF180" s="324"/>
    </row>
    <row r="181" spans="1:32">
      <c r="A181" s="324"/>
      <c r="B181" s="244"/>
      <c r="C181" s="294"/>
      <c r="D181" s="235"/>
      <c r="E181" s="294"/>
      <c r="F181" s="235"/>
      <c r="G181" s="324"/>
      <c r="H181" s="324"/>
      <c r="I181" s="324"/>
      <c r="J181" s="324"/>
      <c r="K181" s="324"/>
      <c r="L181" s="377">
        <v>41560</v>
      </c>
      <c r="M181" s="198">
        <v>42.82</v>
      </c>
      <c r="N181" s="349">
        <f t="shared" si="10"/>
        <v>-4.9500533840189376E-2</v>
      </c>
      <c r="O181" s="198">
        <v>1703.1999510000001</v>
      </c>
      <c r="P181" s="349">
        <f t="shared" si="11"/>
        <v>7.5125412599823527E-3</v>
      </c>
      <c r="Q181" s="324"/>
      <c r="R181" s="324"/>
      <c r="S181" s="324"/>
      <c r="T181" s="324"/>
      <c r="U181" s="324"/>
      <c r="V181" s="377">
        <v>42517</v>
      </c>
      <c r="W181" s="198">
        <v>76.519997000000004</v>
      </c>
      <c r="X181" s="349">
        <f t="shared" si="12"/>
        <v>3.9359222784582926E-3</v>
      </c>
      <c r="Y181" s="198">
        <v>2099.0600589999999</v>
      </c>
      <c r="Z181" s="349">
        <f t="shared" si="13"/>
        <v>4.2868573656227316E-3</v>
      </c>
      <c r="AA181" s="324"/>
      <c r="AB181" s="324"/>
      <c r="AC181" s="324"/>
      <c r="AD181" s="324"/>
      <c r="AE181" s="324"/>
      <c r="AF181" s="324"/>
    </row>
    <row r="182" spans="1:32">
      <c r="A182" s="324"/>
      <c r="B182" s="244"/>
      <c r="C182" s="294"/>
      <c r="D182" s="235"/>
      <c r="E182" s="294"/>
      <c r="F182" s="235"/>
      <c r="G182" s="324"/>
      <c r="H182" s="324"/>
      <c r="I182" s="324"/>
      <c r="J182" s="324"/>
      <c r="K182" s="324"/>
      <c r="L182" s="377">
        <v>41553</v>
      </c>
      <c r="M182" s="198">
        <v>45.049999</v>
      </c>
      <c r="N182" s="349">
        <f t="shared" si="10"/>
        <v>-1.9586550172218775E-2</v>
      </c>
      <c r="O182" s="198">
        <v>1690.5</v>
      </c>
      <c r="P182" s="349">
        <f t="shared" si="11"/>
        <v>-7.388798581350331E-4</v>
      </c>
      <c r="Q182" s="324"/>
      <c r="R182" s="324"/>
      <c r="S182" s="324"/>
      <c r="T182" s="324"/>
      <c r="U182" s="324"/>
      <c r="V182" s="377">
        <v>42516</v>
      </c>
      <c r="W182" s="198">
        <v>76.220000999999996</v>
      </c>
      <c r="X182" s="349">
        <f t="shared" si="12"/>
        <v>-6.2580967245670083E-3</v>
      </c>
      <c r="Y182" s="198">
        <v>2090.1000979999999</v>
      </c>
      <c r="Z182" s="349">
        <f t="shared" si="13"/>
        <v>-2.1044370918177346E-4</v>
      </c>
      <c r="AA182" s="324"/>
      <c r="AB182" s="324"/>
      <c r="AC182" s="324"/>
      <c r="AD182" s="324"/>
      <c r="AE182" s="324"/>
      <c r="AF182" s="324"/>
    </row>
    <row r="183" spans="1:32">
      <c r="A183" s="324"/>
      <c r="B183" s="244"/>
      <c r="C183" s="294"/>
      <c r="D183" s="235"/>
      <c r="E183" s="294"/>
      <c r="F183" s="235"/>
      <c r="G183" s="324"/>
      <c r="H183" s="324"/>
      <c r="I183" s="324"/>
      <c r="J183" s="324"/>
      <c r="K183" s="324"/>
      <c r="L183" s="377">
        <v>41546</v>
      </c>
      <c r="M183" s="198">
        <v>45.950001</v>
      </c>
      <c r="N183" s="349">
        <f t="shared" si="10"/>
        <v>-0.13660277834267609</v>
      </c>
      <c r="O183" s="198">
        <v>1691.75</v>
      </c>
      <c r="P183" s="349">
        <f t="shared" si="11"/>
        <v>-1.0620461684477167E-2</v>
      </c>
      <c r="Q183" s="324"/>
      <c r="R183" s="324"/>
      <c r="S183" s="324"/>
      <c r="T183" s="324"/>
      <c r="U183" s="324"/>
      <c r="V183" s="377">
        <v>42515</v>
      </c>
      <c r="W183" s="198">
        <v>76.699996999999996</v>
      </c>
      <c r="X183" s="349">
        <f t="shared" si="12"/>
        <v>3.7952229396558401E-3</v>
      </c>
      <c r="Y183" s="198">
        <v>2090.540039</v>
      </c>
      <c r="Z183" s="349">
        <f t="shared" si="13"/>
        <v>6.974740416216374E-3</v>
      </c>
      <c r="AA183" s="324"/>
      <c r="AB183" s="324"/>
      <c r="AC183" s="324"/>
      <c r="AD183" s="324"/>
      <c r="AE183" s="324"/>
      <c r="AF183" s="324"/>
    </row>
    <row r="184" spans="1:32">
      <c r="A184" s="324"/>
      <c r="B184" s="244"/>
      <c r="C184" s="294"/>
      <c r="D184" s="235"/>
      <c r="E184" s="294"/>
      <c r="F184" s="235"/>
      <c r="G184" s="324"/>
      <c r="H184" s="324"/>
      <c r="I184" s="324"/>
      <c r="J184" s="324"/>
      <c r="K184" s="324"/>
      <c r="L184" s="377">
        <v>41539</v>
      </c>
      <c r="M184" s="198">
        <v>53.220001000000003</v>
      </c>
      <c r="N184" s="349">
        <f t="shared" si="10"/>
        <v>1.5067728399771108E-2</v>
      </c>
      <c r="O184" s="198">
        <v>1709.910034</v>
      </c>
      <c r="P184" s="349">
        <f t="shared" si="11"/>
        <v>1.2985885064401348E-2</v>
      </c>
      <c r="Q184" s="324"/>
      <c r="R184" s="324"/>
      <c r="S184" s="324"/>
      <c r="T184" s="324"/>
      <c r="U184" s="324"/>
      <c r="V184" s="377">
        <v>42514</v>
      </c>
      <c r="W184" s="198">
        <v>76.410004000000001</v>
      </c>
      <c r="X184" s="349">
        <f t="shared" si="12"/>
        <v>2.1524076676841863E-2</v>
      </c>
      <c r="Y184" s="198">
        <v>2076.0600589999999</v>
      </c>
      <c r="Z184" s="349">
        <f t="shared" si="13"/>
        <v>1.3681382915580853E-2</v>
      </c>
      <c r="AA184" s="324"/>
      <c r="AB184" s="324"/>
      <c r="AC184" s="324"/>
      <c r="AD184" s="324"/>
      <c r="AE184" s="324"/>
      <c r="AF184" s="324"/>
    </row>
    <row r="185" spans="1:32">
      <c r="A185" s="324"/>
      <c r="B185" s="244"/>
      <c r="C185" s="294"/>
      <c r="D185" s="235"/>
      <c r="E185" s="294"/>
      <c r="F185" s="235"/>
      <c r="G185" s="324"/>
      <c r="H185" s="324"/>
      <c r="I185" s="324"/>
      <c r="J185" s="324"/>
      <c r="K185" s="324"/>
      <c r="L185" s="377">
        <v>41532</v>
      </c>
      <c r="M185" s="198">
        <v>52.43</v>
      </c>
      <c r="N185" s="349">
        <f t="shared" si="10"/>
        <v>2.6831158894806917E-2</v>
      </c>
      <c r="O185" s="198">
        <v>1687.98999</v>
      </c>
      <c r="P185" s="349">
        <f t="shared" si="11"/>
        <v>1.9828745764806754E-2</v>
      </c>
      <c r="Q185" s="324"/>
      <c r="R185" s="324"/>
      <c r="S185" s="324"/>
      <c r="T185" s="324"/>
      <c r="U185" s="324"/>
      <c r="V185" s="377">
        <v>42513</v>
      </c>
      <c r="W185" s="198">
        <v>74.800003000000004</v>
      </c>
      <c r="X185" s="349">
        <f t="shared" si="12"/>
        <v>2.2276958378487199E-2</v>
      </c>
      <c r="Y185" s="198">
        <v>2048.040039</v>
      </c>
      <c r="Z185" s="349">
        <f t="shared" si="13"/>
        <v>-2.0854588262010365E-3</v>
      </c>
      <c r="AA185" s="324"/>
      <c r="AB185" s="324"/>
      <c r="AC185" s="324"/>
      <c r="AD185" s="324"/>
      <c r="AE185" s="324"/>
      <c r="AF185" s="324"/>
    </row>
    <row r="186" spans="1:32">
      <c r="A186" s="324"/>
      <c r="B186" s="244"/>
      <c r="C186" s="294"/>
      <c r="D186" s="235"/>
      <c r="E186" s="294"/>
      <c r="F186" s="235"/>
      <c r="G186" s="324"/>
      <c r="H186" s="324"/>
      <c r="I186" s="324"/>
      <c r="J186" s="324"/>
      <c r="K186" s="324"/>
      <c r="L186" s="377">
        <v>41525</v>
      </c>
      <c r="M186" s="198">
        <v>51.060001</v>
      </c>
      <c r="N186" s="349">
        <f t="shared" si="10"/>
        <v>1.0688855898653982E-2</v>
      </c>
      <c r="O186" s="198">
        <v>1655.170044</v>
      </c>
      <c r="P186" s="349">
        <f t="shared" si="11"/>
        <v>1.359490584288281E-2</v>
      </c>
      <c r="Q186" s="324"/>
      <c r="R186" s="324"/>
      <c r="S186" s="324"/>
      <c r="T186" s="324"/>
      <c r="U186" s="324"/>
      <c r="V186" s="377">
        <v>42510</v>
      </c>
      <c r="W186" s="198">
        <v>73.169998000000007</v>
      </c>
      <c r="X186" s="349">
        <f t="shared" si="12"/>
        <v>1.0077249859821835E-2</v>
      </c>
      <c r="Y186" s="198">
        <v>2052.320068</v>
      </c>
      <c r="Z186" s="349">
        <f t="shared" si="13"/>
        <v>6.0195039142563189E-3</v>
      </c>
      <c r="AA186" s="324"/>
      <c r="AB186" s="324"/>
      <c r="AC186" s="324"/>
      <c r="AD186" s="324"/>
      <c r="AE186" s="324"/>
      <c r="AF186" s="324"/>
    </row>
    <row r="187" spans="1:32">
      <c r="A187" s="324"/>
      <c r="B187" s="244"/>
      <c r="C187" s="294"/>
      <c r="D187" s="235"/>
      <c r="E187" s="294"/>
      <c r="F187" s="235"/>
      <c r="G187" s="324"/>
      <c r="H187" s="324"/>
      <c r="I187" s="324"/>
      <c r="J187" s="324"/>
      <c r="K187" s="324"/>
      <c r="L187" s="377">
        <v>41518</v>
      </c>
      <c r="M187" s="198">
        <v>50.52</v>
      </c>
      <c r="N187" s="349">
        <f t="shared" si="10"/>
        <v>-2.0360674810936508E-2</v>
      </c>
      <c r="O187" s="198">
        <v>1632.969971</v>
      </c>
      <c r="P187" s="349">
        <f t="shared" si="11"/>
        <v>-1.8352887886985303E-2</v>
      </c>
      <c r="Q187" s="324"/>
      <c r="R187" s="324"/>
      <c r="S187" s="324"/>
      <c r="T187" s="324"/>
      <c r="U187" s="324"/>
      <c r="V187" s="377">
        <v>42509</v>
      </c>
      <c r="W187" s="198">
        <v>72.440002000000007</v>
      </c>
      <c r="X187" s="349">
        <f t="shared" si="12"/>
        <v>-7.6712054794519924E-3</v>
      </c>
      <c r="Y187" s="198">
        <v>2040.040039</v>
      </c>
      <c r="Z187" s="349">
        <f t="shared" si="13"/>
        <v>-3.7067077457677566E-3</v>
      </c>
      <c r="AA187" s="324"/>
      <c r="AB187" s="324"/>
      <c r="AC187" s="324"/>
      <c r="AD187" s="324"/>
      <c r="AE187" s="324"/>
      <c r="AF187" s="324"/>
    </row>
    <row r="188" spans="1:32">
      <c r="A188" s="324"/>
      <c r="B188" s="244"/>
      <c r="C188" s="294"/>
      <c r="D188" s="235"/>
      <c r="E188" s="294"/>
      <c r="F188" s="235"/>
      <c r="G188" s="324"/>
      <c r="H188" s="324"/>
      <c r="I188" s="324"/>
      <c r="J188" s="324"/>
      <c r="K188" s="324"/>
      <c r="L188" s="377">
        <v>41511</v>
      </c>
      <c r="M188" s="198">
        <v>51.57</v>
      </c>
      <c r="N188" s="349">
        <f t="shared" si="10"/>
        <v>1.1648612372301415E-3</v>
      </c>
      <c r="O188" s="198">
        <v>1663.5</v>
      </c>
      <c r="P188" s="349">
        <f t="shared" si="11"/>
        <v>4.6321447273054428E-3</v>
      </c>
      <c r="Q188" s="324"/>
      <c r="R188" s="324"/>
      <c r="S188" s="324"/>
      <c r="T188" s="324"/>
      <c r="U188" s="324"/>
      <c r="V188" s="377">
        <v>42508</v>
      </c>
      <c r="W188" s="198">
        <v>73</v>
      </c>
      <c r="X188" s="349">
        <f t="shared" si="12"/>
        <v>7.7305077931939525E-3</v>
      </c>
      <c r="Y188" s="198">
        <v>2047.630005</v>
      </c>
      <c r="Z188" s="349">
        <f t="shared" si="13"/>
        <v>2.0517875938574903E-4</v>
      </c>
      <c r="AA188" s="324"/>
      <c r="AB188" s="324"/>
      <c r="AC188" s="324"/>
      <c r="AD188" s="324"/>
      <c r="AE188" s="324"/>
      <c r="AF188" s="324"/>
    </row>
    <row r="189" spans="1:32">
      <c r="A189" s="324"/>
      <c r="B189" s="244"/>
      <c r="C189" s="294"/>
      <c r="D189" s="235"/>
      <c r="E189" s="294"/>
      <c r="F189" s="235"/>
      <c r="G189" s="324"/>
      <c r="H189" s="324"/>
      <c r="I189" s="324"/>
      <c r="J189" s="324"/>
      <c r="K189" s="324"/>
      <c r="L189" s="377">
        <v>41504</v>
      </c>
      <c r="M189" s="198">
        <v>51.509998000000003</v>
      </c>
      <c r="N189" s="349">
        <f t="shared" si="10"/>
        <v>-1.8109054862925134E-2</v>
      </c>
      <c r="O189" s="198">
        <v>1655.829956</v>
      </c>
      <c r="P189" s="349">
        <f t="shared" si="11"/>
        <v>-2.1041543244239791E-2</v>
      </c>
      <c r="Q189" s="324"/>
      <c r="R189" s="324"/>
      <c r="S189" s="324"/>
      <c r="T189" s="324"/>
      <c r="U189" s="324"/>
      <c r="V189" s="377">
        <v>42507</v>
      </c>
      <c r="W189" s="198">
        <v>72.440002000000007</v>
      </c>
      <c r="X189" s="349">
        <f t="shared" si="12"/>
        <v>-6.5825015519062058E-3</v>
      </c>
      <c r="Y189" s="198">
        <v>2047.209961</v>
      </c>
      <c r="Z189" s="349">
        <f t="shared" si="13"/>
        <v>-9.4112973726661053E-3</v>
      </c>
      <c r="AA189" s="324"/>
      <c r="AB189" s="324"/>
      <c r="AC189" s="324"/>
      <c r="AD189" s="324"/>
      <c r="AE189" s="324"/>
      <c r="AF189" s="324"/>
    </row>
    <row r="190" spans="1:32">
      <c r="A190" s="324"/>
      <c r="B190" s="244"/>
      <c r="C190" s="294"/>
      <c r="D190" s="235"/>
      <c r="E190" s="294"/>
      <c r="F190" s="235"/>
      <c r="G190" s="324"/>
      <c r="H190" s="324"/>
      <c r="I190" s="324"/>
      <c r="J190" s="324"/>
      <c r="K190" s="324"/>
      <c r="L190" s="377">
        <v>41497</v>
      </c>
      <c r="M190" s="198">
        <v>52.459999000000003</v>
      </c>
      <c r="N190" s="349">
        <f t="shared" si="10"/>
        <v>3.8138826051481445E-4</v>
      </c>
      <c r="O190" s="198">
        <v>1691.420044</v>
      </c>
      <c r="P190" s="349">
        <f t="shared" si="11"/>
        <v>-1.067457435079211E-2</v>
      </c>
      <c r="Q190" s="324"/>
      <c r="R190" s="324"/>
      <c r="S190" s="324"/>
      <c r="T190" s="324"/>
      <c r="U190" s="324"/>
      <c r="V190" s="377">
        <v>42506</v>
      </c>
      <c r="W190" s="198">
        <v>72.919998000000007</v>
      </c>
      <c r="X190" s="349">
        <f t="shared" si="12"/>
        <v>1.1934499359825379E-2</v>
      </c>
      <c r="Y190" s="198">
        <v>2066.6599120000001</v>
      </c>
      <c r="Z190" s="349">
        <f t="shared" si="13"/>
        <v>9.7966525849819686E-3</v>
      </c>
      <c r="AA190" s="324"/>
      <c r="AB190" s="324"/>
      <c r="AC190" s="324"/>
      <c r="AD190" s="324"/>
      <c r="AE190" s="324"/>
      <c r="AF190" s="324"/>
    </row>
    <row r="191" spans="1:32">
      <c r="A191" s="324"/>
      <c r="B191" s="244"/>
      <c r="C191" s="294"/>
      <c r="D191" s="235"/>
      <c r="E191" s="294"/>
      <c r="F191" s="235"/>
      <c r="G191" s="324"/>
      <c r="H191" s="324"/>
      <c r="I191" s="324"/>
      <c r="J191" s="324"/>
      <c r="K191" s="324"/>
      <c r="L191" s="377">
        <v>41490</v>
      </c>
      <c r="M191" s="198">
        <v>52.439999</v>
      </c>
      <c r="N191" s="349">
        <f t="shared" si="10"/>
        <v>3.1674147878254955E-2</v>
      </c>
      <c r="O191" s="198">
        <v>1709.670044</v>
      </c>
      <c r="P191" s="349">
        <f t="shared" si="11"/>
        <v>1.0652333369399081E-2</v>
      </c>
      <c r="Q191" s="324"/>
      <c r="R191" s="324"/>
      <c r="S191" s="324"/>
      <c r="T191" s="324"/>
      <c r="U191" s="324"/>
      <c r="V191" s="377">
        <v>42503</v>
      </c>
      <c r="W191" s="198">
        <v>72.059997999999993</v>
      </c>
      <c r="X191" s="349">
        <f t="shared" si="12"/>
        <v>1.8072848602805891E-3</v>
      </c>
      <c r="Y191" s="198">
        <v>2046.6099850000001</v>
      </c>
      <c r="Z191" s="349">
        <f t="shared" si="13"/>
        <v>-8.4782889927489391E-3</v>
      </c>
      <c r="AA191" s="324"/>
      <c r="AB191" s="324"/>
      <c r="AC191" s="324"/>
      <c r="AD191" s="324"/>
      <c r="AE191" s="324"/>
      <c r="AF191" s="324"/>
    </row>
    <row r="192" spans="1:32">
      <c r="A192" s="324"/>
      <c r="B192" s="244"/>
      <c r="C192" s="294"/>
      <c r="D192" s="235"/>
      <c r="E192" s="294"/>
      <c r="F192" s="235"/>
      <c r="G192" s="324"/>
      <c r="H192" s="324"/>
      <c r="I192" s="324"/>
      <c r="J192" s="324"/>
      <c r="K192" s="324"/>
      <c r="L192" s="377">
        <v>41483</v>
      </c>
      <c r="M192" s="198">
        <v>50.830002</v>
      </c>
      <c r="N192" s="349">
        <f t="shared" si="10"/>
        <v>2.936413468278376E-2</v>
      </c>
      <c r="O192" s="198">
        <v>1691.650024</v>
      </c>
      <c r="P192" s="349">
        <f t="shared" si="11"/>
        <v>-2.5999917784513826E-4</v>
      </c>
      <c r="Q192" s="324"/>
      <c r="R192" s="324"/>
      <c r="S192" s="324"/>
      <c r="T192" s="324"/>
      <c r="U192" s="324"/>
      <c r="V192" s="377">
        <v>42502</v>
      </c>
      <c r="W192" s="198">
        <v>71.930000000000007</v>
      </c>
      <c r="X192" s="349">
        <f t="shared" si="12"/>
        <v>-3.0492306847059725E-3</v>
      </c>
      <c r="Y192" s="198">
        <v>2064.110107</v>
      </c>
      <c r="Z192" s="349">
        <f t="shared" si="13"/>
        <v>-1.694651417848414E-4</v>
      </c>
      <c r="AA192" s="324"/>
      <c r="AB192" s="324"/>
      <c r="AC192" s="324"/>
      <c r="AD192" s="324"/>
      <c r="AE192" s="324"/>
      <c r="AF192" s="324"/>
    </row>
    <row r="193" spans="1:32">
      <c r="A193" s="324"/>
      <c r="B193" s="244"/>
      <c r="C193" s="294"/>
      <c r="D193" s="235"/>
      <c r="E193" s="294"/>
      <c r="F193" s="235"/>
      <c r="G193" s="324"/>
      <c r="H193" s="324"/>
      <c r="I193" s="324"/>
      <c r="J193" s="324"/>
      <c r="K193" s="324"/>
      <c r="L193" s="377">
        <v>41476</v>
      </c>
      <c r="M193" s="198">
        <v>49.380001</v>
      </c>
      <c r="N193" s="349">
        <f t="shared" si="10"/>
        <v>-1.7508894449219881E-2</v>
      </c>
      <c r="O193" s="198">
        <v>1692.089966</v>
      </c>
      <c r="P193" s="349">
        <f t="shared" si="11"/>
        <v>7.0825474606266425E-3</v>
      </c>
      <c r="Q193" s="324"/>
      <c r="R193" s="324"/>
      <c r="S193" s="324"/>
      <c r="T193" s="324"/>
      <c r="U193" s="324"/>
      <c r="V193" s="377">
        <v>42501</v>
      </c>
      <c r="W193" s="198">
        <v>72.150002000000001</v>
      </c>
      <c r="X193" s="349">
        <f t="shared" si="12"/>
        <v>-1.2860775091573351E-2</v>
      </c>
      <c r="Y193" s="198">
        <v>2064.459961</v>
      </c>
      <c r="Z193" s="349">
        <f t="shared" si="13"/>
        <v>-9.5615182490236261E-3</v>
      </c>
      <c r="AA193" s="324"/>
      <c r="AB193" s="324"/>
      <c r="AC193" s="324"/>
      <c r="AD193" s="324"/>
      <c r="AE193" s="324"/>
      <c r="AF193" s="324"/>
    </row>
    <row r="194" spans="1:32">
      <c r="A194" s="324"/>
      <c r="B194" s="244"/>
      <c r="C194" s="294"/>
      <c r="D194" s="235"/>
      <c r="E194" s="294"/>
      <c r="F194" s="235"/>
      <c r="G194" s="324"/>
      <c r="H194" s="324"/>
      <c r="I194" s="324"/>
      <c r="J194" s="324"/>
      <c r="K194" s="324"/>
      <c r="L194" s="377">
        <v>41469</v>
      </c>
      <c r="M194" s="198">
        <v>50.259998000000003</v>
      </c>
      <c r="N194" s="349">
        <f t="shared" si="10"/>
        <v>3.971861812163846E-2</v>
      </c>
      <c r="O194" s="198">
        <v>1680.1899410000001</v>
      </c>
      <c r="P194" s="349">
        <f t="shared" si="11"/>
        <v>2.9597537552186193E-2</v>
      </c>
      <c r="Q194" s="324"/>
      <c r="R194" s="324"/>
      <c r="S194" s="324"/>
      <c r="T194" s="324"/>
      <c r="U194" s="324"/>
      <c r="V194" s="377">
        <v>42500</v>
      </c>
      <c r="W194" s="198">
        <v>73.089995999999999</v>
      </c>
      <c r="X194" s="349">
        <f t="shared" si="12"/>
        <v>1.8817926367937776E-2</v>
      </c>
      <c r="Y194" s="198">
        <v>2084.389893</v>
      </c>
      <c r="Z194" s="349">
        <f t="shared" si="13"/>
        <v>1.2483643839788838E-2</v>
      </c>
      <c r="AA194" s="324"/>
      <c r="AB194" s="324"/>
      <c r="AC194" s="324"/>
      <c r="AD194" s="324"/>
      <c r="AE194" s="324"/>
      <c r="AF194" s="324"/>
    </row>
    <row r="195" spans="1:32">
      <c r="A195" s="324"/>
      <c r="B195" s="244"/>
      <c r="C195" s="294"/>
      <c r="D195" s="235"/>
      <c r="E195" s="294"/>
      <c r="F195" s="235"/>
      <c r="G195" s="324"/>
      <c r="H195" s="324"/>
      <c r="I195" s="324"/>
      <c r="J195" s="324"/>
      <c r="K195" s="324"/>
      <c r="L195" s="377">
        <v>41462</v>
      </c>
      <c r="M195" s="198">
        <v>48.34</v>
      </c>
      <c r="N195" s="349">
        <f t="shared" si="10"/>
        <v>1.0874111250522844E-2</v>
      </c>
      <c r="O195" s="198">
        <v>1631.8900149999999</v>
      </c>
      <c r="P195" s="349">
        <f t="shared" si="11"/>
        <v>1.5943662087328336E-2</v>
      </c>
      <c r="Q195" s="324"/>
      <c r="R195" s="324"/>
      <c r="S195" s="324"/>
      <c r="T195" s="324"/>
      <c r="U195" s="324"/>
      <c r="V195" s="377">
        <v>42499</v>
      </c>
      <c r="W195" s="198">
        <v>71.739998</v>
      </c>
      <c r="X195" s="349">
        <f t="shared" si="12"/>
        <v>1.3934197103004919E-4</v>
      </c>
      <c r="Y195" s="198">
        <v>2058.6899410000001</v>
      </c>
      <c r="Z195" s="349">
        <f t="shared" si="13"/>
        <v>7.5349664127100091E-4</v>
      </c>
      <c r="AA195" s="324"/>
      <c r="AB195" s="324"/>
      <c r="AC195" s="324"/>
      <c r="AD195" s="324"/>
      <c r="AE195" s="324"/>
      <c r="AF195" s="324"/>
    </row>
    <row r="196" spans="1:32">
      <c r="A196" s="324"/>
      <c r="B196" s="244"/>
      <c r="C196" s="294"/>
      <c r="D196" s="235"/>
      <c r="E196" s="294"/>
      <c r="F196" s="235"/>
      <c r="G196" s="324"/>
      <c r="H196" s="324"/>
      <c r="I196" s="324"/>
      <c r="J196" s="324"/>
      <c r="K196" s="324"/>
      <c r="L196" s="377">
        <v>41455</v>
      </c>
      <c r="M196" s="198">
        <v>47.82</v>
      </c>
      <c r="N196" s="349">
        <f t="shared" si="10"/>
        <v>2.9494057492054804E-2</v>
      </c>
      <c r="O196" s="198">
        <v>1606.280029</v>
      </c>
      <c r="P196" s="349">
        <f t="shared" si="11"/>
        <v>8.6973835775143726E-3</v>
      </c>
      <c r="Q196" s="324"/>
      <c r="R196" s="324"/>
      <c r="S196" s="324"/>
      <c r="T196" s="324"/>
      <c r="U196" s="324"/>
      <c r="V196" s="377">
        <v>42496</v>
      </c>
      <c r="W196" s="198">
        <v>71.730002999999996</v>
      </c>
      <c r="X196" s="349">
        <f t="shared" si="12"/>
        <v>2.2356154813469864E-3</v>
      </c>
      <c r="Y196" s="198">
        <v>2057.139893</v>
      </c>
      <c r="Z196" s="349">
        <f t="shared" si="13"/>
        <v>3.1746391945073338E-3</v>
      </c>
      <c r="AA196" s="324"/>
      <c r="AB196" s="324"/>
      <c r="AC196" s="324"/>
      <c r="AD196" s="324"/>
      <c r="AE196" s="324"/>
      <c r="AF196" s="324"/>
    </row>
    <row r="197" spans="1:32">
      <c r="A197" s="324"/>
      <c r="B197" s="244"/>
      <c r="C197" s="294"/>
      <c r="D197" s="235"/>
      <c r="E197" s="294"/>
      <c r="F197" s="235"/>
      <c r="G197" s="324"/>
      <c r="H197" s="324"/>
      <c r="I197" s="324"/>
      <c r="J197" s="324"/>
      <c r="K197" s="324"/>
      <c r="L197" s="377">
        <v>41448</v>
      </c>
      <c r="M197" s="198">
        <v>46.450001</v>
      </c>
      <c r="N197" s="349">
        <f t="shared" si="10"/>
        <v>1.3970748439843916E-2</v>
      </c>
      <c r="O197" s="198">
        <v>1592.4300539999999</v>
      </c>
      <c r="P197" s="349">
        <f t="shared" si="11"/>
        <v>-2.1085199401070898E-2</v>
      </c>
      <c r="Q197" s="324"/>
      <c r="R197" s="324"/>
      <c r="S197" s="324"/>
      <c r="T197" s="324"/>
      <c r="U197" s="324"/>
      <c r="V197" s="377">
        <v>42495</v>
      </c>
      <c r="W197" s="198">
        <v>71.569999999999993</v>
      </c>
      <c r="X197" s="349">
        <f t="shared" si="12"/>
        <v>1.6795382090777355E-3</v>
      </c>
      <c r="Y197" s="198">
        <v>2050.6298830000001</v>
      </c>
      <c r="Z197" s="349">
        <f t="shared" si="13"/>
        <v>-2.390079429950287E-4</v>
      </c>
      <c r="AA197" s="324"/>
      <c r="AB197" s="324"/>
      <c r="AC197" s="324"/>
      <c r="AD197" s="324"/>
      <c r="AE197" s="324"/>
      <c r="AF197" s="324"/>
    </row>
    <row r="198" spans="1:32">
      <c r="A198" s="324"/>
      <c r="B198" s="244"/>
      <c r="C198" s="294"/>
      <c r="D198" s="235"/>
      <c r="E198" s="294"/>
      <c r="F198" s="235"/>
      <c r="G198" s="324"/>
      <c r="H198" s="324"/>
      <c r="I198" s="324"/>
      <c r="J198" s="324"/>
      <c r="K198" s="324"/>
      <c r="L198" s="377">
        <v>41441</v>
      </c>
      <c r="M198" s="198">
        <v>45.810001</v>
      </c>
      <c r="N198" s="349">
        <f t="shared" si="10"/>
        <v>-9.2993291825549385E-3</v>
      </c>
      <c r="O198" s="198">
        <v>1626.7299800000001</v>
      </c>
      <c r="P198" s="349">
        <f t="shared" si="11"/>
        <v>-1.0131573311919384E-2</v>
      </c>
      <c r="Q198" s="324"/>
      <c r="R198" s="324"/>
      <c r="S198" s="324"/>
      <c r="T198" s="324"/>
      <c r="U198" s="324"/>
      <c r="V198" s="377">
        <v>42494</v>
      </c>
      <c r="W198" s="198">
        <v>71.449996999999996</v>
      </c>
      <c r="X198" s="349">
        <f t="shared" si="12"/>
        <v>-1.243954422776905E-2</v>
      </c>
      <c r="Y198" s="198">
        <v>2051.1201169999999</v>
      </c>
      <c r="Z198" s="349">
        <f t="shared" si="13"/>
        <v>-5.9368893147540014E-3</v>
      </c>
      <c r="AA198" s="324"/>
      <c r="AB198" s="324"/>
      <c r="AC198" s="324"/>
      <c r="AD198" s="324"/>
      <c r="AE198" s="324"/>
      <c r="AF198" s="324"/>
    </row>
    <row r="199" spans="1:32">
      <c r="A199" s="324"/>
      <c r="B199" s="244"/>
      <c r="C199" s="294"/>
      <c r="D199" s="235"/>
      <c r="E199" s="294"/>
      <c r="F199" s="235"/>
      <c r="G199" s="324"/>
      <c r="H199" s="324"/>
      <c r="I199" s="324"/>
      <c r="J199" s="324"/>
      <c r="K199" s="324"/>
      <c r="L199" s="377">
        <v>41434</v>
      </c>
      <c r="M199" s="198">
        <v>46.240001999999997</v>
      </c>
      <c r="N199" s="349">
        <f t="shared" si="10"/>
        <v>-4.1260584698320502E-2</v>
      </c>
      <c r="O199" s="198">
        <v>1643.380005</v>
      </c>
      <c r="P199" s="349">
        <f t="shared" si="11"/>
        <v>7.7510915765302002E-3</v>
      </c>
      <c r="Q199" s="324"/>
      <c r="R199" s="324"/>
      <c r="S199" s="324"/>
      <c r="T199" s="324"/>
      <c r="U199" s="324"/>
      <c r="V199" s="377">
        <v>42493</v>
      </c>
      <c r="W199" s="198">
        <v>72.349997999999999</v>
      </c>
      <c r="X199" s="349">
        <f t="shared" si="12"/>
        <v>-2.6507023681377695E-2</v>
      </c>
      <c r="Y199" s="198">
        <v>2063.3701169999999</v>
      </c>
      <c r="Z199" s="349">
        <f t="shared" si="13"/>
        <v>-8.6766384601026925E-3</v>
      </c>
      <c r="AA199" s="324"/>
      <c r="AB199" s="324"/>
      <c r="AC199" s="324"/>
      <c r="AD199" s="324"/>
      <c r="AE199" s="324"/>
      <c r="AF199" s="324"/>
    </row>
    <row r="200" spans="1:32">
      <c r="A200" s="324"/>
      <c r="B200" s="244"/>
      <c r="C200" s="294"/>
      <c r="D200" s="235"/>
      <c r="E200" s="294"/>
      <c r="F200" s="235"/>
      <c r="G200" s="324"/>
      <c r="H200" s="324"/>
      <c r="I200" s="324"/>
      <c r="J200" s="324"/>
      <c r="K200" s="324"/>
      <c r="L200" s="377">
        <v>41427</v>
      </c>
      <c r="M200" s="198">
        <v>48.23</v>
      </c>
      <c r="N200" s="349">
        <f t="shared" si="10"/>
        <v>-5.361971319365999E-3</v>
      </c>
      <c r="O200" s="198">
        <v>1630.73999</v>
      </c>
      <c r="P200" s="349">
        <f t="shared" si="11"/>
        <v>-1.1433066364205602E-2</v>
      </c>
      <c r="Q200" s="324"/>
      <c r="R200" s="324"/>
      <c r="S200" s="324"/>
      <c r="T200" s="324"/>
      <c r="U200" s="324"/>
      <c r="V200" s="377">
        <v>42492</v>
      </c>
      <c r="W200" s="198">
        <v>74.319999999999993</v>
      </c>
      <c r="X200" s="349">
        <f t="shared" si="12"/>
        <v>1.2948030000762056E-2</v>
      </c>
      <c r="Y200" s="198">
        <v>2081.429932</v>
      </c>
      <c r="Z200" s="349">
        <f t="shared" si="13"/>
        <v>7.809946553678726E-3</v>
      </c>
      <c r="AA200" s="324"/>
      <c r="AB200" s="324"/>
      <c r="AC200" s="324"/>
      <c r="AD200" s="324"/>
      <c r="AE200" s="324"/>
      <c r="AF200" s="324"/>
    </row>
    <row r="201" spans="1:32">
      <c r="A201" s="324"/>
      <c r="B201" s="244"/>
      <c r="C201" s="294"/>
      <c r="D201" s="235"/>
      <c r="E201" s="294"/>
      <c r="F201" s="235"/>
      <c r="G201" s="324"/>
      <c r="H201" s="324"/>
      <c r="I201" s="324"/>
      <c r="J201" s="324"/>
      <c r="K201" s="324"/>
      <c r="L201" s="377">
        <v>41420</v>
      </c>
      <c r="M201" s="198">
        <v>48.490001999999997</v>
      </c>
      <c r="N201" s="349">
        <f t="shared" ref="N201:N264" si="14">M201/M202-1</f>
        <v>-0.1182033053935877</v>
      </c>
      <c r="O201" s="198">
        <v>1649.599976</v>
      </c>
      <c r="P201" s="349">
        <f t="shared" ref="P201:P264" si="15">O201/O202-1</f>
        <v>-1.0716831673606153E-2</v>
      </c>
      <c r="Q201" s="324"/>
      <c r="R201" s="324"/>
      <c r="S201" s="324"/>
      <c r="T201" s="324"/>
      <c r="U201" s="324"/>
      <c r="V201" s="377">
        <v>42489</v>
      </c>
      <c r="W201" s="198">
        <v>73.370002999999997</v>
      </c>
      <c r="X201" s="349">
        <f t="shared" ref="X201:X264" si="16">W201/W202-1</f>
        <v>-3.6664313371325141E-3</v>
      </c>
      <c r="Y201" s="198">
        <v>2065.3000489999999</v>
      </c>
      <c r="Z201" s="349">
        <f t="shared" ref="Z201:Z264" si="17">Y201/Y202-1</f>
        <v>-5.0630884817385313E-3</v>
      </c>
      <c r="AA201" s="324"/>
      <c r="AB201" s="324"/>
      <c r="AC201" s="324"/>
      <c r="AD201" s="324"/>
      <c r="AE201" s="324"/>
      <c r="AF201" s="324"/>
    </row>
    <row r="202" spans="1:32">
      <c r="A202" s="324"/>
      <c r="B202" s="244"/>
      <c r="C202" s="294"/>
      <c r="D202" s="235"/>
      <c r="E202" s="294"/>
      <c r="F202" s="235"/>
      <c r="G202" s="324"/>
      <c r="H202" s="324"/>
      <c r="I202" s="324"/>
      <c r="J202" s="324"/>
      <c r="K202" s="324"/>
      <c r="L202" s="377">
        <v>41413</v>
      </c>
      <c r="M202" s="198">
        <v>54.990001999999997</v>
      </c>
      <c r="N202" s="349">
        <f t="shared" si="14"/>
        <v>5.9537569960016468E-2</v>
      </c>
      <c r="O202" s="198">
        <v>1667.469971</v>
      </c>
      <c r="P202" s="349">
        <f t="shared" si="15"/>
        <v>2.0670882666874668E-2</v>
      </c>
      <c r="Q202" s="324"/>
      <c r="R202" s="324"/>
      <c r="S202" s="324"/>
      <c r="T202" s="324"/>
      <c r="U202" s="324"/>
      <c r="V202" s="377">
        <v>42488</v>
      </c>
      <c r="W202" s="198">
        <v>73.639999000000003</v>
      </c>
      <c r="X202" s="349">
        <f t="shared" si="16"/>
        <v>-1.0348138134759322E-2</v>
      </c>
      <c r="Y202" s="198">
        <v>2075.8100589999999</v>
      </c>
      <c r="Z202" s="349">
        <f t="shared" si="17"/>
        <v>-9.2307681572276756E-3</v>
      </c>
      <c r="AA202" s="324"/>
      <c r="AB202" s="324"/>
      <c r="AC202" s="324"/>
      <c r="AD202" s="324"/>
      <c r="AE202" s="324"/>
      <c r="AF202" s="324"/>
    </row>
    <row r="203" spans="1:32">
      <c r="A203" s="324"/>
      <c r="B203" s="244"/>
      <c r="C203" s="294"/>
      <c r="D203" s="235"/>
      <c r="E203" s="294"/>
      <c r="F203" s="235"/>
      <c r="G203" s="324"/>
      <c r="H203" s="324"/>
      <c r="I203" s="324"/>
      <c r="J203" s="324"/>
      <c r="K203" s="324"/>
      <c r="L203" s="377">
        <v>41406</v>
      </c>
      <c r="M203" s="198">
        <v>51.900002000000001</v>
      </c>
      <c r="N203" s="349">
        <f t="shared" si="14"/>
        <v>4.5317218718339713E-2</v>
      </c>
      <c r="O203" s="198">
        <v>1633.6999510000001</v>
      </c>
      <c r="P203" s="349">
        <f t="shared" si="15"/>
        <v>1.1942311464512523E-2</v>
      </c>
      <c r="Q203" s="324"/>
      <c r="R203" s="324"/>
      <c r="S203" s="324"/>
      <c r="T203" s="324"/>
      <c r="U203" s="324"/>
      <c r="V203" s="377">
        <v>42487</v>
      </c>
      <c r="W203" s="198">
        <v>74.410004000000001</v>
      </c>
      <c r="X203" s="349">
        <f t="shared" si="16"/>
        <v>-1.0738891414656671E-3</v>
      </c>
      <c r="Y203" s="198">
        <v>2095.1499020000001</v>
      </c>
      <c r="Z203" s="349">
        <f t="shared" si="17"/>
        <v>1.6493527182761536E-3</v>
      </c>
      <c r="AA203" s="324"/>
      <c r="AB203" s="324"/>
      <c r="AC203" s="324"/>
      <c r="AD203" s="324"/>
      <c r="AE203" s="324"/>
      <c r="AF203" s="324"/>
    </row>
    <row r="204" spans="1:32">
      <c r="A204" s="324"/>
      <c r="B204" s="244"/>
      <c r="C204" s="294"/>
      <c r="D204" s="235"/>
      <c r="E204" s="294"/>
      <c r="F204" s="235"/>
      <c r="G204" s="324"/>
      <c r="H204" s="324"/>
      <c r="I204" s="324"/>
      <c r="J204" s="324"/>
      <c r="K204" s="324"/>
      <c r="L204" s="377">
        <v>41399</v>
      </c>
      <c r="M204" s="198">
        <v>49.650002000000001</v>
      </c>
      <c r="N204" s="349">
        <f t="shared" si="14"/>
        <v>2.3078570432280454E-2</v>
      </c>
      <c r="O204" s="198">
        <v>1614.420044</v>
      </c>
      <c r="P204" s="349">
        <f t="shared" si="15"/>
        <v>2.0338288883723576E-2</v>
      </c>
      <c r="Q204" s="324"/>
      <c r="R204" s="324"/>
      <c r="S204" s="324"/>
      <c r="T204" s="324"/>
      <c r="U204" s="324"/>
      <c r="V204" s="377">
        <v>42486</v>
      </c>
      <c r="W204" s="198">
        <v>74.489998</v>
      </c>
      <c r="X204" s="349">
        <f t="shared" si="16"/>
        <v>2.6852423434231554E-4</v>
      </c>
      <c r="Y204" s="198">
        <v>2091.6999510000001</v>
      </c>
      <c r="Z204" s="349">
        <f t="shared" si="17"/>
        <v>1.8727515348586632E-3</v>
      </c>
      <c r="AA204" s="324"/>
      <c r="AB204" s="324"/>
      <c r="AC204" s="324"/>
      <c r="AD204" s="324"/>
      <c r="AE204" s="324"/>
      <c r="AF204" s="324"/>
    </row>
    <row r="205" spans="1:32">
      <c r="A205" s="324"/>
      <c r="B205" s="244"/>
      <c r="C205" s="294"/>
      <c r="D205" s="235"/>
      <c r="E205" s="294"/>
      <c r="F205" s="235"/>
      <c r="G205" s="324"/>
      <c r="H205" s="324"/>
      <c r="I205" s="324"/>
      <c r="J205" s="324"/>
      <c r="K205" s="324"/>
      <c r="L205" s="377">
        <v>41392</v>
      </c>
      <c r="M205" s="198">
        <v>48.529998999999997</v>
      </c>
      <c r="N205" s="349">
        <f t="shared" si="14"/>
        <v>-1.4619309644670175E-2</v>
      </c>
      <c r="O205" s="198">
        <v>1582.23999</v>
      </c>
      <c r="P205" s="349">
        <f t="shared" si="15"/>
        <v>1.7354116701495004E-2</v>
      </c>
      <c r="Q205" s="324"/>
      <c r="R205" s="324"/>
      <c r="S205" s="324"/>
      <c r="T205" s="324"/>
      <c r="U205" s="324"/>
      <c r="V205" s="377">
        <v>42485</v>
      </c>
      <c r="W205" s="198">
        <v>74.470000999999996</v>
      </c>
      <c r="X205" s="349">
        <f t="shared" si="16"/>
        <v>-5.0767803627730368E-3</v>
      </c>
      <c r="Y205" s="198">
        <v>2087.790039</v>
      </c>
      <c r="Z205" s="349">
        <f t="shared" si="17"/>
        <v>-1.8120458498649405E-3</v>
      </c>
      <c r="AA205" s="324"/>
      <c r="AB205" s="324"/>
      <c r="AC205" s="324"/>
      <c r="AD205" s="324"/>
      <c r="AE205" s="324"/>
      <c r="AF205" s="324"/>
    </row>
    <row r="206" spans="1:32">
      <c r="A206" s="324"/>
      <c r="B206" s="244"/>
      <c r="C206" s="294"/>
      <c r="D206" s="235"/>
      <c r="E206" s="294"/>
      <c r="F206" s="235"/>
      <c r="G206" s="324"/>
      <c r="H206" s="324"/>
      <c r="I206" s="324"/>
      <c r="J206" s="324"/>
      <c r="K206" s="324"/>
      <c r="L206" s="377">
        <v>41385</v>
      </c>
      <c r="M206" s="198">
        <v>49.25</v>
      </c>
      <c r="N206" s="349">
        <f t="shared" si="14"/>
        <v>-2.5717092496876259E-2</v>
      </c>
      <c r="O206" s="198">
        <v>1555.25</v>
      </c>
      <c r="P206" s="349">
        <f t="shared" si="15"/>
        <v>-2.1147355954014846E-2</v>
      </c>
      <c r="Q206" s="324"/>
      <c r="R206" s="324"/>
      <c r="S206" s="324"/>
      <c r="T206" s="324"/>
      <c r="U206" s="324"/>
      <c r="V206" s="377">
        <v>42482</v>
      </c>
      <c r="W206" s="198">
        <v>74.849997999999999</v>
      </c>
      <c r="X206" s="349">
        <f t="shared" si="16"/>
        <v>-1.6813333120189178E-2</v>
      </c>
      <c r="Y206" s="198">
        <v>2091.580078</v>
      </c>
      <c r="Z206" s="349">
        <f t="shared" si="17"/>
        <v>4.78598891489046E-5</v>
      </c>
      <c r="AA206" s="324"/>
      <c r="AB206" s="324"/>
      <c r="AC206" s="324"/>
      <c r="AD206" s="324"/>
      <c r="AE206" s="324"/>
      <c r="AF206" s="324"/>
    </row>
    <row r="207" spans="1:32">
      <c r="A207" s="324"/>
      <c r="B207" s="244"/>
      <c r="C207" s="294"/>
      <c r="D207" s="235"/>
      <c r="E207" s="294"/>
      <c r="F207" s="235"/>
      <c r="G207" s="324"/>
      <c r="H207" s="324"/>
      <c r="I207" s="324"/>
      <c r="J207" s="324"/>
      <c r="K207" s="324"/>
      <c r="L207" s="377">
        <v>41378</v>
      </c>
      <c r="M207" s="198">
        <v>50.549999</v>
      </c>
      <c r="N207" s="349">
        <f t="shared" si="14"/>
        <v>6.4883040554391203E-2</v>
      </c>
      <c r="O207" s="198">
        <v>1588.849976</v>
      </c>
      <c r="P207" s="349">
        <f t="shared" si="15"/>
        <v>2.2899893345631916E-2</v>
      </c>
      <c r="Q207" s="324"/>
      <c r="R207" s="324"/>
      <c r="S207" s="324"/>
      <c r="T207" s="324"/>
      <c r="U207" s="324"/>
      <c r="V207" s="377">
        <v>42481</v>
      </c>
      <c r="W207" s="198">
        <v>76.129997000000003</v>
      </c>
      <c r="X207" s="349">
        <f t="shared" si="16"/>
        <v>9.2031293505967504E-4</v>
      </c>
      <c r="Y207" s="198">
        <v>2091.4799800000001</v>
      </c>
      <c r="Z207" s="349">
        <f t="shared" si="17"/>
        <v>-5.1940270685952861E-3</v>
      </c>
      <c r="AA207" s="324"/>
      <c r="AB207" s="324"/>
      <c r="AC207" s="324"/>
      <c r="AD207" s="324"/>
      <c r="AE207" s="324"/>
      <c r="AF207" s="324"/>
    </row>
    <row r="208" spans="1:32">
      <c r="A208" s="324"/>
      <c r="B208" s="244"/>
      <c r="C208" s="294"/>
      <c r="D208" s="235"/>
      <c r="E208" s="294"/>
      <c r="F208" s="235"/>
      <c r="G208" s="324"/>
      <c r="H208" s="324"/>
      <c r="I208" s="324"/>
      <c r="J208" s="324"/>
      <c r="K208" s="324"/>
      <c r="L208" s="377">
        <v>41371</v>
      </c>
      <c r="M208" s="198">
        <v>47.470001000000003</v>
      </c>
      <c r="N208" s="349">
        <f t="shared" si="14"/>
        <v>-6.1115505120342029E-2</v>
      </c>
      <c r="O208" s="198">
        <v>1553.280029</v>
      </c>
      <c r="P208" s="349">
        <f t="shared" si="15"/>
        <v>-1.0138933206429557E-2</v>
      </c>
      <c r="Q208" s="324"/>
      <c r="R208" s="324"/>
      <c r="S208" s="324"/>
      <c r="T208" s="324"/>
      <c r="U208" s="324"/>
      <c r="V208" s="377">
        <v>42480</v>
      </c>
      <c r="W208" s="198">
        <v>76.059997999999993</v>
      </c>
      <c r="X208" s="349">
        <f t="shared" si="16"/>
        <v>1.3592710373231398E-2</v>
      </c>
      <c r="Y208" s="198">
        <v>2102.3999020000001</v>
      </c>
      <c r="Z208" s="349">
        <f t="shared" si="17"/>
        <v>7.6154463189470611E-4</v>
      </c>
      <c r="AA208" s="324"/>
      <c r="AB208" s="324"/>
      <c r="AC208" s="324"/>
      <c r="AD208" s="324"/>
      <c r="AE208" s="324"/>
      <c r="AF208" s="324"/>
    </row>
    <row r="209" spans="1:32">
      <c r="A209" s="324"/>
      <c r="B209" s="244"/>
      <c r="C209" s="294"/>
      <c r="D209" s="235"/>
      <c r="E209" s="294"/>
      <c r="F209" s="235"/>
      <c r="G209" s="324"/>
      <c r="H209" s="324"/>
      <c r="I209" s="324"/>
      <c r="J209" s="324"/>
      <c r="K209" s="324"/>
      <c r="L209" s="377">
        <v>41364</v>
      </c>
      <c r="M209" s="198">
        <v>50.560001</v>
      </c>
      <c r="N209" s="349">
        <f t="shared" si="14"/>
        <v>-4.7243701717395448E-3</v>
      </c>
      <c r="O209" s="198">
        <v>1569.1899410000001</v>
      </c>
      <c r="P209" s="349">
        <f t="shared" si="15"/>
        <v>7.9003178654211137E-3</v>
      </c>
      <c r="Q209" s="324"/>
      <c r="R209" s="324"/>
      <c r="S209" s="324"/>
      <c r="T209" s="324"/>
      <c r="U209" s="324"/>
      <c r="V209" s="377">
        <v>42479</v>
      </c>
      <c r="W209" s="198">
        <v>75.040001000000004</v>
      </c>
      <c r="X209" s="349">
        <f t="shared" si="16"/>
        <v>-5.4340094937311845E-3</v>
      </c>
      <c r="Y209" s="198">
        <v>2100.8000489999999</v>
      </c>
      <c r="Z209" s="349">
        <f t="shared" si="17"/>
        <v>3.0844851975158072E-3</v>
      </c>
      <c r="AA209" s="324"/>
      <c r="AB209" s="324"/>
      <c r="AC209" s="324"/>
      <c r="AD209" s="324"/>
      <c r="AE209" s="324"/>
      <c r="AF209" s="324"/>
    </row>
    <row r="210" spans="1:32">
      <c r="A210" s="324"/>
      <c r="B210" s="244"/>
      <c r="C210" s="294"/>
      <c r="D210" s="235"/>
      <c r="E210" s="294"/>
      <c r="F210" s="235"/>
      <c r="G210" s="324"/>
      <c r="H210" s="324"/>
      <c r="I210" s="324"/>
      <c r="J210" s="324"/>
      <c r="K210" s="324"/>
      <c r="L210" s="377">
        <v>41357</v>
      </c>
      <c r="M210" s="198">
        <v>50.799999</v>
      </c>
      <c r="N210" s="349">
        <f t="shared" si="14"/>
        <v>7.1371928457015787E-3</v>
      </c>
      <c r="O210" s="198">
        <v>1556.8900149999999</v>
      </c>
      <c r="P210" s="349">
        <f t="shared" si="15"/>
        <v>-2.4411713459456807E-3</v>
      </c>
      <c r="Q210" s="324"/>
      <c r="R210" s="324"/>
      <c r="S210" s="324"/>
      <c r="T210" s="324"/>
      <c r="U210" s="324"/>
      <c r="V210" s="377">
        <v>42478</v>
      </c>
      <c r="W210" s="198">
        <v>75.449996999999996</v>
      </c>
      <c r="X210" s="349">
        <f t="shared" si="16"/>
        <v>1.0581207576683127E-2</v>
      </c>
      <c r="Y210" s="198">
        <v>2094.3400879999999</v>
      </c>
      <c r="Z210" s="349">
        <f t="shared" si="17"/>
        <v>6.5410255683440166E-3</v>
      </c>
      <c r="AA210" s="324"/>
      <c r="AB210" s="324"/>
      <c r="AC210" s="324"/>
      <c r="AD210" s="324"/>
      <c r="AE210" s="324"/>
      <c r="AF210" s="324"/>
    </row>
    <row r="211" spans="1:32">
      <c r="A211" s="324"/>
      <c r="B211" s="244"/>
      <c r="C211" s="294"/>
      <c r="D211" s="235"/>
      <c r="E211" s="294"/>
      <c r="F211" s="235"/>
      <c r="G211" s="324"/>
      <c r="H211" s="324"/>
      <c r="I211" s="324"/>
      <c r="J211" s="324"/>
      <c r="K211" s="324"/>
      <c r="L211" s="377">
        <v>41350</v>
      </c>
      <c r="M211" s="198">
        <v>50.439999</v>
      </c>
      <c r="N211" s="349">
        <f t="shared" si="14"/>
        <v>-4.8301905660377398E-2</v>
      </c>
      <c r="O211" s="198">
        <v>1560.6999510000001</v>
      </c>
      <c r="P211" s="349">
        <f t="shared" si="15"/>
        <v>6.1371966300438618E-3</v>
      </c>
      <c r="Q211" s="324"/>
      <c r="R211" s="324"/>
      <c r="S211" s="324"/>
      <c r="T211" s="324"/>
      <c r="U211" s="324"/>
      <c r="V211" s="377">
        <v>42475</v>
      </c>
      <c r="W211" s="198">
        <v>74.660004000000001</v>
      </c>
      <c r="X211" s="349">
        <f t="shared" si="16"/>
        <v>2.8207791600045606E-3</v>
      </c>
      <c r="Y211" s="198">
        <v>2080.7299800000001</v>
      </c>
      <c r="Z211" s="349">
        <f t="shared" si="17"/>
        <v>-9.8428493237678882E-4</v>
      </c>
      <c r="AA211" s="324"/>
      <c r="AB211" s="324"/>
      <c r="AC211" s="324"/>
      <c r="AD211" s="324"/>
      <c r="AE211" s="324"/>
      <c r="AF211" s="324"/>
    </row>
    <row r="212" spans="1:32">
      <c r="A212" s="324"/>
      <c r="B212" s="244"/>
      <c r="C212" s="294"/>
      <c r="D212" s="235"/>
      <c r="E212" s="294"/>
      <c r="F212" s="235"/>
      <c r="G212" s="324"/>
      <c r="H212" s="324"/>
      <c r="I212" s="324"/>
      <c r="J212" s="324"/>
      <c r="K212" s="324"/>
      <c r="L212" s="377">
        <v>41343</v>
      </c>
      <c r="M212" s="198">
        <v>53</v>
      </c>
      <c r="N212" s="349">
        <f t="shared" si="14"/>
        <v>2.7530010564947194E-2</v>
      </c>
      <c r="O212" s="198">
        <v>1551.1800539999999</v>
      </c>
      <c r="P212" s="349">
        <f t="shared" si="15"/>
        <v>2.1723161681224346E-2</v>
      </c>
      <c r="Q212" s="324"/>
      <c r="R212" s="324"/>
      <c r="S212" s="324"/>
      <c r="T212" s="324"/>
      <c r="U212" s="324"/>
      <c r="V212" s="377">
        <v>42474</v>
      </c>
      <c r="W212" s="198">
        <v>74.449996999999996</v>
      </c>
      <c r="X212" s="349">
        <f t="shared" si="16"/>
        <v>5.4016743253877397E-3</v>
      </c>
      <c r="Y212" s="198">
        <v>2082.780029</v>
      </c>
      <c r="Z212" s="349">
        <f t="shared" si="17"/>
        <v>1.7292717774908262E-4</v>
      </c>
      <c r="AA212" s="324"/>
      <c r="AB212" s="324"/>
      <c r="AC212" s="324"/>
      <c r="AD212" s="324"/>
      <c r="AE212" s="324"/>
      <c r="AF212" s="324"/>
    </row>
    <row r="213" spans="1:32">
      <c r="A213" s="324"/>
      <c r="B213" s="244"/>
      <c r="C213" s="294"/>
      <c r="D213" s="235"/>
      <c r="E213" s="294"/>
      <c r="F213" s="235"/>
      <c r="G213" s="324"/>
      <c r="H213" s="324"/>
      <c r="I213" s="324"/>
      <c r="J213" s="324"/>
      <c r="K213" s="324"/>
      <c r="L213" s="377">
        <v>41336</v>
      </c>
      <c r="M213" s="198">
        <v>51.580002</v>
      </c>
      <c r="N213" s="349">
        <f t="shared" si="14"/>
        <v>6.6354408026760847E-3</v>
      </c>
      <c r="O213" s="198">
        <v>1518.1999510000001</v>
      </c>
      <c r="P213" s="349">
        <f t="shared" si="15"/>
        <v>1.7154757463522241E-3</v>
      </c>
      <c r="Q213" s="324"/>
      <c r="R213" s="324"/>
      <c r="S213" s="324"/>
      <c r="T213" s="324"/>
      <c r="U213" s="324"/>
      <c r="V213" s="377">
        <v>42473</v>
      </c>
      <c r="W213" s="198">
        <v>74.050003000000004</v>
      </c>
      <c r="X213" s="349">
        <f t="shared" si="16"/>
        <v>1.983200633752924E-2</v>
      </c>
      <c r="Y213" s="198">
        <v>2082.419922</v>
      </c>
      <c r="Z213" s="349">
        <f t="shared" si="17"/>
        <v>1.0040137017230277E-2</v>
      </c>
      <c r="AA213" s="324"/>
      <c r="AB213" s="324"/>
      <c r="AC213" s="324"/>
      <c r="AD213" s="324"/>
      <c r="AE213" s="324"/>
      <c r="AF213" s="324"/>
    </row>
    <row r="214" spans="1:32">
      <c r="A214" s="324"/>
      <c r="B214" s="244"/>
      <c r="C214" s="294"/>
      <c r="D214" s="235"/>
      <c r="E214" s="294"/>
      <c r="F214" s="235"/>
      <c r="G214" s="324"/>
      <c r="H214" s="324"/>
      <c r="I214" s="324"/>
      <c r="J214" s="324"/>
      <c r="K214" s="324"/>
      <c r="L214" s="377">
        <v>41329</v>
      </c>
      <c r="M214" s="198">
        <v>51.240001999999997</v>
      </c>
      <c r="N214" s="349">
        <f t="shared" si="14"/>
        <v>-4.9879436306323077E-2</v>
      </c>
      <c r="O214" s="198">
        <v>1515.599976</v>
      </c>
      <c r="P214" s="349">
        <f t="shared" si="15"/>
        <v>-2.7570012254830578E-3</v>
      </c>
      <c r="Q214" s="324"/>
      <c r="R214" s="324"/>
      <c r="S214" s="324"/>
      <c r="T214" s="324"/>
      <c r="U214" s="324"/>
      <c r="V214" s="377">
        <v>42472</v>
      </c>
      <c r="W214" s="198">
        <v>72.610000999999997</v>
      </c>
      <c r="X214" s="349">
        <f t="shared" si="16"/>
        <v>-3.157537240941144E-3</v>
      </c>
      <c r="Y214" s="198">
        <v>2061.719971</v>
      </c>
      <c r="Z214" s="349">
        <f t="shared" si="17"/>
        <v>9.6621340440556924E-3</v>
      </c>
      <c r="AA214" s="324"/>
      <c r="AB214" s="324"/>
      <c r="AC214" s="324"/>
      <c r="AD214" s="324"/>
      <c r="AE214" s="324"/>
      <c r="AF214" s="324"/>
    </row>
    <row r="215" spans="1:32">
      <c r="A215" s="324"/>
      <c r="B215" s="244"/>
      <c r="C215" s="294"/>
      <c r="D215" s="235"/>
      <c r="E215" s="294"/>
      <c r="F215" s="235"/>
      <c r="G215" s="324"/>
      <c r="H215" s="324"/>
      <c r="I215" s="324"/>
      <c r="J215" s="324"/>
      <c r="K215" s="324"/>
      <c r="L215" s="377">
        <v>41322</v>
      </c>
      <c r="M215" s="198">
        <v>53.93</v>
      </c>
      <c r="N215" s="349">
        <f t="shared" si="14"/>
        <v>-1.8740884620467413E-2</v>
      </c>
      <c r="O215" s="198">
        <v>1519.790039</v>
      </c>
      <c r="P215" s="349">
        <f t="shared" si="15"/>
        <v>1.2253430222946005E-3</v>
      </c>
      <c r="Q215" s="324"/>
      <c r="R215" s="324"/>
      <c r="S215" s="324"/>
      <c r="T215" s="324"/>
      <c r="U215" s="324"/>
      <c r="V215" s="377">
        <v>42471</v>
      </c>
      <c r="W215" s="198">
        <v>72.839995999999999</v>
      </c>
      <c r="X215" s="349">
        <f t="shared" si="16"/>
        <v>-1.3008224403459723E-2</v>
      </c>
      <c r="Y215" s="198">
        <v>2041.98999</v>
      </c>
      <c r="Z215" s="349">
        <f t="shared" si="17"/>
        <v>-2.7397861231465148E-3</v>
      </c>
      <c r="AA215" s="324"/>
      <c r="AB215" s="324"/>
      <c r="AC215" s="324"/>
      <c r="AD215" s="324"/>
      <c r="AE215" s="324"/>
      <c r="AF215" s="324"/>
    </row>
    <row r="216" spans="1:32">
      <c r="A216" s="324"/>
      <c r="B216" s="244"/>
      <c r="C216" s="294"/>
      <c r="D216" s="235"/>
      <c r="E216" s="294"/>
      <c r="F216" s="235"/>
      <c r="G216" s="324"/>
      <c r="H216" s="324"/>
      <c r="I216" s="324"/>
      <c r="J216" s="324"/>
      <c r="K216" s="324"/>
      <c r="L216" s="377">
        <v>41315</v>
      </c>
      <c r="M216" s="198">
        <v>54.959999000000003</v>
      </c>
      <c r="N216" s="349">
        <f t="shared" si="14"/>
        <v>-3.4094954864852145E-2</v>
      </c>
      <c r="O216" s="198">
        <v>1517.9300539999999</v>
      </c>
      <c r="P216" s="349">
        <f t="shared" si="15"/>
        <v>3.1457204818945428E-3</v>
      </c>
      <c r="Q216" s="324"/>
      <c r="R216" s="324"/>
      <c r="S216" s="324"/>
      <c r="T216" s="324"/>
      <c r="U216" s="324"/>
      <c r="V216" s="377">
        <v>42468</v>
      </c>
      <c r="W216" s="198">
        <v>73.800003000000004</v>
      </c>
      <c r="X216" s="349">
        <f t="shared" si="16"/>
        <v>2.444987675428445E-3</v>
      </c>
      <c r="Y216" s="198">
        <v>2047.599976</v>
      </c>
      <c r="Z216" s="349">
        <f t="shared" si="17"/>
        <v>2.7865782063147826E-3</v>
      </c>
      <c r="AA216" s="324"/>
      <c r="AB216" s="324"/>
      <c r="AC216" s="324"/>
      <c r="AD216" s="324"/>
      <c r="AE216" s="324"/>
      <c r="AF216" s="324"/>
    </row>
    <row r="217" spans="1:32">
      <c r="A217" s="324"/>
      <c r="B217" s="244"/>
      <c r="C217" s="294"/>
      <c r="D217" s="235"/>
      <c r="E217" s="294"/>
      <c r="F217" s="235"/>
      <c r="G217" s="324"/>
      <c r="H217" s="324"/>
      <c r="I217" s="324"/>
      <c r="J217" s="324"/>
      <c r="K217" s="324"/>
      <c r="L217" s="377">
        <v>41308</v>
      </c>
      <c r="M217" s="198">
        <v>56.900002000000001</v>
      </c>
      <c r="N217" s="349">
        <f t="shared" si="14"/>
        <v>1.5165085016326296E-2</v>
      </c>
      <c r="O217" s="198">
        <v>1513.170044</v>
      </c>
      <c r="P217" s="349">
        <f t="shared" si="15"/>
        <v>6.7933166983413784E-3</v>
      </c>
      <c r="Q217" s="324"/>
      <c r="R217" s="324"/>
      <c r="S217" s="324"/>
      <c r="T217" s="324"/>
      <c r="U217" s="324"/>
      <c r="V217" s="377">
        <v>42467</v>
      </c>
      <c r="W217" s="198">
        <v>73.620002999999997</v>
      </c>
      <c r="X217" s="349">
        <f t="shared" si="16"/>
        <v>-1.5117016722408061E-2</v>
      </c>
      <c r="Y217" s="198">
        <v>2041.910034</v>
      </c>
      <c r="Z217" s="349">
        <f t="shared" si="17"/>
        <v>-1.1975786560861179E-2</v>
      </c>
      <c r="AA217" s="324"/>
      <c r="AB217" s="324"/>
      <c r="AC217" s="324"/>
      <c r="AD217" s="324"/>
      <c r="AE217" s="324"/>
      <c r="AF217" s="324"/>
    </row>
    <row r="218" spans="1:32">
      <c r="A218" s="324"/>
      <c r="B218" s="244"/>
      <c r="C218" s="294"/>
      <c r="D218" s="235"/>
      <c r="E218" s="294"/>
      <c r="F218" s="235"/>
      <c r="G218" s="324"/>
      <c r="H218" s="324"/>
      <c r="I218" s="324"/>
      <c r="J218" s="324"/>
      <c r="K218" s="324"/>
      <c r="L218" s="377">
        <v>41301</v>
      </c>
      <c r="M218" s="198">
        <v>56.049999</v>
      </c>
      <c r="N218" s="349">
        <f t="shared" si="14"/>
        <v>3.5087662600640224E-2</v>
      </c>
      <c r="O218" s="198">
        <v>1502.959961</v>
      </c>
      <c r="P218" s="349">
        <f t="shared" si="15"/>
        <v>1.1426789881785693E-2</v>
      </c>
      <c r="Q218" s="324"/>
      <c r="R218" s="324"/>
      <c r="S218" s="324"/>
      <c r="T218" s="324"/>
      <c r="U218" s="324"/>
      <c r="V218" s="377">
        <v>42466</v>
      </c>
      <c r="W218" s="198">
        <v>74.75</v>
      </c>
      <c r="X218" s="349">
        <f t="shared" si="16"/>
        <v>9.3167974430679035E-3</v>
      </c>
      <c r="Y218" s="198">
        <v>2066.6599120000001</v>
      </c>
      <c r="Z218" s="349">
        <f t="shared" si="17"/>
        <v>1.0507619189438877E-2</v>
      </c>
      <c r="AA218" s="324"/>
      <c r="AB218" s="324"/>
      <c r="AC218" s="324"/>
      <c r="AD218" s="324"/>
      <c r="AE218" s="324"/>
      <c r="AF218" s="324"/>
    </row>
    <row r="219" spans="1:32">
      <c r="A219" s="324"/>
      <c r="B219" s="244"/>
      <c r="C219" s="294"/>
      <c r="D219" s="235"/>
      <c r="E219" s="294"/>
      <c r="F219" s="235"/>
      <c r="G219" s="324"/>
      <c r="H219" s="324"/>
      <c r="I219" s="324"/>
      <c r="J219" s="324"/>
      <c r="K219" s="324"/>
      <c r="L219" s="377">
        <v>41294</v>
      </c>
      <c r="M219" s="198">
        <v>54.150002000000001</v>
      </c>
      <c r="N219" s="349">
        <f t="shared" si="14"/>
        <v>-5.5096234066185357E-3</v>
      </c>
      <c r="O219" s="198">
        <v>1485.9799800000001</v>
      </c>
      <c r="P219" s="349">
        <f t="shared" si="15"/>
        <v>9.4629465957785097E-3</v>
      </c>
      <c r="Q219" s="324"/>
      <c r="R219" s="324"/>
      <c r="S219" s="324"/>
      <c r="T219" s="324"/>
      <c r="U219" s="324"/>
      <c r="V219" s="377">
        <v>42465</v>
      </c>
      <c r="W219" s="198">
        <v>74.059997999999993</v>
      </c>
      <c r="X219" s="349">
        <f t="shared" si="16"/>
        <v>-1.6206177154704959E-2</v>
      </c>
      <c r="Y219" s="198">
        <v>2045.170044</v>
      </c>
      <c r="Z219" s="349">
        <f t="shared" si="17"/>
        <v>-1.0144492450574583E-2</v>
      </c>
      <c r="AA219" s="324"/>
      <c r="AB219" s="324"/>
      <c r="AC219" s="324"/>
      <c r="AD219" s="324"/>
      <c r="AE219" s="324"/>
      <c r="AF219" s="324"/>
    </row>
    <row r="220" spans="1:32">
      <c r="A220" s="324"/>
      <c r="B220" s="244"/>
      <c r="C220" s="294"/>
      <c r="D220" s="235"/>
      <c r="E220" s="294"/>
      <c r="F220" s="235"/>
      <c r="G220" s="324"/>
      <c r="H220" s="324"/>
      <c r="I220" s="324"/>
      <c r="J220" s="324"/>
      <c r="K220" s="324"/>
      <c r="L220" s="377">
        <v>41287</v>
      </c>
      <c r="M220" s="198">
        <v>54.450001</v>
      </c>
      <c r="N220" s="349">
        <f t="shared" si="14"/>
        <v>3.686654377880183E-3</v>
      </c>
      <c r="O220" s="198">
        <v>1472.0500489999999</v>
      </c>
      <c r="P220" s="349">
        <f t="shared" si="15"/>
        <v>3.8051089421182738E-3</v>
      </c>
      <c r="Q220" s="324"/>
      <c r="R220" s="324"/>
      <c r="S220" s="324"/>
      <c r="T220" s="324"/>
      <c r="U220" s="324"/>
      <c r="V220" s="377">
        <v>42464</v>
      </c>
      <c r="W220" s="198">
        <v>75.279999000000004</v>
      </c>
      <c r="X220" s="349">
        <f t="shared" si="16"/>
        <v>-3.1779397448863378E-3</v>
      </c>
      <c r="Y220" s="198">
        <v>2066.1298830000001</v>
      </c>
      <c r="Z220" s="349">
        <f t="shared" si="17"/>
        <v>-3.2083221118298644E-3</v>
      </c>
      <c r="AA220" s="324"/>
      <c r="AB220" s="324"/>
      <c r="AC220" s="324"/>
      <c r="AD220" s="324"/>
      <c r="AE220" s="324"/>
      <c r="AF220" s="324"/>
    </row>
    <row r="221" spans="1:32">
      <c r="A221" s="324"/>
      <c r="B221" s="244"/>
      <c r="C221" s="294"/>
      <c r="D221" s="235"/>
      <c r="E221" s="294"/>
      <c r="F221" s="235"/>
      <c r="G221" s="324"/>
      <c r="H221" s="324"/>
      <c r="I221" s="324"/>
      <c r="J221" s="324"/>
      <c r="K221" s="324"/>
      <c r="L221" s="377">
        <v>41280</v>
      </c>
      <c r="M221" s="198">
        <v>54.25</v>
      </c>
      <c r="N221" s="349">
        <f t="shared" si="14"/>
        <v>4.3670642554828776E-2</v>
      </c>
      <c r="O221" s="198">
        <v>1466.469971</v>
      </c>
      <c r="P221" s="349">
        <f t="shared" si="15"/>
        <v>4.5663537241908081E-2</v>
      </c>
      <c r="Q221" s="324"/>
      <c r="R221" s="324"/>
      <c r="S221" s="324"/>
      <c r="T221" s="324"/>
      <c r="U221" s="324"/>
      <c r="V221" s="377">
        <v>42461</v>
      </c>
      <c r="W221" s="198">
        <v>75.519997000000004</v>
      </c>
      <c r="X221" s="349">
        <f t="shared" si="16"/>
        <v>1.3555160017308943E-2</v>
      </c>
      <c r="Y221" s="198">
        <v>2072.780029</v>
      </c>
      <c r="Z221" s="349">
        <f t="shared" si="17"/>
        <v>6.3309150976866846E-3</v>
      </c>
      <c r="AA221" s="324"/>
      <c r="AB221" s="324"/>
      <c r="AC221" s="324"/>
      <c r="AD221" s="324"/>
      <c r="AE221" s="324"/>
      <c r="AF221" s="324"/>
    </row>
    <row r="222" spans="1:32">
      <c r="A222" s="324"/>
      <c r="B222" s="244"/>
      <c r="C222" s="294"/>
      <c r="D222" s="235"/>
      <c r="E222" s="294"/>
      <c r="F222" s="235"/>
      <c r="G222" s="324"/>
      <c r="H222" s="324"/>
      <c r="I222" s="324"/>
      <c r="J222" s="324"/>
      <c r="K222" s="324"/>
      <c r="L222" s="377">
        <v>41273</v>
      </c>
      <c r="M222" s="198">
        <v>51.98</v>
      </c>
      <c r="N222" s="349">
        <f t="shared" si="14"/>
        <v>-5.4737259329432297E-2</v>
      </c>
      <c r="O222" s="198">
        <v>1402.4300539999999</v>
      </c>
      <c r="P222" s="349">
        <f t="shared" si="15"/>
        <v>-1.9382560944529392E-2</v>
      </c>
      <c r="Q222" s="324"/>
      <c r="R222" s="324"/>
      <c r="S222" s="324"/>
      <c r="T222" s="324"/>
      <c r="U222" s="324"/>
      <c r="V222" s="377">
        <v>42460</v>
      </c>
      <c r="W222" s="198">
        <v>74.510002</v>
      </c>
      <c r="X222" s="349">
        <f t="shared" si="16"/>
        <v>6.3479334636962204E-3</v>
      </c>
      <c r="Y222" s="198">
        <v>2059.73999</v>
      </c>
      <c r="Z222" s="349">
        <f t="shared" si="17"/>
        <v>-2.039759248018691E-3</v>
      </c>
      <c r="AA222" s="324"/>
      <c r="AB222" s="324"/>
      <c r="AC222" s="324"/>
      <c r="AD222" s="324"/>
      <c r="AE222" s="324"/>
      <c r="AF222" s="324"/>
    </row>
    <row r="223" spans="1:32">
      <c r="A223" s="324"/>
      <c r="B223" s="244"/>
      <c r="C223" s="294"/>
      <c r="D223" s="235"/>
      <c r="E223" s="294"/>
      <c r="F223" s="235"/>
      <c r="G223" s="324"/>
      <c r="H223" s="324"/>
      <c r="I223" s="324"/>
      <c r="J223" s="324"/>
      <c r="K223" s="324"/>
      <c r="L223" s="377">
        <v>41266</v>
      </c>
      <c r="M223" s="198">
        <v>54.990001999999997</v>
      </c>
      <c r="N223" s="349">
        <f t="shared" si="14"/>
        <v>9.4982096874111743E-2</v>
      </c>
      <c r="O223" s="198">
        <v>1430.150024</v>
      </c>
      <c r="P223" s="349">
        <f t="shared" si="15"/>
        <v>1.1722059250817596E-2</v>
      </c>
      <c r="Q223" s="324"/>
      <c r="R223" s="324"/>
      <c r="S223" s="324"/>
      <c r="T223" s="324"/>
      <c r="U223" s="324"/>
      <c r="V223" s="377">
        <v>42459</v>
      </c>
      <c r="W223" s="198">
        <v>74.040001000000004</v>
      </c>
      <c r="X223" s="349">
        <f t="shared" si="16"/>
        <v>7.4840524556825105E-3</v>
      </c>
      <c r="Y223" s="198">
        <v>2063.9499510000001</v>
      </c>
      <c r="Z223" s="349">
        <f t="shared" si="17"/>
        <v>4.3503150624555342E-3</v>
      </c>
      <c r="AA223" s="324"/>
      <c r="AB223" s="324"/>
      <c r="AC223" s="324"/>
      <c r="AD223" s="324"/>
      <c r="AE223" s="324"/>
      <c r="AF223" s="324"/>
    </row>
    <row r="224" spans="1:32">
      <c r="A224" s="324"/>
      <c r="B224" s="244"/>
      <c r="C224" s="294"/>
      <c r="D224" s="235"/>
      <c r="E224" s="294"/>
      <c r="F224" s="235"/>
      <c r="G224" s="324"/>
      <c r="H224" s="324"/>
      <c r="I224" s="324"/>
      <c r="J224" s="324"/>
      <c r="K224" s="324"/>
      <c r="L224" s="377">
        <v>41259</v>
      </c>
      <c r="M224" s="198">
        <v>50.220001000000003</v>
      </c>
      <c r="N224" s="349">
        <f t="shared" si="14"/>
        <v>2.1562266069975689E-2</v>
      </c>
      <c r="O224" s="198">
        <v>1413.579956</v>
      </c>
      <c r="P224" s="349">
        <f t="shared" si="15"/>
        <v>-3.166268358387514E-3</v>
      </c>
      <c r="Q224" s="324"/>
      <c r="R224" s="324"/>
      <c r="S224" s="324"/>
      <c r="T224" s="324"/>
      <c r="U224" s="324"/>
      <c r="V224" s="377">
        <v>42458</v>
      </c>
      <c r="W224" s="198">
        <v>73.489998</v>
      </c>
      <c r="X224" s="349">
        <f t="shared" si="16"/>
        <v>0</v>
      </c>
      <c r="Y224" s="198">
        <v>2055.01001</v>
      </c>
      <c r="Z224" s="349">
        <f t="shared" si="17"/>
        <v>8.8166518092260837E-3</v>
      </c>
      <c r="AA224" s="324"/>
      <c r="AB224" s="324"/>
      <c r="AC224" s="324"/>
      <c r="AD224" s="324"/>
      <c r="AE224" s="324"/>
      <c r="AF224" s="324"/>
    </row>
    <row r="225" spans="1:32">
      <c r="A225" s="324"/>
      <c r="B225" s="244"/>
      <c r="C225" s="294"/>
      <c r="D225" s="235"/>
      <c r="E225" s="294"/>
      <c r="F225" s="235"/>
      <c r="G225" s="324"/>
      <c r="H225" s="324"/>
      <c r="I225" s="324"/>
      <c r="J225" s="324"/>
      <c r="K225" s="324"/>
      <c r="L225" s="377">
        <v>41252</v>
      </c>
      <c r="M225" s="198">
        <v>49.16</v>
      </c>
      <c r="N225" s="349">
        <f t="shared" si="14"/>
        <v>-4.8583398842778625E-3</v>
      </c>
      <c r="O225" s="198">
        <v>1418.0699460000001</v>
      </c>
      <c r="P225" s="349">
        <f t="shared" si="15"/>
        <v>1.3344998008284481E-3</v>
      </c>
      <c r="Q225" s="324"/>
      <c r="R225" s="324"/>
      <c r="S225" s="324"/>
      <c r="T225" s="324"/>
      <c r="U225" s="324"/>
      <c r="V225" s="377">
        <v>42457</v>
      </c>
      <c r="W225" s="198">
        <v>73.489998</v>
      </c>
      <c r="X225" s="349">
        <f t="shared" si="16"/>
        <v>3.4134353744794677E-3</v>
      </c>
      <c r="Y225" s="198">
        <v>2037.0500489999999</v>
      </c>
      <c r="Z225" s="349">
        <f t="shared" si="17"/>
        <v>5.4525576989994384E-4</v>
      </c>
      <c r="AA225" s="324"/>
      <c r="AB225" s="324"/>
      <c r="AC225" s="324"/>
      <c r="AD225" s="324"/>
      <c r="AE225" s="324"/>
      <c r="AF225" s="324"/>
    </row>
    <row r="226" spans="1:32">
      <c r="A226" s="324"/>
      <c r="B226" s="244"/>
      <c r="C226" s="294"/>
      <c r="D226" s="235"/>
      <c r="E226" s="294"/>
      <c r="F226" s="235"/>
      <c r="G226" s="324"/>
      <c r="H226" s="324"/>
      <c r="I226" s="324"/>
      <c r="J226" s="324"/>
      <c r="K226" s="324"/>
      <c r="L226" s="377">
        <v>41245</v>
      </c>
      <c r="M226" s="198">
        <v>49.400002000000001</v>
      </c>
      <c r="N226" s="349">
        <f t="shared" si="14"/>
        <v>-6.8355445582811702E-3</v>
      </c>
      <c r="O226" s="198">
        <v>1416.1800539999999</v>
      </c>
      <c r="P226" s="349">
        <f t="shared" si="15"/>
        <v>4.9888442538179589E-3</v>
      </c>
      <c r="Q226" s="324"/>
      <c r="R226" s="324"/>
      <c r="S226" s="324"/>
      <c r="T226" s="324"/>
      <c r="U226" s="324"/>
      <c r="V226" s="377">
        <v>42453</v>
      </c>
      <c r="W226" s="198">
        <v>73.239998</v>
      </c>
      <c r="X226" s="349">
        <f t="shared" si="16"/>
        <v>9.649806870005273E-3</v>
      </c>
      <c r="Y226" s="198">
        <v>2035.9399410000001</v>
      </c>
      <c r="Z226" s="349">
        <f t="shared" si="17"/>
        <v>-3.7807052292404553E-4</v>
      </c>
      <c r="AA226" s="324"/>
      <c r="AB226" s="324"/>
      <c r="AC226" s="324"/>
      <c r="AD226" s="324"/>
      <c r="AE226" s="324"/>
      <c r="AF226" s="324"/>
    </row>
    <row r="227" spans="1:32">
      <c r="A227" s="324"/>
      <c r="B227" s="244"/>
      <c r="C227" s="294"/>
      <c r="D227" s="235"/>
      <c r="E227" s="294"/>
      <c r="F227" s="235"/>
      <c r="G227" s="324"/>
      <c r="H227" s="324"/>
      <c r="I227" s="324"/>
      <c r="J227" s="324"/>
      <c r="K227" s="324"/>
      <c r="L227" s="377">
        <v>41238</v>
      </c>
      <c r="M227" s="198">
        <v>49.740001999999997</v>
      </c>
      <c r="N227" s="349">
        <f t="shared" si="14"/>
        <v>2.6625407087194741E-2</v>
      </c>
      <c r="O227" s="198">
        <v>1409.150024</v>
      </c>
      <c r="P227" s="349">
        <f t="shared" si="15"/>
        <v>3.6231151880198542E-2</v>
      </c>
      <c r="Q227" s="324"/>
      <c r="R227" s="324"/>
      <c r="S227" s="324"/>
      <c r="T227" s="324"/>
      <c r="U227" s="324"/>
      <c r="V227" s="377">
        <v>42452</v>
      </c>
      <c r="W227" s="198">
        <v>72.540001000000004</v>
      </c>
      <c r="X227" s="349">
        <f t="shared" si="16"/>
        <v>-4.1870268681419409E-2</v>
      </c>
      <c r="Y227" s="198">
        <v>2036.709961</v>
      </c>
      <c r="Z227" s="349">
        <f t="shared" si="17"/>
        <v>-6.3860316553245866E-3</v>
      </c>
      <c r="AA227" s="324"/>
      <c r="AB227" s="324"/>
      <c r="AC227" s="324"/>
      <c r="AD227" s="324"/>
      <c r="AE227" s="324"/>
      <c r="AF227" s="324"/>
    </row>
    <row r="228" spans="1:32">
      <c r="A228" s="324"/>
      <c r="B228" s="244"/>
      <c r="C228" s="294"/>
      <c r="D228" s="235"/>
      <c r="E228" s="294"/>
      <c r="F228" s="235"/>
      <c r="G228" s="324"/>
      <c r="H228" s="324"/>
      <c r="I228" s="324"/>
      <c r="J228" s="324"/>
      <c r="K228" s="324"/>
      <c r="L228" s="377">
        <v>41231</v>
      </c>
      <c r="M228" s="198">
        <v>48.450001</v>
      </c>
      <c r="N228" s="349">
        <f t="shared" si="14"/>
        <v>2.2755688870499391E-3</v>
      </c>
      <c r="O228" s="198">
        <v>1359.880005</v>
      </c>
      <c r="P228" s="349">
        <f t="shared" si="15"/>
        <v>-1.4472566835048495E-2</v>
      </c>
      <c r="Q228" s="324"/>
      <c r="R228" s="324"/>
      <c r="S228" s="324"/>
      <c r="T228" s="324"/>
      <c r="U228" s="324"/>
      <c r="V228" s="377">
        <v>42451</v>
      </c>
      <c r="W228" s="198">
        <v>75.709998999999996</v>
      </c>
      <c r="X228" s="349">
        <f t="shared" si="16"/>
        <v>1.0814378883461151E-2</v>
      </c>
      <c r="Y228" s="198">
        <v>2049.8000489999999</v>
      </c>
      <c r="Z228" s="349">
        <f t="shared" si="17"/>
        <v>-8.7738785046598267E-4</v>
      </c>
      <c r="AA228" s="324"/>
      <c r="AB228" s="324"/>
      <c r="AC228" s="324"/>
      <c r="AD228" s="324"/>
      <c r="AE228" s="324"/>
      <c r="AF228" s="324"/>
    </row>
    <row r="229" spans="1:32">
      <c r="A229" s="324"/>
      <c r="B229" s="244"/>
      <c r="C229" s="294"/>
      <c r="D229" s="235"/>
      <c r="E229" s="294"/>
      <c r="F229" s="235"/>
      <c r="G229" s="324"/>
      <c r="H229" s="324"/>
      <c r="I229" s="324"/>
      <c r="J229" s="324"/>
      <c r="K229" s="324"/>
      <c r="L229" s="377">
        <v>41224</v>
      </c>
      <c r="M229" s="198">
        <v>48.34</v>
      </c>
      <c r="N229" s="349">
        <f t="shared" si="14"/>
        <v>-4.5418622539862175E-2</v>
      </c>
      <c r="O229" s="198">
        <v>1379.849976</v>
      </c>
      <c r="P229" s="349">
        <f t="shared" si="15"/>
        <v>-2.4289334033501198E-2</v>
      </c>
      <c r="Q229" s="324"/>
      <c r="R229" s="324"/>
      <c r="S229" s="324"/>
      <c r="T229" s="324"/>
      <c r="U229" s="324"/>
      <c r="V229" s="377">
        <v>42450</v>
      </c>
      <c r="W229" s="198">
        <v>74.900002000000001</v>
      </c>
      <c r="X229" s="349">
        <f t="shared" si="16"/>
        <v>1.0932731053191036E-2</v>
      </c>
      <c r="Y229" s="198">
        <v>2051.6000979999999</v>
      </c>
      <c r="Z229" s="349">
        <f t="shared" si="17"/>
        <v>9.8557749545014062E-4</v>
      </c>
      <c r="AA229" s="324"/>
      <c r="AB229" s="324"/>
      <c r="AC229" s="324"/>
      <c r="AD229" s="324"/>
      <c r="AE229" s="324"/>
      <c r="AF229" s="324"/>
    </row>
    <row r="230" spans="1:32">
      <c r="A230" s="324"/>
      <c r="B230" s="244"/>
      <c r="C230" s="294"/>
      <c r="D230" s="235"/>
      <c r="E230" s="294"/>
      <c r="F230" s="235"/>
      <c r="G230" s="324"/>
      <c r="H230" s="324"/>
      <c r="I230" s="324"/>
      <c r="J230" s="324"/>
      <c r="K230" s="324"/>
      <c r="L230" s="377">
        <v>41217</v>
      </c>
      <c r="M230" s="198">
        <v>50.639999000000003</v>
      </c>
      <c r="N230" s="349">
        <f t="shared" si="14"/>
        <v>7.360234732444848E-3</v>
      </c>
      <c r="O230" s="198">
        <v>1414.1999510000001</v>
      </c>
      <c r="P230" s="349">
        <f t="shared" si="15"/>
        <v>1.6006417372111947E-3</v>
      </c>
      <c r="Q230" s="324"/>
      <c r="R230" s="324"/>
      <c r="S230" s="324"/>
      <c r="T230" s="324"/>
      <c r="U230" s="324"/>
      <c r="V230" s="377">
        <v>42447</v>
      </c>
      <c r="W230" s="198">
        <v>74.089995999999999</v>
      </c>
      <c r="X230" s="349">
        <f t="shared" si="16"/>
        <v>1.8559225145978075E-2</v>
      </c>
      <c r="Y230" s="198">
        <v>2049.580078</v>
      </c>
      <c r="Z230" s="349">
        <f t="shared" si="17"/>
        <v>4.405643539266535E-3</v>
      </c>
      <c r="AA230" s="324"/>
      <c r="AB230" s="324"/>
      <c r="AC230" s="324"/>
      <c r="AD230" s="324"/>
      <c r="AE230" s="324"/>
      <c r="AF230" s="324"/>
    </row>
    <row r="231" spans="1:32">
      <c r="A231" s="324"/>
      <c r="B231" s="244"/>
      <c r="C231" s="294"/>
      <c r="D231" s="235"/>
      <c r="E231" s="294"/>
      <c r="F231" s="235"/>
      <c r="G231" s="324"/>
      <c r="H231" s="324"/>
      <c r="I231" s="324"/>
      <c r="J231" s="324"/>
      <c r="K231" s="324"/>
      <c r="L231" s="377">
        <v>41210</v>
      </c>
      <c r="M231" s="198">
        <v>50.27</v>
      </c>
      <c r="N231" s="349">
        <f t="shared" si="14"/>
        <v>-9.0676128523554667E-3</v>
      </c>
      <c r="O231" s="198">
        <v>1411.9399410000001</v>
      </c>
      <c r="P231" s="349">
        <f t="shared" si="15"/>
        <v>-1.4827064712143456E-2</v>
      </c>
      <c r="Q231" s="324"/>
      <c r="R231" s="324"/>
      <c r="S231" s="324"/>
      <c r="T231" s="324"/>
      <c r="U231" s="324"/>
      <c r="V231" s="377">
        <v>42446</v>
      </c>
      <c r="W231" s="198">
        <v>72.739998</v>
      </c>
      <c r="X231" s="349">
        <f t="shared" si="16"/>
        <v>-1.6470353877705568E-3</v>
      </c>
      <c r="Y231" s="198">
        <v>2040.589966</v>
      </c>
      <c r="Z231" s="349">
        <f t="shared" si="17"/>
        <v>6.5952364278478726E-3</v>
      </c>
      <c r="AA231" s="324"/>
      <c r="AB231" s="324"/>
      <c r="AC231" s="324"/>
      <c r="AD231" s="324"/>
      <c r="AE231" s="324"/>
      <c r="AF231" s="324"/>
    </row>
    <row r="232" spans="1:32">
      <c r="A232" s="324"/>
      <c r="B232" s="244"/>
      <c r="C232" s="294"/>
      <c r="D232" s="235"/>
      <c r="E232" s="294"/>
      <c r="F232" s="235"/>
      <c r="G232" s="324"/>
      <c r="H232" s="324"/>
      <c r="I232" s="324"/>
      <c r="J232" s="324"/>
      <c r="K232" s="324"/>
      <c r="L232" s="377">
        <v>41203</v>
      </c>
      <c r="M232" s="198">
        <v>50.73</v>
      </c>
      <c r="N232" s="349">
        <f t="shared" si="14"/>
        <v>-5.5131291769999868E-2</v>
      </c>
      <c r="O232" s="198">
        <v>1433.1899410000001</v>
      </c>
      <c r="P232" s="349">
        <f t="shared" si="15"/>
        <v>3.2199407174053896E-3</v>
      </c>
      <c r="Q232" s="324"/>
      <c r="R232" s="324"/>
      <c r="S232" s="324"/>
      <c r="T232" s="324"/>
      <c r="U232" s="324"/>
      <c r="V232" s="377">
        <v>42445</v>
      </c>
      <c r="W232" s="198">
        <v>72.860000999999997</v>
      </c>
      <c r="X232" s="349">
        <f t="shared" si="16"/>
        <v>1.8308846192501171E-2</v>
      </c>
      <c r="Y232" s="198">
        <v>2027.219971</v>
      </c>
      <c r="Z232" s="349">
        <f t="shared" si="17"/>
        <v>5.6003515487050848E-3</v>
      </c>
      <c r="AA232" s="324"/>
      <c r="AB232" s="324"/>
      <c r="AC232" s="324"/>
      <c r="AD232" s="324"/>
      <c r="AE232" s="324"/>
      <c r="AF232" s="324"/>
    </row>
    <row r="233" spans="1:32">
      <c r="A233" s="324"/>
      <c r="B233" s="244"/>
      <c r="C233" s="294"/>
      <c r="D233" s="235"/>
      <c r="E233" s="294"/>
      <c r="F233" s="235"/>
      <c r="G233" s="324"/>
      <c r="H233" s="324"/>
      <c r="I233" s="324"/>
      <c r="J233" s="324"/>
      <c r="K233" s="324"/>
      <c r="L233" s="377">
        <v>41196</v>
      </c>
      <c r="M233" s="198">
        <v>53.689999</v>
      </c>
      <c r="N233" s="349">
        <f t="shared" si="14"/>
        <v>-2.7531244838457702E-2</v>
      </c>
      <c r="O233" s="198">
        <v>1428.589966</v>
      </c>
      <c r="P233" s="349">
        <f t="shared" si="15"/>
        <v>-2.2136643647964749E-2</v>
      </c>
      <c r="Q233" s="324"/>
      <c r="R233" s="324"/>
      <c r="S233" s="324"/>
      <c r="T233" s="324"/>
      <c r="U233" s="324"/>
      <c r="V233" s="377">
        <v>42444</v>
      </c>
      <c r="W233" s="198">
        <v>71.550003000000004</v>
      </c>
      <c r="X233" s="349">
        <f t="shared" si="16"/>
        <v>-7.903493847608356E-3</v>
      </c>
      <c r="Y233" s="198">
        <v>2015.9300539999999</v>
      </c>
      <c r="Z233" s="349">
        <f t="shared" si="17"/>
        <v>-1.8369417185468695E-3</v>
      </c>
      <c r="AA233" s="324"/>
      <c r="AB233" s="324"/>
      <c r="AC233" s="324"/>
      <c r="AD233" s="324"/>
      <c r="AE233" s="324"/>
      <c r="AF233" s="324"/>
    </row>
    <row r="234" spans="1:32">
      <c r="A234" s="324"/>
      <c r="B234" s="244"/>
      <c r="C234" s="294"/>
      <c r="D234" s="235"/>
      <c r="E234" s="294"/>
      <c r="F234" s="235"/>
      <c r="G234" s="324"/>
      <c r="H234" s="324"/>
      <c r="I234" s="324"/>
      <c r="J234" s="324"/>
      <c r="K234" s="324"/>
      <c r="L234" s="377">
        <v>41189</v>
      </c>
      <c r="M234" s="198">
        <v>55.209999000000003</v>
      </c>
      <c r="N234" s="349">
        <f t="shared" si="14"/>
        <v>-3.038285968357668E-2</v>
      </c>
      <c r="O234" s="198">
        <v>1460.9300539999999</v>
      </c>
      <c r="P234" s="349">
        <f t="shared" si="15"/>
        <v>1.406290780069841E-2</v>
      </c>
      <c r="Q234" s="324"/>
      <c r="R234" s="324"/>
      <c r="S234" s="324"/>
      <c r="T234" s="324"/>
      <c r="U234" s="324"/>
      <c r="V234" s="377">
        <v>42443</v>
      </c>
      <c r="W234" s="198">
        <v>72.120002999999997</v>
      </c>
      <c r="X234" s="349">
        <f t="shared" si="16"/>
        <v>4.4568243263163332E-3</v>
      </c>
      <c r="Y234" s="198">
        <v>2019.6400149999999</v>
      </c>
      <c r="Z234" s="349">
        <f t="shared" si="17"/>
        <v>-1.2609725467921384E-3</v>
      </c>
      <c r="AA234" s="324"/>
      <c r="AB234" s="324"/>
      <c r="AC234" s="324"/>
      <c r="AD234" s="324"/>
      <c r="AE234" s="324"/>
      <c r="AF234" s="324"/>
    </row>
    <row r="235" spans="1:32">
      <c r="A235" s="324"/>
      <c r="B235" s="244"/>
      <c r="C235" s="294"/>
      <c r="D235" s="235"/>
      <c r="E235" s="294"/>
      <c r="F235" s="235"/>
      <c r="G235" s="324"/>
      <c r="H235" s="324"/>
      <c r="I235" s="324"/>
      <c r="J235" s="324"/>
      <c r="K235" s="324"/>
      <c r="L235" s="377">
        <v>41182</v>
      </c>
      <c r="M235" s="198">
        <v>56.939999</v>
      </c>
      <c r="N235" s="349">
        <f t="shared" si="14"/>
        <v>-1.2144344416105901E-2</v>
      </c>
      <c r="O235" s="198">
        <v>1440.670044</v>
      </c>
      <c r="P235" s="349">
        <f t="shared" si="15"/>
        <v>-1.3341081176464153E-2</v>
      </c>
      <c r="Q235" s="324"/>
      <c r="R235" s="324"/>
      <c r="S235" s="324"/>
      <c r="T235" s="324"/>
      <c r="U235" s="324"/>
      <c r="V235" s="377">
        <v>42440</v>
      </c>
      <c r="W235" s="198">
        <v>71.800003000000004</v>
      </c>
      <c r="X235" s="349">
        <f t="shared" si="16"/>
        <v>2.4835927057834217E-2</v>
      </c>
      <c r="Y235" s="198">
        <v>2022.1899410000001</v>
      </c>
      <c r="Z235" s="349">
        <f t="shared" si="17"/>
        <v>1.6395500477669467E-2</v>
      </c>
      <c r="AA235" s="324"/>
      <c r="AB235" s="324"/>
      <c r="AC235" s="324"/>
      <c r="AD235" s="324"/>
      <c r="AE235" s="324"/>
      <c r="AF235" s="324"/>
    </row>
    <row r="236" spans="1:32">
      <c r="A236" s="324"/>
      <c r="B236" s="244"/>
      <c r="C236" s="294"/>
      <c r="D236" s="235"/>
      <c r="E236" s="294"/>
      <c r="F236" s="235"/>
      <c r="G236" s="324"/>
      <c r="H236" s="324"/>
      <c r="I236" s="324"/>
      <c r="J236" s="324"/>
      <c r="K236" s="324"/>
      <c r="L236" s="377">
        <v>41175</v>
      </c>
      <c r="M236" s="198">
        <v>57.639999000000003</v>
      </c>
      <c r="N236" s="349">
        <f t="shared" si="14"/>
        <v>-3.9333349999999934E-2</v>
      </c>
      <c r="O236" s="198">
        <v>1460.150024</v>
      </c>
      <c r="P236" s="349">
        <f t="shared" si="15"/>
        <v>-3.8341594679360824E-3</v>
      </c>
      <c r="Q236" s="324"/>
      <c r="R236" s="324"/>
      <c r="S236" s="324"/>
      <c r="T236" s="324"/>
      <c r="U236" s="324"/>
      <c r="V236" s="377">
        <v>42439</v>
      </c>
      <c r="W236" s="198">
        <v>70.059997999999993</v>
      </c>
      <c r="X236" s="349">
        <f t="shared" si="16"/>
        <v>2.2889269731349859E-3</v>
      </c>
      <c r="Y236" s="198">
        <v>1989.5699460000001</v>
      </c>
      <c r="Z236" s="349">
        <f t="shared" si="17"/>
        <v>1.5580467030051892E-4</v>
      </c>
      <c r="AA236" s="324"/>
      <c r="AB236" s="324"/>
      <c r="AC236" s="324"/>
      <c r="AD236" s="324"/>
      <c r="AE236" s="324"/>
      <c r="AF236" s="324"/>
    </row>
    <row r="237" spans="1:32">
      <c r="A237" s="324"/>
      <c r="B237" s="244"/>
      <c r="C237" s="294"/>
      <c r="D237" s="235"/>
      <c r="E237" s="294"/>
      <c r="F237" s="235"/>
      <c r="G237" s="324"/>
      <c r="H237" s="324"/>
      <c r="I237" s="324"/>
      <c r="J237" s="324"/>
      <c r="K237" s="324"/>
      <c r="L237" s="377">
        <v>41168</v>
      </c>
      <c r="M237" s="198">
        <v>60</v>
      </c>
      <c r="N237" s="349">
        <f t="shared" si="14"/>
        <v>1.4370210841244013E-2</v>
      </c>
      <c r="O237" s="198">
        <v>1465.7700199999999</v>
      </c>
      <c r="P237" s="349">
        <f t="shared" si="15"/>
        <v>1.936823686143696E-2</v>
      </c>
      <c r="Q237" s="324"/>
      <c r="R237" s="324"/>
      <c r="S237" s="324"/>
      <c r="T237" s="324"/>
      <c r="U237" s="324"/>
      <c r="V237" s="377">
        <v>42438</v>
      </c>
      <c r="W237" s="198">
        <v>69.900002000000001</v>
      </c>
      <c r="X237" s="349">
        <f t="shared" si="16"/>
        <v>2.3725879082101331E-2</v>
      </c>
      <c r="Y237" s="198">
        <v>1989.26001</v>
      </c>
      <c r="Z237" s="349">
        <f t="shared" si="17"/>
        <v>5.0523932931882953E-3</v>
      </c>
      <c r="AA237" s="324"/>
      <c r="AB237" s="324"/>
      <c r="AC237" s="324"/>
      <c r="AD237" s="324"/>
      <c r="AE237" s="324"/>
      <c r="AF237" s="324"/>
    </row>
    <row r="238" spans="1:32">
      <c r="A238" s="324"/>
      <c r="B238" s="244"/>
      <c r="C238" s="294"/>
      <c r="D238" s="235"/>
      <c r="E238" s="294"/>
      <c r="F238" s="235"/>
      <c r="G238" s="324"/>
      <c r="H238" s="324"/>
      <c r="I238" s="324"/>
      <c r="J238" s="324"/>
      <c r="K238" s="324"/>
      <c r="L238" s="377">
        <v>41161</v>
      </c>
      <c r="M238" s="198">
        <v>59.150002000000001</v>
      </c>
      <c r="N238" s="349">
        <f t="shared" si="14"/>
        <v>5.5496091086793653E-2</v>
      </c>
      <c r="O238" s="198">
        <v>1437.920044</v>
      </c>
      <c r="P238" s="349">
        <f t="shared" si="15"/>
        <v>2.2281056875802507E-2</v>
      </c>
      <c r="Q238" s="324"/>
      <c r="R238" s="324"/>
      <c r="S238" s="324"/>
      <c r="T238" s="324"/>
      <c r="U238" s="324"/>
      <c r="V238" s="377">
        <v>42437</v>
      </c>
      <c r="W238" s="198">
        <v>68.279999000000004</v>
      </c>
      <c r="X238" s="349">
        <f t="shared" si="16"/>
        <v>2.0170312266547086E-2</v>
      </c>
      <c r="Y238" s="198">
        <v>1979.26001</v>
      </c>
      <c r="Z238" s="349">
        <f t="shared" si="17"/>
        <v>-1.1240108648189029E-2</v>
      </c>
      <c r="AA238" s="324"/>
      <c r="AB238" s="324"/>
      <c r="AC238" s="324"/>
      <c r="AD238" s="324"/>
      <c r="AE238" s="324"/>
      <c r="AF238" s="324"/>
    </row>
    <row r="239" spans="1:32">
      <c r="A239" s="324"/>
      <c r="B239" s="244"/>
      <c r="C239" s="294"/>
      <c r="D239" s="235"/>
      <c r="E239" s="294"/>
      <c r="F239" s="235"/>
      <c r="G239" s="324"/>
      <c r="H239" s="324"/>
      <c r="I239" s="324"/>
      <c r="J239" s="324"/>
      <c r="K239" s="324"/>
      <c r="L239" s="377">
        <v>41154</v>
      </c>
      <c r="M239" s="198">
        <v>56.040000999999997</v>
      </c>
      <c r="N239" s="349">
        <f t="shared" si="14"/>
        <v>-2.9946321620218264E-2</v>
      </c>
      <c r="O239" s="198">
        <v>1406.579956</v>
      </c>
      <c r="P239" s="349">
        <f t="shared" si="15"/>
        <v>-3.2244010005300083E-3</v>
      </c>
      <c r="Q239" s="324"/>
      <c r="R239" s="324"/>
      <c r="S239" s="324"/>
      <c r="T239" s="324"/>
      <c r="U239" s="324"/>
      <c r="V239" s="377">
        <v>42436</v>
      </c>
      <c r="W239" s="198">
        <v>66.930000000000007</v>
      </c>
      <c r="X239" s="349">
        <f t="shared" si="16"/>
        <v>-9.6182595555410755E-3</v>
      </c>
      <c r="Y239" s="198">
        <v>2001.76001</v>
      </c>
      <c r="Z239" s="349">
        <f t="shared" si="17"/>
        <v>8.8501442949717735E-4</v>
      </c>
      <c r="AA239" s="324"/>
      <c r="AB239" s="324"/>
      <c r="AC239" s="324"/>
      <c r="AD239" s="324"/>
      <c r="AE239" s="324"/>
      <c r="AF239" s="324"/>
    </row>
    <row r="240" spans="1:32">
      <c r="A240" s="324"/>
      <c r="B240" s="244"/>
      <c r="C240" s="294"/>
      <c r="D240" s="235"/>
      <c r="E240" s="294"/>
      <c r="F240" s="235"/>
      <c r="G240" s="324"/>
      <c r="H240" s="324"/>
      <c r="I240" s="324"/>
      <c r="J240" s="324"/>
      <c r="K240" s="324"/>
      <c r="L240" s="377">
        <v>41147</v>
      </c>
      <c r="M240" s="198">
        <v>57.77</v>
      </c>
      <c r="N240" s="349">
        <f t="shared" si="14"/>
        <v>-2.7768395414621172E-2</v>
      </c>
      <c r="O240" s="198">
        <v>1411.130005</v>
      </c>
      <c r="P240" s="349">
        <f t="shared" si="15"/>
        <v>-4.9571478757383103E-3</v>
      </c>
      <c r="Q240" s="324"/>
      <c r="R240" s="324"/>
      <c r="S240" s="324"/>
      <c r="T240" s="324"/>
      <c r="U240" s="324"/>
      <c r="V240" s="377">
        <v>42433</v>
      </c>
      <c r="W240" s="198">
        <v>67.580001999999993</v>
      </c>
      <c r="X240" s="349">
        <f t="shared" si="16"/>
        <v>-1.5872958085713207E-2</v>
      </c>
      <c r="Y240" s="198">
        <v>1999.98999</v>
      </c>
      <c r="Z240" s="349">
        <f t="shared" si="17"/>
        <v>3.305892405266686E-3</v>
      </c>
      <c r="AA240" s="324"/>
      <c r="AB240" s="324"/>
      <c r="AC240" s="324"/>
      <c r="AD240" s="324"/>
      <c r="AE240" s="324"/>
      <c r="AF240" s="324"/>
    </row>
    <row r="241" spans="1:32">
      <c r="A241" s="324"/>
      <c r="B241" s="244"/>
      <c r="C241" s="294"/>
      <c r="D241" s="235"/>
      <c r="E241" s="294"/>
      <c r="F241" s="235"/>
      <c r="G241" s="324"/>
      <c r="H241" s="324"/>
      <c r="I241" s="324"/>
      <c r="J241" s="324"/>
      <c r="K241" s="324"/>
      <c r="L241" s="377">
        <v>41140</v>
      </c>
      <c r="M241" s="198">
        <v>59.419998</v>
      </c>
      <c r="N241" s="349">
        <f t="shared" si="14"/>
        <v>4.172505186316533E-2</v>
      </c>
      <c r="O241" s="198">
        <v>1418.160034</v>
      </c>
      <c r="P241" s="349">
        <f t="shared" si="15"/>
        <v>8.7419455879347296E-3</v>
      </c>
      <c r="Q241" s="324"/>
      <c r="R241" s="324"/>
      <c r="S241" s="324"/>
      <c r="T241" s="324"/>
      <c r="U241" s="324"/>
      <c r="V241" s="377">
        <v>42432</v>
      </c>
      <c r="W241" s="198">
        <v>68.669998000000007</v>
      </c>
      <c r="X241" s="349">
        <f t="shared" si="16"/>
        <v>5.7117604820118295E-3</v>
      </c>
      <c r="Y241" s="198">
        <v>1993.400024</v>
      </c>
      <c r="Z241" s="349">
        <f t="shared" si="17"/>
        <v>3.4987405529653959E-3</v>
      </c>
      <c r="AA241" s="324"/>
      <c r="AB241" s="324"/>
      <c r="AC241" s="324"/>
      <c r="AD241" s="324"/>
      <c r="AE241" s="324"/>
      <c r="AF241" s="324"/>
    </row>
    <row r="242" spans="1:32">
      <c r="A242" s="324"/>
      <c r="B242" s="244"/>
      <c r="C242" s="294"/>
      <c r="D242" s="235"/>
      <c r="E242" s="294"/>
      <c r="F242" s="235"/>
      <c r="G242" s="324"/>
      <c r="H242" s="324"/>
      <c r="I242" s="324"/>
      <c r="J242" s="324"/>
      <c r="K242" s="324"/>
      <c r="L242" s="377">
        <v>41133</v>
      </c>
      <c r="M242" s="198">
        <v>57.040000999999997</v>
      </c>
      <c r="N242" s="349">
        <f t="shared" si="14"/>
        <v>2.7747765765765653E-2</v>
      </c>
      <c r="O242" s="198">
        <v>1405.869995</v>
      </c>
      <c r="P242" s="349">
        <f t="shared" si="15"/>
        <v>1.0697420619108833E-2</v>
      </c>
      <c r="Q242" s="324"/>
      <c r="R242" s="324"/>
      <c r="S242" s="324"/>
      <c r="T242" s="324"/>
      <c r="U242" s="324"/>
      <c r="V242" s="377">
        <v>42431</v>
      </c>
      <c r="W242" s="198">
        <v>68.279999000000004</v>
      </c>
      <c r="X242" s="349">
        <f t="shared" si="16"/>
        <v>-1.6084223074780413E-3</v>
      </c>
      <c r="Y242" s="198">
        <v>1986.4499510000001</v>
      </c>
      <c r="Z242" s="349">
        <f t="shared" si="17"/>
        <v>4.0943084379727601E-3</v>
      </c>
      <c r="AA242" s="324"/>
      <c r="AB242" s="324"/>
      <c r="AC242" s="324"/>
      <c r="AD242" s="324"/>
      <c r="AE242" s="324"/>
      <c r="AF242" s="324"/>
    </row>
    <row r="243" spans="1:32">
      <c r="A243" s="324"/>
      <c r="B243" s="244"/>
      <c r="C243" s="294"/>
      <c r="D243" s="235"/>
      <c r="E243" s="294"/>
      <c r="F243" s="235"/>
      <c r="G243" s="324"/>
      <c r="H243" s="324"/>
      <c r="I243" s="324"/>
      <c r="J243" s="324"/>
      <c r="K243" s="324"/>
      <c r="L243" s="377">
        <v>41126</v>
      </c>
      <c r="M243" s="198">
        <v>55.5</v>
      </c>
      <c r="N243" s="349">
        <f t="shared" si="14"/>
        <v>-5.554577933084115E-3</v>
      </c>
      <c r="O243" s="198">
        <v>1390.98999</v>
      </c>
      <c r="P243" s="349">
        <f t="shared" si="15"/>
        <v>3.6220258050598808E-3</v>
      </c>
      <c r="Q243" s="324"/>
      <c r="R243" s="324"/>
      <c r="S243" s="324"/>
      <c r="T243" s="324"/>
      <c r="U243" s="324"/>
      <c r="V243" s="377">
        <v>42430</v>
      </c>
      <c r="W243" s="198">
        <v>68.389999000000003</v>
      </c>
      <c r="X243" s="349">
        <f t="shared" si="16"/>
        <v>4.6518761943955989E-2</v>
      </c>
      <c r="Y243" s="198">
        <v>1978.349976</v>
      </c>
      <c r="Z243" s="349">
        <f t="shared" si="17"/>
        <v>2.3868792264572836E-2</v>
      </c>
      <c r="AA243" s="324"/>
      <c r="AB243" s="324"/>
      <c r="AC243" s="324"/>
      <c r="AD243" s="324"/>
      <c r="AE243" s="324"/>
      <c r="AF243" s="324"/>
    </row>
    <row r="244" spans="1:32">
      <c r="A244" s="324"/>
      <c r="B244" s="244"/>
      <c r="C244" s="294"/>
      <c r="D244" s="235"/>
      <c r="E244" s="294"/>
      <c r="F244" s="235"/>
      <c r="G244" s="324"/>
      <c r="H244" s="324"/>
      <c r="I244" s="324"/>
      <c r="J244" s="324"/>
      <c r="K244" s="324"/>
      <c r="L244" s="377">
        <v>41119</v>
      </c>
      <c r="M244" s="198">
        <v>55.810001</v>
      </c>
      <c r="N244" s="349">
        <f t="shared" si="14"/>
        <v>3.8905434867732014E-2</v>
      </c>
      <c r="O244" s="198">
        <v>1385.969971</v>
      </c>
      <c r="P244" s="349">
        <f t="shared" si="15"/>
        <v>1.7106201413697564E-2</v>
      </c>
      <c r="Q244" s="324"/>
      <c r="R244" s="324"/>
      <c r="S244" s="324"/>
      <c r="T244" s="324"/>
      <c r="U244" s="324"/>
      <c r="V244" s="377">
        <v>42429</v>
      </c>
      <c r="W244" s="198">
        <v>65.349997999999999</v>
      </c>
      <c r="X244" s="349">
        <f t="shared" si="16"/>
        <v>-3.8687921211183141E-2</v>
      </c>
      <c r="Y244" s="198">
        <v>1932.2299800000001</v>
      </c>
      <c r="Z244" s="349">
        <f t="shared" si="17"/>
        <v>-8.120976670040303E-3</v>
      </c>
      <c r="AA244" s="324"/>
      <c r="AB244" s="324"/>
      <c r="AC244" s="324"/>
      <c r="AD244" s="324"/>
      <c r="AE244" s="324"/>
      <c r="AF244" s="324"/>
    </row>
    <row r="245" spans="1:32">
      <c r="A245" s="324"/>
      <c r="B245" s="244"/>
      <c r="C245" s="294"/>
      <c r="D245" s="235"/>
      <c r="E245" s="294"/>
      <c r="F245" s="235"/>
      <c r="G245" s="324"/>
      <c r="H245" s="324"/>
      <c r="I245" s="324"/>
      <c r="J245" s="324"/>
      <c r="K245" s="324"/>
      <c r="L245" s="377">
        <v>41112</v>
      </c>
      <c r="M245" s="198">
        <v>53.720001000000003</v>
      </c>
      <c r="N245" s="349">
        <f t="shared" si="14"/>
        <v>2.3628067835365973E-2</v>
      </c>
      <c r="O245" s="198">
        <v>1362.660034</v>
      </c>
      <c r="P245" s="349">
        <f t="shared" si="15"/>
        <v>4.3337938901810702E-3</v>
      </c>
      <c r="Q245" s="324"/>
      <c r="R245" s="324"/>
      <c r="S245" s="324"/>
      <c r="T245" s="324"/>
      <c r="U245" s="324"/>
      <c r="V245" s="377">
        <v>42426</v>
      </c>
      <c r="W245" s="198">
        <v>67.980002999999996</v>
      </c>
      <c r="X245" s="349">
        <f t="shared" si="16"/>
        <v>4.4326684397162364E-3</v>
      </c>
      <c r="Y245" s="198">
        <v>1948.0500489999999</v>
      </c>
      <c r="Z245" s="349">
        <f t="shared" si="17"/>
        <v>-1.8701143063153403E-3</v>
      </c>
      <c r="AA245" s="324"/>
      <c r="AB245" s="324"/>
      <c r="AC245" s="324"/>
      <c r="AD245" s="324"/>
      <c r="AE245" s="324"/>
      <c r="AF245" s="324"/>
    </row>
    <row r="246" spans="1:32">
      <c r="A246" s="324"/>
      <c r="B246" s="244"/>
      <c r="C246" s="294"/>
      <c r="D246" s="235"/>
      <c r="E246" s="294"/>
      <c r="F246" s="235"/>
      <c r="G246" s="324"/>
      <c r="H246" s="324"/>
      <c r="I246" s="324"/>
      <c r="J246" s="324"/>
      <c r="K246" s="324"/>
      <c r="L246" s="377">
        <v>41105</v>
      </c>
      <c r="M246" s="198">
        <v>52.48</v>
      </c>
      <c r="N246" s="349">
        <f t="shared" si="14"/>
        <v>-8.6890632544213142E-3</v>
      </c>
      <c r="O246" s="198">
        <v>1356.780029</v>
      </c>
      <c r="P246" s="349">
        <f t="shared" si="15"/>
        <v>1.5501630763659069E-3</v>
      </c>
      <c r="Q246" s="324"/>
      <c r="R246" s="324"/>
      <c r="S246" s="324"/>
      <c r="T246" s="324"/>
      <c r="U246" s="324"/>
      <c r="V246" s="377">
        <v>42425</v>
      </c>
      <c r="W246" s="198">
        <v>67.680000000000007</v>
      </c>
      <c r="X246" s="349">
        <f t="shared" si="16"/>
        <v>3.5495700191314317E-2</v>
      </c>
      <c r="Y246" s="198">
        <v>1951.6999510000001</v>
      </c>
      <c r="Z246" s="349">
        <f t="shared" si="17"/>
        <v>1.1348275180813827E-2</v>
      </c>
      <c r="AA246" s="324"/>
      <c r="AB246" s="324"/>
      <c r="AC246" s="324"/>
      <c r="AD246" s="324"/>
      <c r="AE246" s="324"/>
      <c r="AF246" s="324"/>
    </row>
    <row r="247" spans="1:32">
      <c r="A247" s="324"/>
      <c r="B247" s="244"/>
      <c r="C247" s="294"/>
      <c r="D247" s="235"/>
      <c r="E247" s="294"/>
      <c r="F247" s="235"/>
      <c r="G247" s="324"/>
      <c r="H247" s="324"/>
      <c r="I247" s="324"/>
      <c r="J247" s="324"/>
      <c r="K247" s="324"/>
      <c r="L247" s="377">
        <v>41098</v>
      </c>
      <c r="M247" s="198">
        <v>52.939999</v>
      </c>
      <c r="N247" s="349">
        <f t="shared" si="14"/>
        <v>-6.2677071529744999E-2</v>
      </c>
      <c r="O247" s="198">
        <v>1354.6800539999999</v>
      </c>
      <c r="P247" s="349">
        <f t="shared" si="15"/>
        <v>-5.491263737958163E-3</v>
      </c>
      <c r="Q247" s="324"/>
      <c r="R247" s="324"/>
      <c r="S247" s="324"/>
      <c r="T247" s="324"/>
      <c r="U247" s="324"/>
      <c r="V247" s="377">
        <v>42424</v>
      </c>
      <c r="W247" s="198">
        <v>65.360000999999997</v>
      </c>
      <c r="X247" s="349">
        <f t="shared" si="16"/>
        <v>9.1880547080513963E-4</v>
      </c>
      <c r="Y247" s="198">
        <v>1929.8000489999999</v>
      </c>
      <c r="Z247" s="349">
        <f t="shared" si="17"/>
        <v>4.4397866573695488E-3</v>
      </c>
      <c r="AA247" s="324"/>
      <c r="AB247" s="324"/>
      <c r="AC247" s="324"/>
      <c r="AD247" s="324"/>
      <c r="AE247" s="324"/>
      <c r="AF247" s="324"/>
    </row>
    <row r="248" spans="1:32">
      <c r="A248" s="324"/>
      <c r="B248" s="244"/>
      <c r="C248" s="294"/>
      <c r="D248" s="235"/>
      <c r="E248" s="294"/>
      <c r="F248" s="235"/>
      <c r="G248" s="324"/>
      <c r="H248" s="324"/>
      <c r="I248" s="324"/>
      <c r="J248" s="324"/>
      <c r="K248" s="324"/>
      <c r="L248" s="377">
        <v>41091</v>
      </c>
      <c r="M248" s="198">
        <v>56.48</v>
      </c>
      <c r="N248" s="349">
        <f t="shared" si="14"/>
        <v>2.6722451435100769E-2</v>
      </c>
      <c r="O248" s="198">
        <v>1362.160034</v>
      </c>
      <c r="P248" s="349">
        <f t="shared" si="15"/>
        <v>2.0329293638607915E-2</v>
      </c>
      <c r="Q248" s="324"/>
      <c r="R248" s="324"/>
      <c r="S248" s="324"/>
      <c r="T248" s="324"/>
      <c r="U248" s="324"/>
      <c r="V248" s="377">
        <v>42423</v>
      </c>
      <c r="W248" s="198">
        <v>65.300003000000004</v>
      </c>
      <c r="X248" s="349">
        <f t="shared" si="16"/>
        <v>-1.2252276323517108E-2</v>
      </c>
      <c r="Y248" s="198">
        <v>1921.2700199999999</v>
      </c>
      <c r="Z248" s="349">
        <f t="shared" si="17"/>
        <v>-1.2454371626831162E-2</v>
      </c>
      <c r="AA248" s="324"/>
      <c r="AB248" s="324"/>
      <c r="AC248" s="324"/>
      <c r="AD248" s="324"/>
      <c r="AE248" s="324"/>
      <c r="AF248" s="324"/>
    </row>
    <row r="249" spans="1:32">
      <c r="A249" s="324"/>
      <c r="B249" s="244"/>
      <c r="C249" s="294"/>
      <c r="D249" s="235"/>
      <c r="E249" s="294"/>
      <c r="F249" s="235"/>
      <c r="G249" s="324"/>
      <c r="H249" s="324"/>
      <c r="I249" s="324"/>
      <c r="J249" s="324"/>
      <c r="K249" s="324"/>
      <c r="L249" s="377">
        <v>41084</v>
      </c>
      <c r="M249" s="198">
        <v>55.009998000000003</v>
      </c>
      <c r="N249" s="349">
        <f t="shared" si="14"/>
        <v>-2.6199397195985075E-2</v>
      </c>
      <c r="O249" s="198">
        <v>1335.0200199999999</v>
      </c>
      <c r="P249" s="349">
        <f t="shared" si="15"/>
        <v>-5.8234385317662563E-3</v>
      </c>
      <c r="Q249" s="324"/>
      <c r="R249" s="324"/>
      <c r="S249" s="324"/>
      <c r="T249" s="324"/>
      <c r="U249" s="324"/>
      <c r="V249" s="377">
        <v>42422</v>
      </c>
      <c r="W249" s="198">
        <v>66.110000999999997</v>
      </c>
      <c r="X249" s="349">
        <f t="shared" si="16"/>
        <v>3.1866311627728461E-3</v>
      </c>
      <c r="Y249" s="198">
        <v>1945.5</v>
      </c>
      <c r="Z249" s="349">
        <f t="shared" si="17"/>
        <v>1.4454197343192865E-2</v>
      </c>
      <c r="AA249" s="324"/>
      <c r="AB249" s="324"/>
      <c r="AC249" s="324"/>
      <c r="AD249" s="324"/>
      <c r="AE249" s="324"/>
      <c r="AF249" s="324"/>
    </row>
    <row r="250" spans="1:32">
      <c r="A250" s="324"/>
      <c r="B250" s="244"/>
      <c r="C250" s="294"/>
      <c r="D250" s="235"/>
      <c r="E250" s="294"/>
      <c r="F250" s="235"/>
      <c r="G250" s="324"/>
      <c r="H250" s="324"/>
      <c r="I250" s="324"/>
      <c r="J250" s="324"/>
      <c r="K250" s="324"/>
      <c r="L250" s="377">
        <v>41077</v>
      </c>
      <c r="M250" s="198">
        <v>56.490001999999997</v>
      </c>
      <c r="N250" s="349">
        <f t="shared" si="14"/>
        <v>1.3091894300283125E-2</v>
      </c>
      <c r="O250" s="198">
        <v>1342.839966</v>
      </c>
      <c r="P250" s="349">
        <f t="shared" si="15"/>
        <v>1.2959530769108163E-2</v>
      </c>
      <c r="Q250" s="324"/>
      <c r="R250" s="324"/>
      <c r="S250" s="324"/>
      <c r="T250" s="324"/>
      <c r="U250" s="324"/>
      <c r="V250" s="377">
        <v>42419</v>
      </c>
      <c r="W250" s="198">
        <v>65.900002000000001</v>
      </c>
      <c r="X250" s="349">
        <f t="shared" si="16"/>
        <v>8.4162818184019272E-3</v>
      </c>
      <c r="Y250" s="198">
        <v>1917.780029</v>
      </c>
      <c r="Z250" s="349">
        <f t="shared" si="17"/>
        <v>-2.6033069221664817E-5</v>
      </c>
      <c r="AA250" s="324"/>
      <c r="AB250" s="324"/>
      <c r="AC250" s="324"/>
      <c r="AD250" s="324"/>
      <c r="AE250" s="324"/>
      <c r="AF250" s="324"/>
    </row>
    <row r="251" spans="1:32">
      <c r="A251" s="324"/>
      <c r="B251" s="244"/>
      <c r="C251" s="294"/>
      <c r="D251" s="235"/>
      <c r="E251" s="294"/>
      <c r="F251" s="235"/>
      <c r="G251" s="324"/>
      <c r="H251" s="324"/>
      <c r="I251" s="324"/>
      <c r="J251" s="324"/>
      <c r="K251" s="324"/>
      <c r="L251" s="377">
        <v>41070</v>
      </c>
      <c r="M251" s="198">
        <v>55.759998000000003</v>
      </c>
      <c r="N251" s="349">
        <f t="shared" si="14"/>
        <v>0.11743478487235337</v>
      </c>
      <c r="O251" s="198">
        <v>1325.660034</v>
      </c>
      <c r="P251" s="349">
        <f t="shared" si="15"/>
        <v>3.7260174600836526E-2</v>
      </c>
      <c r="Q251" s="324"/>
      <c r="R251" s="324"/>
      <c r="S251" s="324"/>
      <c r="T251" s="324"/>
      <c r="U251" s="324"/>
      <c r="V251" s="377">
        <v>42418</v>
      </c>
      <c r="W251" s="198">
        <v>65.349997999999999</v>
      </c>
      <c r="X251" s="349">
        <f t="shared" si="16"/>
        <v>-1.4923094056261355E-2</v>
      </c>
      <c r="Y251" s="198">
        <v>1917.829956</v>
      </c>
      <c r="Z251" s="349">
        <f t="shared" si="17"/>
        <v>-4.6657135860892485E-3</v>
      </c>
      <c r="AA251" s="324"/>
      <c r="AB251" s="324"/>
      <c r="AC251" s="324"/>
      <c r="AD251" s="324"/>
      <c r="AE251" s="324"/>
      <c r="AF251" s="324"/>
    </row>
    <row r="252" spans="1:32">
      <c r="A252" s="324"/>
      <c r="B252" s="244"/>
      <c r="C252" s="294"/>
      <c r="D252" s="235"/>
      <c r="E252" s="294"/>
      <c r="F252" s="235"/>
      <c r="G252" s="324"/>
      <c r="H252" s="324"/>
      <c r="I252" s="324"/>
      <c r="J252" s="324"/>
      <c r="K252" s="324"/>
      <c r="L252" s="377">
        <v>41063</v>
      </c>
      <c r="M252" s="198">
        <v>49.900002000000001</v>
      </c>
      <c r="N252" s="349">
        <f t="shared" si="14"/>
        <v>-4.2042580149740938E-2</v>
      </c>
      <c r="O252" s="198">
        <v>1278.040039</v>
      </c>
      <c r="P252" s="349">
        <f t="shared" si="15"/>
        <v>-3.0186147296331844E-2</v>
      </c>
      <c r="Q252" s="324"/>
      <c r="R252" s="324"/>
      <c r="S252" s="324"/>
      <c r="T252" s="324"/>
      <c r="U252" s="324"/>
      <c r="V252" s="377">
        <v>42417</v>
      </c>
      <c r="W252" s="198">
        <v>66.339995999999999</v>
      </c>
      <c r="X252" s="349">
        <f t="shared" si="16"/>
        <v>3.916033834586452E-2</v>
      </c>
      <c r="Y252" s="198">
        <v>1926.8199460000001</v>
      </c>
      <c r="Z252" s="349">
        <f t="shared" si="17"/>
        <v>1.6480439087318555E-2</v>
      </c>
      <c r="AA252" s="324"/>
      <c r="AB252" s="324"/>
      <c r="AC252" s="324"/>
      <c r="AD252" s="324"/>
      <c r="AE252" s="324"/>
      <c r="AF252" s="324"/>
    </row>
    <row r="253" spans="1:32">
      <c r="A253" s="324"/>
      <c r="B253" s="244"/>
      <c r="C253" s="294"/>
      <c r="D253" s="235"/>
      <c r="E253" s="294"/>
      <c r="F253" s="235"/>
      <c r="G253" s="324"/>
      <c r="H253" s="324"/>
      <c r="I253" s="324"/>
      <c r="J253" s="324"/>
      <c r="K253" s="324"/>
      <c r="L253" s="377">
        <v>41056</v>
      </c>
      <c r="M253" s="198">
        <v>52.09</v>
      </c>
      <c r="N253" s="349">
        <f t="shared" si="14"/>
        <v>-2.6900785109299052E-2</v>
      </c>
      <c r="O253" s="198">
        <v>1317.8199460000001</v>
      </c>
      <c r="P253" s="349">
        <f t="shared" si="15"/>
        <v>1.7448754270327882E-2</v>
      </c>
      <c r="Q253" s="324"/>
      <c r="R253" s="324"/>
      <c r="S253" s="324"/>
      <c r="T253" s="324"/>
      <c r="U253" s="324"/>
      <c r="V253" s="377">
        <v>42416</v>
      </c>
      <c r="W253" s="198">
        <v>63.84</v>
      </c>
      <c r="X253" s="349">
        <f t="shared" si="16"/>
        <v>-4.2115269971684244E-3</v>
      </c>
      <c r="Y253" s="198">
        <v>1895.579956</v>
      </c>
      <c r="Z253" s="349">
        <f t="shared" si="17"/>
        <v>1.6516654254666641E-2</v>
      </c>
      <c r="AA253" s="324"/>
      <c r="AB253" s="324"/>
      <c r="AC253" s="324"/>
      <c r="AD253" s="324"/>
      <c r="AE253" s="324"/>
      <c r="AF253" s="324"/>
    </row>
    <row r="254" spans="1:32">
      <c r="A254" s="324"/>
      <c r="B254" s="244"/>
      <c r="C254" s="294"/>
      <c r="D254" s="235"/>
      <c r="E254" s="294"/>
      <c r="F254" s="235"/>
      <c r="G254" s="324"/>
      <c r="H254" s="324"/>
      <c r="I254" s="324"/>
      <c r="J254" s="324"/>
      <c r="K254" s="324"/>
      <c r="L254" s="377">
        <v>41049</v>
      </c>
      <c r="M254" s="198">
        <v>53.529998999999997</v>
      </c>
      <c r="N254" s="349">
        <f t="shared" si="14"/>
        <v>-5.5408489691494256E-2</v>
      </c>
      <c r="O254" s="198">
        <v>1295.219971</v>
      </c>
      <c r="P254" s="349">
        <f t="shared" si="15"/>
        <v>-4.2980990959948784E-2</v>
      </c>
      <c r="Q254" s="324"/>
      <c r="R254" s="324"/>
      <c r="S254" s="324"/>
      <c r="T254" s="324"/>
      <c r="U254" s="324"/>
      <c r="V254" s="377">
        <v>42412</v>
      </c>
      <c r="W254" s="198">
        <v>64.110000999999997</v>
      </c>
      <c r="X254" s="349">
        <f t="shared" si="16"/>
        <v>3.4532837912976566E-2</v>
      </c>
      <c r="Y254" s="198">
        <v>1864.780029</v>
      </c>
      <c r="Z254" s="349">
        <f t="shared" si="17"/>
        <v>1.9518049434029239E-2</v>
      </c>
      <c r="AA254" s="324"/>
      <c r="AB254" s="324"/>
      <c r="AC254" s="324"/>
      <c r="AD254" s="324"/>
      <c r="AE254" s="324"/>
      <c r="AF254" s="324"/>
    </row>
    <row r="255" spans="1:32">
      <c r="A255" s="324"/>
      <c r="B255" s="244"/>
      <c r="C255" s="294"/>
      <c r="D255" s="235"/>
      <c r="E255" s="294"/>
      <c r="F255" s="235"/>
      <c r="G255" s="324"/>
      <c r="H255" s="324"/>
      <c r="I255" s="324"/>
      <c r="J255" s="324"/>
      <c r="K255" s="324"/>
      <c r="L255" s="377">
        <v>41042</v>
      </c>
      <c r="M255" s="198">
        <v>56.669998</v>
      </c>
      <c r="N255" s="349">
        <f t="shared" si="14"/>
        <v>-3.458267402755244E-2</v>
      </c>
      <c r="O255" s="198">
        <v>1353.3900149999999</v>
      </c>
      <c r="P255" s="349">
        <f t="shared" si="15"/>
        <v>-1.1474663118393069E-2</v>
      </c>
      <c r="Q255" s="324"/>
      <c r="R255" s="324"/>
      <c r="S255" s="324"/>
      <c r="T255" s="324"/>
      <c r="U255" s="324"/>
      <c r="V255" s="377">
        <v>42411</v>
      </c>
      <c r="W255" s="198">
        <v>61.970001000000003</v>
      </c>
      <c r="X255" s="349">
        <f t="shared" si="16"/>
        <v>-2.4708844433288468E-2</v>
      </c>
      <c r="Y255" s="198">
        <v>1829.079956</v>
      </c>
      <c r="Z255" s="349">
        <f t="shared" si="17"/>
        <v>-1.2301161634528213E-2</v>
      </c>
      <c r="AA255" s="324"/>
      <c r="AB255" s="324"/>
      <c r="AC255" s="324"/>
      <c r="AD255" s="324"/>
      <c r="AE255" s="324"/>
      <c r="AF255" s="324"/>
    </row>
    <row r="256" spans="1:32">
      <c r="A256" s="324"/>
      <c r="B256" s="244"/>
      <c r="C256" s="294"/>
      <c r="D256" s="235"/>
      <c r="E256" s="294"/>
      <c r="F256" s="235"/>
      <c r="G256" s="324"/>
      <c r="H256" s="324"/>
      <c r="I256" s="324"/>
      <c r="J256" s="324"/>
      <c r="K256" s="324"/>
      <c r="L256" s="377">
        <v>41035</v>
      </c>
      <c r="M256" s="198">
        <v>58.700001</v>
      </c>
      <c r="N256" s="349">
        <f t="shared" si="14"/>
        <v>-3.6283024133968111E-2</v>
      </c>
      <c r="O256" s="198">
        <v>1369.099976</v>
      </c>
      <c r="P256" s="349">
        <f t="shared" si="15"/>
        <v>-2.4412844434922421E-2</v>
      </c>
      <c r="Q256" s="324"/>
      <c r="R256" s="324"/>
      <c r="S256" s="324"/>
      <c r="T256" s="324"/>
      <c r="U256" s="324"/>
      <c r="V256" s="377">
        <v>42410</v>
      </c>
      <c r="W256" s="198">
        <v>63.540000999999997</v>
      </c>
      <c r="X256" s="349">
        <f t="shared" si="16"/>
        <v>3.1493556217323304E-2</v>
      </c>
      <c r="Y256" s="198">
        <v>1851.8599850000001</v>
      </c>
      <c r="Z256" s="349">
        <f t="shared" si="17"/>
        <v>-1.8895050095235622E-4</v>
      </c>
      <c r="AA256" s="324"/>
      <c r="AB256" s="324"/>
      <c r="AC256" s="324"/>
      <c r="AD256" s="324"/>
      <c r="AE256" s="324"/>
      <c r="AF256" s="324"/>
    </row>
    <row r="257" spans="1:32">
      <c r="A257" s="324"/>
      <c r="B257" s="244"/>
      <c r="C257" s="294"/>
      <c r="D257" s="235"/>
      <c r="E257" s="294"/>
      <c r="F257" s="235"/>
      <c r="G257" s="324"/>
      <c r="H257" s="324"/>
      <c r="I257" s="324"/>
      <c r="J257" s="324"/>
      <c r="K257" s="324"/>
      <c r="L257" s="377">
        <v>41028</v>
      </c>
      <c r="M257" s="198">
        <v>60.91</v>
      </c>
      <c r="N257" s="349">
        <f t="shared" si="14"/>
        <v>5.9455162005865869E-3</v>
      </c>
      <c r="O257" s="198">
        <v>1403.3599850000001</v>
      </c>
      <c r="P257" s="349">
        <f t="shared" si="15"/>
        <v>1.8011907958227047E-2</v>
      </c>
      <c r="Q257" s="324"/>
      <c r="R257" s="324"/>
      <c r="S257" s="324"/>
      <c r="T257" s="324"/>
      <c r="U257" s="324"/>
      <c r="V257" s="377">
        <v>42409</v>
      </c>
      <c r="W257" s="198">
        <v>61.599997999999999</v>
      </c>
      <c r="X257" s="349">
        <f t="shared" si="16"/>
        <v>1.0996192351879097E-2</v>
      </c>
      <c r="Y257" s="198">
        <v>1852.209961</v>
      </c>
      <c r="Z257" s="349">
        <f t="shared" si="17"/>
        <v>-6.6362010054477061E-4</v>
      </c>
      <c r="AA257" s="324"/>
      <c r="AB257" s="324"/>
      <c r="AC257" s="324"/>
      <c r="AD257" s="324"/>
      <c r="AE257" s="324"/>
      <c r="AF257" s="324"/>
    </row>
    <row r="258" spans="1:32">
      <c r="A258" s="324"/>
      <c r="B258" s="244"/>
      <c r="C258" s="294"/>
      <c r="D258" s="235"/>
      <c r="E258" s="294"/>
      <c r="F258" s="235"/>
      <c r="G258" s="324"/>
      <c r="H258" s="324"/>
      <c r="I258" s="324"/>
      <c r="J258" s="324"/>
      <c r="K258" s="324"/>
      <c r="L258" s="377">
        <v>41021</v>
      </c>
      <c r="M258" s="198">
        <v>60.549999</v>
      </c>
      <c r="N258" s="349">
        <f t="shared" si="14"/>
        <v>5.8139201692040121E-3</v>
      </c>
      <c r="O258" s="198">
        <v>1378.530029</v>
      </c>
      <c r="P258" s="349">
        <f t="shared" si="15"/>
        <v>6.035364777229324E-3</v>
      </c>
      <c r="Q258" s="324"/>
      <c r="R258" s="324"/>
      <c r="S258" s="324"/>
      <c r="T258" s="324"/>
      <c r="U258" s="324"/>
      <c r="V258" s="377">
        <v>42408</v>
      </c>
      <c r="W258" s="198">
        <v>60.93</v>
      </c>
      <c r="X258" s="349">
        <f t="shared" si="16"/>
        <v>-3.5001568498599478E-2</v>
      </c>
      <c r="Y258" s="198">
        <v>1853.4399410000001</v>
      </c>
      <c r="Z258" s="349">
        <f t="shared" si="17"/>
        <v>-1.4153935962584518E-2</v>
      </c>
      <c r="AA258" s="324"/>
      <c r="AB258" s="324"/>
      <c r="AC258" s="324"/>
      <c r="AD258" s="324"/>
      <c r="AE258" s="324"/>
      <c r="AF258" s="324"/>
    </row>
    <row r="259" spans="1:32">
      <c r="A259" s="324"/>
      <c r="B259" s="244"/>
      <c r="C259" s="294"/>
      <c r="D259" s="235"/>
      <c r="E259" s="294"/>
      <c r="F259" s="235"/>
      <c r="G259" s="324"/>
      <c r="H259" s="324"/>
      <c r="I259" s="324"/>
      <c r="J259" s="324"/>
      <c r="K259" s="324"/>
      <c r="L259" s="377">
        <v>41014</v>
      </c>
      <c r="M259" s="198">
        <v>60.200001</v>
      </c>
      <c r="N259" s="349">
        <f t="shared" si="14"/>
        <v>-1.2305167968742148E-2</v>
      </c>
      <c r="O259" s="198">
        <v>1370.26001</v>
      </c>
      <c r="P259" s="349">
        <f t="shared" si="15"/>
        <v>-1.9898680244007538E-2</v>
      </c>
      <c r="Q259" s="324"/>
      <c r="R259" s="324"/>
      <c r="S259" s="324"/>
      <c r="T259" s="324"/>
      <c r="U259" s="324"/>
      <c r="V259" s="377">
        <v>42405</v>
      </c>
      <c r="W259" s="198">
        <v>63.139999000000003</v>
      </c>
      <c r="X259" s="349">
        <f t="shared" si="16"/>
        <v>-7.9860153897107766E-2</v>
      </c>
      <c r="Y259" s="198">
        <v>1880.0500489999999</v>
      </c>
      <c r="Z259" s="349">
        <f t="shared" si="17"/>
        <v>-1.8481246133065898E-2</v>
      </c>
      <c r="AA259" s="324"/>
      <c r="AB259" s="324"/>
      <c r="AC259" s="324"/>
      <c r="AD259" s="324"/>
      <c r="AE259" s="324"/>
      <c r="AF259" s="324"/>
    </row>
    <row r="260" spans="1:32">
      <c r="A260" s="324"/>
      <c r="B260" s="244"/>
      <c r="C260" s="294"/>
      <c r="D260" s="235"/>
      <c r="E260" s="294"/>
      <c r="F260" s="235"/>
      <c r="G260" s="324"/>
      <c r="H260" s="324"/>
      <c r="I260" s="324"/>
      <c r="J260" s="324"/>
      <c r="K260" s="324"/>
      <c r="L260" s="377">
        <v>41007</v>
      </c>
      <c r="M260" s="198">
        <v>60.950001</v>
      </c>
      <c r="N260" s="349">
        <f t="shared" si="14"/>
        <v>1.7699148734332093E-2</v>
      </c>
      <c r="O260" s="198">
        <v>1398.079956</v>
      </c>
      <c r="P260" s="349">
        <f t="shared" si="15"/>
        <v>-7.3768097395950916E-3</v>
      </c>
      <c r="Q260" s="324"/>
      <c r="R260" s="324"/>
      <c r="S260" s="324"/>
      <c r="T260" s="324"/>
      <c r="U260" s="324"/>
      <c r="V260" s="377">
        <v>42404</v>
      </c>
      <c r="W260" s="198">
        <v>68.620002999999997</v>
      </c>
      <c r="X260" s="349">
        <f t="shared" si="16"/>
        <v>1.3589454073387852E-2</v>
      </c>
      <c r="Y260" s="198">
        <v>1915.4499510000001</v>
      </c>
      <c r="Z260" s="349">
        <f t="shared" si="17"/>
        <v>1.5267326294097217E-3</v>
      </c>
      <c r="AA260" s="324"/>
      <c r="AB260" s="324"/>
      <c r="AC260" s="324"/>
      <c r="AD260" s="324"/>
      <c r="AE260" s="324"/>
      <c r="AF260" s="324"/>
    </row>
    <row r="261" spans="1:32">
      <c r="A261" s="324"/>
      <c r="B261" s="244"/>
      <c r="C261" s="294"/>
      <c r="D261" s="235"/>
      <c r="E261" s="294"/>
      <c r="F261" s="235"/>
      <c r="G261" s="324"/>
      <c r="H261" s="324"/>
      <c r="I261" s="324"/>
      <c r="J261" s="324"/>
      <c r="K261" s="324"/>
      <c r="L261" s="377">
        <v>41000</v>
      </c>
      <c r="M261" s="198">
        <v>59.889999000000003</v>
      </c>
      <c r="N261" s="349">
        <f t="shared" si="14"/>
        <v>0.15461731549291158</v>
      </c>
      <c r="O261" s="198">
        <v>1408.469971</v>
      </c>
      <c r="P261" s="349">
        <f t="shared" si="15"/>
        <v>8.1310606337123836E-3</v>
      </c>
      <c r="Q261" s="324"/>
      <c r="R261" s="324"/>
      <c r="S261" s="324"/>
      <c r="T261" s="324"/>
      <c r="U261" s="324"/>
      <c r="V261" s="377">
        <v>42403</v>
      </c>
      <c r="W261" s="198">
        <v>67.699996999999996</v>
      </c>
      <c r="X261" s="349">
        <f t="shared" si="16"/>
        <v>-1.9166297533058652E-3</v>
      </c>
      <c r="Y261" s="198">
        <v>1912.530029</v>
      </c>
      <c r="Z261" s="349">
        <f t="shared" si="17"/>
        <v>4.9920389353981243E-3</v>
      </c>
      <c r="AA261" s="324"/>
      <c r="AB261" s="324"/>
      <c r="AC261" s="324"/>
      <c r="AD261" s="324"/>
      <c r="AE261" s="324"/>
      <c r="AF261" s="324"/>
    </row>
    <row r="262" spans="1:32">
      <c r="A262" s="324"/>
      <c r="B262" s="244"/>
      <c r="C262" s="294"/>
      <c r="D262" s="235"/>
      <c r="E262" s="294"/>
      <c r="F262" s="235"/>
      <c r="G262" s="324"/>
      <c r="H262" s="324"/>
      <c r="I262" s="324"/>
      <c r="J262" s="324"/>
      <c r="K262" s="324"/>
      <c r="L262" s="377">
        <v>40993</v>
      </c>
      <c r="M262" s="198">
        <v>51.869999</v>
      </c>
      <c r="N262" s="349">
        <f t="shared" si="14"/>
        <v>2.428910000570883E-2</v>
      </c>
      <c r="O262" s="198">
        <v>1397.1099850000001</v>
      </c>
      <c r="P262" s="349">
        <f t="shared" si="15"/>
        <v>-5.0279230996042035E-3</v>
      </c>
      <c r="Q262" s="324"/>
      <c r="R262" s="324"/>
      <c r="S262" s="324"/>
      <c r="T262" s="324"/>
      <c r="U262" s="324"/>
      <c r="V262" s="377">
        <v>42402</v>
      </c>
      <c r="W262" s="198">
        <v>67.830001999999993</v>
      </c>
      <c r="X262" s="349">
        <f t="shared" si="16"/>
        <v>-3.7052809850857349E-2</v>
      </c>
      <c r="Y262" s="198">
        <v>1903.030029</v>
      </c>
      <c r="Z262" s="349">
        <f t="shared" si="17"/>
        <v>-1.8743091042644822E-2</v>
      </c>
      <c r="AA262" s="324"/>
      <c r="AB262" s="324"/>
      <c r="AC262" s="324"/>
      <c r="AD262" s="324"/>
      <c r="AE262" s="324"/>
      <c r="AF262" s="324"/>
    </row>
    <row r="263" spans="1:32">
      <c r="A263" s="324"/>
      <c r="B263" s="244"/>
      <c r="C263" s="294"/>
      <c r="D263" s="235"/>
      <c r="E263" s="294"/>
      <c r="F263" s="235"/>
      <c r="G263" s="324"/>
      <c r="H263" s="324"/>
      <c r="I263" s="324"/>
      <c r="J263" s="324"/>
      <c r="K263" s="324"/>
      <c r="L263" s="377">
        <v>40986</v>
      </c>
      <c r="M263" s="198">
        <v>50.639999000000003</v>
      </c>
      <c r="N263" s="349">
        <f t="shared" si="14"/>
        <v>1.3842001186474828E-3</v>
      </c>
      <c r="O263" s="198">
        <v>1404.170044</v>
      </c>
      <c r="P263" s="349">
        <f t="shared" si="15"/>
        <v>2.4291179412676556E-2</v>
      </c>
      <c r="Q263" s="324"/>
      <c r="R263" s="324"/>
      <c r="S263" s="324"/>
      <c r="T263" s="324"/>
      <c r="U263" s="324"/>
      <c r="V263" s="377">
        <v>42401</v>
      </c>
      <c r="W263" s="198">
        <v>70.440002000000007</v>
      </c>
      <c r="X263" s="349">
        <f t="shared" si="16"/>
        <v>5.5674373061769256E-3</v>
      </c>
      <c r="Y263" s="198">
        <v>1939.380005</v>
      </c>
      <c r="Z263" s="349">
        <f t="shared" si="17"/>
        <v>-4.4323640602828007E-4</v>
      </c>
      <c r="AA263" s="324"/>
      <c r="AB263" s="324"/>
      <c r="AC263" s="324"/>
      <c r="AD263" s="324"/>
      <c r="AE263" s="324"/>
      <c r="AF263" s="324"/>
    </row>
    <row r="264" spans="1:32">
      <c r="A264" s="324"/>
      <c r="B264" s="244"/>
      <c r="C264" s="294"/>
      <c r="D264" s="235"/>
      <c r="E264" s="294"/>
      <c r="F264" s="235"/>
      <c r="G264" s="324"/>
      <c r="H264" s="324"/>
      <c r="I264" s="324"/>
      <c r="J264" s="324"/>
      <c r="K264" s="324"/>
      <c r="L264" s="377">
        <v>40979</v>
      </c>
      <c r="M264" s="198">
        <v>50.57</v>
      </c>
      <c r="N264" s="349">
        <f t="shared" si="14"/>
        <v>6.7688632291460493E-3</v>
      </c>
      <c r="O264" s="198">
        <v>1370.869995</v>
      </c>
      <c r="P264" s="349">
        <f t="shared" si="15"/>
        <v>9.0534669616859631E-4</v>
      </c>
      <c r="Q264" s="324"/>
      <c r="R264" s="324"/>
      <c r="S264" s="324"/>
      <c r="T264" s="324"/>
      <c r="U264" s="324"/>
      <c r="V264" s="377">
        <v>42398</v>
      </c>
      <c r="W264" s="198">
        <v>70.050003000000004</v>
      </c>
      <c r="X264" s="349">
        <f t="shared" si="16"/>
        <v>3.9471791652645694E-2</v>
      </c>
      <c r="Y264" s="198">
        <v>1940.23999</v>
      </c>
      <c r="Z264" s="349">
        <f t="shared" si="17"/>
        <v>2.476021748183288E-2</v>
      </c>
      <c r="AA264" s="324"/>
      <c r="AB264" s="324"/>
      <c r="AC264" s="324"/>
      <c r="AD264" s="324"/>
      <c r="AE264" s="324"/>
      <c r="AF264" s="324"/>
    </row>
    <row r="265" spans="1:32">
      <c r="A265" s="324"/>
      <c r="B265" s="244"/>
      <c r="C265" s="294"/>
      <c r="D265" s="235"/>
      <c r="E265" s="294"/>
      <c r="F265" s="235"/>
      <c r="G265" s="324"/>
      <c r="H265" s="324"/>
      <c r="I265" s="324"/>
      <c r="J265" s="324"/>
      <c r="K265" s="324"/>
      <c r="L265" s="377">
        <v>40972</v>
      </c>
      <c r="M265" s="198">
        <v>50.23</v>
      </c>
      <c r="N265" s="349">
        <f t="shared" ref="N265:N266" si="18">M265/M266-1</f>
        <v>4.3991603438975346E-3</v>
      </c>
      <c r="O265" s="198">
        <v>1369.630005</v>
      </c>
      <c r="P265" s="349">
        <f t="shared" ref="P265:P266" si="19">O265/O266-1</f>
        <v>2.8482837351786472E-3</v>
      </c>
      <c r="Q265" s="324"/>
      <c r="R265" s="324"/>
      <c r="S265" s="324"/>
      <c r="T265" s="324"/>
      <c r="U265" s="324"/>
      <c r="V265" s="377">
        <v>42397</v>
      </c>
      <c r="W265" s="198">
        <v>67.389999000000003</v>
      </c>
      <c r="X265" s="349">
        <f t="shared" ref="X265:X328" si="20">W265/W266-1</f>
        <v>-8.8248127320138536E-3</v>
      </c>
      <c r="Y265" s="198">
        <v>1893.3599850000001</v>
      </c>
      <c r="Z265" s="349">
        <f t="shared" ref="Z265:Z328" si="21">Y265/Y266-1</f>
        <v>5.5285771108635196E-3</v>
      </c>
      <c r="AA265" s="324"/>
      <c r="AB265" s="324"/>
      <c r="AC265" s="324"/>
      <c r="AD265" s="324"/>
      <c r="AE265" s="324"/>
      <c r="AF265" s="324"/>
    </row>
    <row r="266" spans="1:32">
      <c r="A266" s="324"/>
      <c r="B266" s="244"/>
      <c r="C266" s="294"/>
      <c r="D266" s="235"/>
      <c r="E266" s="294"/>
      <c r="F266" s="235"/>
      <c r="G266" s="324"/>
      <c r="H266" s="324"/>
      <c r="I266" s="324"/>
      <c r="J266" s="324"/>
      <c r="K266" s="324"/>
      <c r="L266" s="377">
        <v>40965</v>
      </c>
      <c r="M266" s="198">
        <v>50.009998000000003</v>
      </c>
      <c r="N266" s="349">
        <f t="shared" si="18"/>
        <v>2.880059599258189E-2</v>
      </c>
      <c r="O266" s="198">
        <v>1365.73999</v>
      </c>
      <c r="P266" s="349">
        <f t="shared" si="19"/>
        <v>3.3131873866016903E-3</v>
      </c>
      <c r="Q266" s="324"/>
      <c r="R266" s="324"/>
      <c r="S266" s="324"/>
      <c r="T266" s="324"/>
      <c r="U266" s="324"/>
      <c r="V266" s="377">
        <v>42396</v>
      </c>
      <c r="W266" s="198">
        <v>67.989998</v>
      </c>
      <c r="X266" s="349">
        <f t="shared" si="20"/>
        <v>-4.1854580634929195E-2</v>
      </c>
      <c r="Y266" s="198">
        <v>1882.9499510000001</v>
      </c>
      <c r="Z266" s="349">
        <f t="shared" si="21"/>
        <v>-1.0863483946818686E-2</v>
      </c>
      <c r="AA266" s="324"/>
      <c r="AB266" s="324"/>
      <c r="AC266" s="324"/>
      <c r="AD266" s="324"/>
      <c r="AE266" s="324"/>
      <c r="AF266" s="324"/>
    </row>
    <row r="267" spans="1:32">
      <c r="A267" s="324"/>
      <c r="B267" s="244"/>
      <c r="C267" s="294"/>
      <c r="D267" s="235"/>
      <c r="E267" s="294"/>
      <c r="F267" s="235"/>
      <c r="G267" s="324"/>
      <c r="H267" s="324"/>
      <c r="I267" s="324"/>
      <c r="J267" s="324"/>
      <c r="K267" s="324"/>
      <c r="L267" s="377">
        <v>40958</v>
      </c>
      <c r="M267" s="198">
        <v>48.610000999999997</v>
      </c>
      <c r="N267" s="325"/>
      <c r="O267" s="198">
        <v>1361.2299800000001</v>
      </c>
      <c r="P267" s="325"/>
      <c r="Q267" s="324"/>
      <c r="R267" s="324"/>
      <c r="S267" s="324"/>
      <c r="T267" s="324"/>
      <c r="U267" s="324"/>
      <c r="V267" s="377">
        <v>42395</v>
      </c>
      <c r="W267" s="198">
        <v>70.959998999999996</v>
      </c>
      <c r="X267" s="349">
        <f t="shared" si="20"/>
        <v>-1.087258184757689E-2</v>
      </c>
      <c r="Y267" s="198">
        <v>1903.630005</v>
      </c>
      <c r="Z267" s="349">
        <f t="shared" si="21"/>
        <v>1.4144335682203524E-2</v>
      </c>
      <c r="AA267" s="324"/>
      <c r="AB267" s="324"/>
      <c r="AC267" s="324"/>
      <c r="AD267" s="324"/>
      <c r="AE267" s="324"/>
      <c r="AF267" s="324"/>
    </row>
    <row r="268" spans="1:32">
      <c r="A268" s="324"/>
      <c r="B268" s="244"/>
      <c r="C268" s="294"/>
      <c r="D268" s="235"/>
      <c r="E268" s="294"/>
      <c r="F268" s="235"/>
      <c r="G268" s="324"/>
      <c r="H268" s="324"/>
      <c r="I268" s="324"/>
      <c r="J268" s="324"/>
      <c r="K268" s="324"/>
      <c r="L268" s="244"/>
      <c r="M268" s="366"/>
      <c r="N268" s="325"/>
      <c r="O268" s="366"/>
      <c r="P268" s="325"/>
      <c r="Q268" s="324"/>
      <c r="R268" s="324"/>
      <c r="S268" s="324"/>
      <c r="T268" s="324"/>
      <c r="U268" s="324"/>
      <c r="V268" s="377">
        <v>42394</v>
      </c>
      <c r="W268" s="198">
        <v>71.739998</v>
      </c>
      <c r="X268" s="349">
        <f t="shared" si="20"/>
        <v>-9.936530636717178E-3</v>
      </c>
      <c r="Y268" s="198">
        <v>1877.079956</v>
      </c>
      <c r="Z268" s="349">
        <f t="shared" si="21"/>
        <v>-1.5637981868314221E-2</v>
      </c>
      <c r="AA268" s="324"/>
      <c r="AB268" s="324"/>
      <c r="AC268" s="324"/>
      <c r="AD268" s="324"/>
      <c r="AE268" s="324"/>
      <c r="AF268" s="324"/>
    </row>
    <row r="269" spans="1:32">
      <c r="A269" s="324"/>
      <c r="B269" s="244"/>
      <c r="C269" s="294"/>
      <c r="D269" s="235"/>
      <c r="E269" s="294"/>
      <c r="F269" s="235"/>
      <c r="G269" s="324"/>
      <c r="H269" s="324"/>
      <c r="I269" s="324"/>
      <c r="J269" s="324"/>
      <c r="K269" s="324"/>
      <c r="L269" s="244"/>
      <c r="M269" s="366"/>
      <c r="N269" s="235"/>
      <c r="O269" s="366"/>
      <c r="P269" s="235"/>
      <c r="Q269" s="324"/>
      <c r="R269" s="324"/>
      <c r="S269" s="324"/>
      <c r="T269" s="324"/>
      <c r="U269" s="324"/>
      <c r="V269" s="377">
        <v>42391</v>
      </c>
      <c r="W269" s="198">
        <v>72.459998999999996</v>
      </c>
      <c r="X269" s="349">
        <f t="shared" si="20"/>
        <v>3.0578880118870222E-2</v>
      </c>
      <c r="Y269" s="198">
        <v>1906.900024</v>
      </c>
      <c r="Z269" s="349">
        <f t="shared" si="21"/>
        <v>2.0283700930896931E-2</v>
      </c>
      <c r="AA269" s="324"/>
      <c r="AB269" s="324"/>
      <c r="AC269" s="324"/>
      <c r="AD269" s="324"/>
      <c r="AE269" s="324"/>
      <c r="AF269" s="324"/>
    </row>
    <row r="270" spans="1:32">
      <c r="A270" s="324"/>
      <c r="B270" s="244"/>
      <c r="C270" s="294"/>
      <c r="D270" s="235"/>
      <c r="E270" s="294"/>
      <c r="F270" s="235"/>
      <c r="G270" s="324"/>
      <c r="H270" s="324"/>
      <c r="I270" s="324"/>
      <c r="J270" s="324"/>
      <c r="K270" s="324"/>
      <c r="L270" s="324"/>
      <c r="M270" s="294"/>
      <c r="N270" s="235"/>
      <c r="O270" s="324"/>
      <c r="P270" s="235"/>
      <c r="Q270" s="324"/>
      <c r="R270" s="324"/>
      <c r="S270" s="324"/>
      <c r="T270" s="324"/>
      <c r="U270" s="324"/>
      <c r="V270" s="377">
        <v>42390</v>
      </c>
      <c r="W270" s="198">
        <v>70.309997999999993</v>
      </c>
      <c r="X270" s="349">
        <f t="shared" si="20"/>
        <v>-2.5535537680112519E-3</v>
      </c>
      <c r="Y270" s="198">
        <v>1868.98999</v>
      </c>
      <c r="Z270" s="349">
        <f t="shared" si="21"/>
        <v>5.1954382646433039E-3</v>
      </c>
      <c r="AA270" s="324"/>
      <c r="AB270" s="324"/>
      <c r="AC270" s="324"/>
      <c r="AD270" s="324"/>
      <c r="AE270" s="324"/>
      <c r="AF270" s="324"/>
    </row>
    <row r="271" spans="1:32">
      <c r="A271" s="324"/>
      <c r="B271" s="244"/>
      <c r="C271" s="294"/>
      <c r="D271" s="235"/>
      <c r="E271" s="294"/>
      <c r="F271" s="235"/>
      <c r="G271" s="324"/>
      <c r="H271" s="324"/>
      <c r="I271" s="324"/>
      <c r="J271" s="324"/>
      <c r="K271" s="324"/>
      <c r="L271" s="324"/>
      <c r="M271" s="294"/>
      <c r="N271" s="235"/>
      <c r="O271" s="324"/>
      <c r="P271" s="235"/>
      <c r="Q271" s="324"/>
      <c r="R271" s="324"/>
      <c r="S271" s="324"/>
      <c r="T271" s="324"/>
      <c r="U271" s="324"/>
      <c r="V271" s="377">
        <v>42389</v>
      </c>
      <c r="W271" s="198">
        <v>70.489998</v>
      </c>
      <c r="X271" s="349">
        <f t="shared" si="20"/>
        <v>-1.5502793729128328E-2</v>
      </c>
      <c r="Y271" s="198">
        <v>1859.329956</v>
      </c>
      <c r="Z271" s="349">
        <f t="shared" si="21"/>
        <v>-1.1693855152753452E-2</v>
      </c>
      <c r="AA271" s="324"/>
      <c r="AB271" s="324"/>
      <c r="AC271" s="324"/>
      <c r="AD271" s="324"/>
      <c r="AE271" s="324"/>
      <c r="AF271" s="324"/>
    </row>
    <row r="272" spans="1:32">
      <c r="A272" s="324"/>
      <c r="B272" s="244"/>
      <c r="C272" s="294"/>
      <c r="D272" s="235"/>
      <c r="E272" s="294"/>
      <c r="F272" s="235"/>
      <c r="G272" s="324"/>
      <c r="H272" s="324"/>
      <c r="I272" s="324"/>
      <c r="J272" s="324"/>
      <c r="K272" s="324"/>
      <c r="L272" s="324"/>
      <c r="M272" s="294"/>
      <c r="N272" s="235"/>
      <c r="O272" s="324"/>
      <c r="P272" s="235"/>
      <c r="Q272" s="324"/>
      <c r="R272" s="324"/>
      <c r="S272" s="324"/>
      <c r="T272" s="324"/>
      <c r="U272" s="324"/>
      <c r="V272" s="377">
        <v>42388</v>
      </c>
      <c r="W272" s="198">
        <v>71.599997999999999</v>
      </c>
      <c r="X272" s="349">
        <f t="shared" si="20"/>
        <v>-2.6777246160119561E-2</v>
      </c>
      <c r="Y272" s="198">
        <v>1881.329956</v>
      </c>
      <c r="Z272" s="349">
        <f t="shared" si="21"/>
        <v>5.318215544081184E-4</v>
      </c>
      <c r="AA272" s="324"/>
      <c r="AB272" s="324"/>
      <c r="AC272" s="324"/>
      <c r="AD272" s="324"/>
      <c r="AE272" s="324"/>
      <c r="AF272" s="324"/>
    </row>
    <row r="273" spans="1:32">
      <c r="A273" s="324"/>
      <c r="B273" s="244"/>
      <c r="C273" s="294"/>
      <c r="D273" s="235"/>
      <c r="E273" s="294"/>
      <c r="F273" s="235"/>
      <c r="G273" s="324"/>
      <c r="H273" s="324"/>
      <c r="I273" s="324"/>
      <c r="J273" s="324"/>
      <c r="K273" s="324"/>
      <c r="L273" s="324"/>
      <c r="M273" s="294"/>
      <c r="N273" s="235"/>
      <c r="O273" s="324"/>
      <c r="P273" s="235"/>
      <c r="Q273" s="324"/>
      <c r="R273" s="324"/>
      <c r="S273" s="324"/>
      <c r="T273" s="324"/>
      <c r="U273" s="324"/>
      <c r="V273" s="377">
        <v>42384</v>
      </c>
      <c r="W273" s="198">
        <v>73.569999999999993</v>
      </c>
      <c r="X273" s="349">
        <f t="shared" si="20"/>
        <v>-3.8677630193096002E-2</v>
      </c>
      <c r="Y273" s="198">
        <v>1880.329956</v>
      </c>
      <c r="Z273" s="349">
        <f t="shared" si="21"/>
        <v>-2.1599098121783955E-2</v>
      </c>
      <c r="AA273" s="324"/>
      <c r="AB273" s="324"/>
      <c r="AC273" s="324"/>
      <c r="AD273" s="324"/>
      <c r="AE273" s="324"/>
      <c r="AF273" s="324"/>
    </row>
    <row r="274" spans="1:32">
      <c r="A274" s="324"/>
      <c r="B274" s="244"/>
      <c r="C274" s="294"/>
      <c r="D274" s="235"/>
      <c r="E274" s="294"/>
      <c r="F274" s="235"/>
      <c r="G274" s="324"/>
      <c r="H274" s="324"/>
      <c r="I274" s="324"/>
      <c r="J274" s="324"/>
      <c r="K274" s="324"/>
      <c r="L274" s="324"/>
      <c r="M274" s="294"/>
      <c r="N274" s="235"/>
      <c r="O274" s="324"/>
      <c r="P274" s="235"/>
      <c r="Q274" s="324"/>
      <c r="R274" s="324"/>
      <c r="S274" s="324"/>
      <c r="T274" s="324"/>
      <c r="U274" s="324"/>
      <c r="V274" s="377">
        <v>42383</v>
      </c>
      <c r="W274" s="198">
        <v>76.529999000000004</v>
      </c>
      <c r="X274" s="349">
        <f t="shared" si="20"/>
        <v>-9.1382508913373517E-4</v>
      </c>
      <c r="Y274" s="198">
        <v>1921.839966</v>
      </c>
      <c r="Z274" s="349">
        <f t="shared" si="21"/>
        <v>1.6695905641396447E-2</v>
      </c>
      <c r="AA274" s="324"/>
      <c r="AB274" s="324"/>
      <c r="AC274" s="324"/>
      <c r="AD274" s="324"/>
      <c r="AE274" s="324"/>
      <c r="AF274" s="324"/>
    </row>
    <row r="275" spans="1:32">
      <c r="A275" s="324"/>
      <c r="B275" s="244"/>
      <c r="C275" s="294"/>
      <c r="D275" s="235"/>
      <c r="E275" s="294"/>
      <c r="F275" s="235"/>
      <c r="G275" s="324"/>
      <c r="H275" s="324"/>
      <c r="I275" s="324"/>
      <c r="J275" s="324"/>
      <c r="K275" s="324"/>
      <c r="L275" s="324"/>
      <c r="M275" s="294"/>
      <c r="N275" s="235"/>
      <c r="O275" s="324"/>
      <c r="P275" s="235"/>
      <c r="Q275" s="324"/>
      <c r="R275" s="324"/>
      <c r="S275" s="324"/>
      <c r="T275" s="324"/>
      <c r="U275" s="324"/>
      <c r="V275" s="377">
        <v>42382</v>
      </c>
      <c r="W275" s="198">
        <v>76.599997999999999</v>
      </c>
      <c r="X275" s="349">
        <f t="shared" si="20"/>
        <v>-2.6436222674123155E-2</v>
      </c>
      <c r="Y275" s="198">
        <v>1890.280029</v>
      </c>
      <c r="Z275" s="349">
        <f t="shared" si="21"/>
        <v>-2.496545260273253E-2</v>
      </c>
      <c r="AA275" s="324"/>
      <c r="AB275" s="324"/>
      <c r="AC275" s="324"/>
      <c r="AD275" s="324"/>
      <c r="AE275" s="324"/>
      <c r="AF275" s="324"/>
    </row>
    <row r="276" spans="1:32">
      <c r="A276" s="324"/>
      <c r="B276" s="244"/>
      <c r="C276" s="294"/>
      <c r="D276" s="235"/>
      <c r="E276" s="294"/>
      <c r="F276" s="235"/>
      <c r="G276" s="324"/>
      <c r="H276" s="324"/>
      <c r="I276" s="324"/>
      <c r="J276" s="324"/>
      <c r="K276" s="324"/>
      <c r="L276" s="324"/>
      <c r="M276" s="294"/>
      <c r="N276" s="235"/>
      <c r="O276" s="324"/>
      <c r="P276" s="235"/>
      <c r="Q276" s="324"/>
      <c r="R276" s="324"/>
      <c r="S276" s="324"/>
      <c r="T276" s="324"/>
      <c r="U276" s="324"/>
      <c r="V276" s="377">
        <v>42381</v>
      </c>
      <c r="W276" s="198">
        <v>78.680000000000007</v>
      </c>
      <c r="X276" s="349">
        <f t="shared" si="20"/>
        <v>5.1098748736571054E-3</v>
      </c>
      <c r="Y276" s="198">
        <v>1938.6800539999999</v>
      </c>
      <c r="Z276" s="349">
        <f t="shared" si="21"/>
        <v>7.8027986383719661E-3</v>
      </c>
      <c r="AA276" s="324"/>
      <c r="AB276" s="324"/>
      <c r="AC276" s="324"/>
      <c r="AD276" s="324"/>
      <c r="AE276" s="324"/>
      <c r="AF276" s="324"/>
    </row>
    <row r="277" spans="1:32">
      <c r="A277" s="324"/>
      <c r="B277" s="244"/>
      <c r="C277" s="294"/>
      <c r="D277" s="235"/>
      <c r="E277" s="294"/>
      <c r="F277" s="235"/>
      <c r="G277" s="324"/>
      <c r="H277" s="324"/>
      <c r="I277" s="324"/>
      <c r="J277" s="324"/>
      <c r="K277" s="324"/>
      <c r="L277" s="324"/>
      <c r="M277" s="294"/>
      <c r="N277" s="235"/>
      <c r="O277" s="324"/>
      <c r="P277" s="235"/>
      <c r="Q277" s="324"/>
      <c r="R277" s="324"/>
      <c r="S277" s="324"/>
      <c r="T277" s="324"/>
      <c r="U277" s="324"/>
      <c r="V277" s="377">
        <v>42380</v>
      </c>
      <c r="W277" s="198">
        <v>78.279999000000004</v>
      </c>
      <c r="X277" s="349">
        <f t="shared" si="20"/>
        <v>-1.0991825369757957E-2</v>
      </c>
      <c r="Y277" s="198">
        <v>1923.670044</v>
      </c>
      <c r="Z277" s="349">
        <f t="shared" si="21"/>
        <v>8.5327230857745739E-4</v>
      </c>
      <c r="AA277" s="324"/>
      <c r="AB277" s="324"/>
      <c r="AC277" s="324"/>
      <c r="AD277" s="324"/>
      <c r="AE277" s="324"/>
      <c r="AF277" s="324"/>
    </row>
    <row r="278" spans="1:32">
      <c r="A278" s="324"/>
      <c r="B278" s="244"/>
      <c r="C278" s="294"/>
      <c r="D278" s="235"/>
      <c r="E278" s="294"/>
      <c r="F278" s="235"/>
      <c r="G278" s="324"/>
      <c r="H278" s="324"/>
      <c r="I278" s="324"/>
      <c r="J278" s="324"/>
      <c r="K278" s="324"/>
      <c r="L278" s="324"/>
      <c r="M278" s="294"/>
      <c r="N278" s="235"/>
      <c r="O278" s="324"/>
      <c r="P278" s="235"/>
      <c r="Q278" s="324"/>
      <c r="R278" s="324"/>
      <c r="S278" s="324"/>
      <c r="T278" s="324"/>
      <c r="U278" s="324"/>
      <c r="V278" s="377">
        <v>42377</v>
      </c>
      <c r="W278" s="198">
        <v>79.150002000000001</v>
      </c>
      <c r="X278" s="349">
        <f t="shared" si="20"/>
        <v>-4.2772173676491887E-3</v>
      </c>
      <c r="Y278" s="198">
        <v>1922.030029</v>
      </c>
      <c r="Z278" s="349">
        <f t="shared" si="21"/>
        <v>-1.0838374634476344E-2</v>
      </c>
      <c r="AA278" s="324"/>
      <c r="AB278" s="324"/>
      <c r="AC278" s="324"/>
      <c r="AD278" s="324"/>
      <c r="AE278" s="324"/>
      <c r="AF278" s="324"/>
    </row>
    <row r="279" spans="1:32">
      <c r="A279" s="324"/>
      <c r="B279" s="244"/>
      <c r="C279" s="294"/>
      <c r="D279" s="235"/>
      <c r="E279" s="294"/>
      <c r="F279" s="235"/>
      <c r="G279" s="324"/>
      <c r="H279" s="324"/>
      <c r="I279" s="324"/>
      <c r="J279" s="324"/>
      <c r="K279" s="324"/>
      <c r="L279" s="324"/>
      <c r="M279" s="294"/>
      <c r="N279" s="235"/>
      <c r="O279" s="324"/>
      <c r="P279" s="235"/>
      <c r="Q279" s="324"/>
      <c r="R279" s="324"/>
      <c r="S279" s="324"/>
      <c r="T279" s="324"/>
      <c r="U279" s="324"/>
      <c r="V279" s="377">
        <v>42376</v>
      </c>
      <c r="W279" s="198">
        <v>79.489998</v>
      </c>
      <c r="X279" s="349">
        <f t="shared" si="20"/>
        <v>-1.3649312006418279E-2</v>
      </c>
      <c r="Y279" s="198">
        <v>1943.089966</v>
      </c>
      <c r="Z279" s="349">
        <f t="shared" si="21"/>
        <v>-2.3700443039098129E-2</v>
      </c>
      <c r="AA279" s="324"/>
      <c r="AB279" s="324"/>
      <c r="AC279" s="324"/>
      <c r="AD279" s="324"/>
      <c r="AE279" s="324"/>
      <c r="AF279" s="324"/>
    </row>
    <row r="280" spans="1:32">
      <c r="A280" s="324"/>
      <c r="B280" s="244"/>
      <c r="C280" s="294"/>
      <c r="D280" s="235"/>
      <c r="E280" s="294"/>
      <c r="F280" s="235"/>
      <c r="G280" s="324"/>
      <c r="H280" s="324"/>
      <c r="I280" s="324"/>
      <c r="J280" s="324"/>
      <c r="K280" s="324"/>
      <c r="L280" s="324"/>
      <c r="M280" s="294"/>
      <c r="N280" s="235"/>
      <c r="O280" s="324"/>
      <c r="P280" s="235"/>
      <c r="Q280" s="324"/>
      <c r="R280" s="324"/>
      <c r="S280" s="324"/>
      <c r="T280" s="324"/>
      <c r="U280" s="324"/>
      <c r="V280" s="377">
        <v>42375</v>
      </c>
      <c r="W280" s="198">
        <v>80.589995999999999</v>
      </c>
      <c r="X280" s="349">
        <f t="shared" si="20"/>
        <v>-1.6115345324607788E-2</v>
      </c>
      <c r="Y280" s="198">
        <v>1990.26001</v>
      </c>
      <c r="Z280" s="349">
        <f t="shared" si="21"/>
        <v>-1.3115396617015107E-2</v>
      </c>
      <c r="AA280" s="324"/>
      <c r="AB280" s="324"/>
      <c r="AC280" s="324"/>
      <c r="AD280" s="324"/>
      <c r="AE280" s="324"/>
      <c r="AF280" s="324"/>
    </row>
    <row r="281" spans="1:32">
      <c r="A281" s="324"/>
      <c r="B281" s="244"/>
      <c r="C281" s="294"/>
      <c r="D281" s="235"/>
      <c r="E281" s="294"/>
      <c r="F281" s="235"/>
      <c r="G281" s="324"/>
      <c r="H281" s="324"/>
      <c r="I281" s="324"/>
      <c r="J281" s="324"/>
      <c r="K281" s="324"/>
      <c r="L281" s="324"/>
      <c r="M281" s="294"/>
      <c r="N281" s="235"/>
      <c r="O281" s="324"/>
      <c r="P281" s="235"/>
      <c r="Q281" s="324"/>
      <c r="R281" s="324"/>
      <c r="S281" s="324"/>
      <c r="T281" s="324"/>
      <c r="U281" s="324"/>
      <c r="V281" s="377">
        <v>42374</v>
      </c>
      <c r="W281" s="198">
        <v>81.910004000000001</v>
      </c>
      <c r="X281" s="349">
        <f t="shared" si="20"/>
        <v>2.4477420443977937E-3</v>
      </c>
      <c r="Y281" s="198">
        <v>2016.709961</v>
      </c>
      <c r="Z281" s="349">
        <f t="shared" si="21"/>
        <v>2.0122260747390541E-3</v>
      </c>
      <c r="AA281" s="324"/>
      <c r="AB281" s="324"/>
      <c r="AC281" s="324"/>
      <c r="AD281" s="324"/>
      <c r="AE281" s="324"/>
      <c r="AF281" s="324"/>
    </row>
    <row r="282" spans="1:32">
      <c r="A282" s="324"/>
      <c r="B282" s="244"/>
      <c r="C282" s="294"/>
      <c r="D282" s="235"/>
      <c r="E282" s="294"/>
      <c r="F282" s="235"/>
      <c r="G282" s="324"/>
      <c r="H282" s="324"/>
      <c r="I282" s="324"/>
      <c r="J282" s="324"/>
      <c r="K282" s="324"/>
      <c r="L282" s="324"/>
      <c r="M282" s="294"/>
      <c r="N282" s="235"/>
      <c r="O282" s="324"/>
      <c r="P282" s="235"/>
      <c r="Q282" s="324"/>
      <c r="R282" s="324"/>
      <c r="S282" s="324"/>
      <c r="T282" s="324"/>
      <c r="U282" s="324"/>
      <c r="V282" s="377">
        <v>42373</v>
      </c>
      <c r="W282" s="198">
        <v>81.709998999999996</v>
      </c>
      <c r="X282" s="349">
        <f t="shared" si="20"/>
        <v>-1.3283408121806728E-2</v>
      </c>
      <c r="Y282" s="198">
        <v>2012.660034</v>
      </c>
      <c r="Z282" s="349">
        <f t="shared" si="21"/>
        <v>-1.5303730981790165E-2</v>
      </c>
      <c r="AA282" s="324"/>
      <c r="AB282" s="324"/>
      <c r="AC282" s="324"/>
      <c r="AD282" s="324"/>
      <c r="AE282" s="324"/>
      <c r="AF282" s="324"/>
    </row>
    <row r="283" spans="1:32">
      <c r="A283" s="324"/>
      <c r="B283" s="244"/>
      <c r="C283" s="294"/>
      <c r="D283" s="235"/>
      <c r="E283" s="294"/>
      <c r="F283" s="235"/>
      <c r="G283" s="324"/>
      <c r="H283" s="324"/>
      <c r="I283" s="324"/>
      <c r="J283" s="324"/>
      <c r="K283" s="324"/>
      <c r="L283" s="324"/>
      <c r="M283" s="294"/>
      <c r="N283" s="235"/>
      <c r="O283" s="324"/>
      <c r="P283" s="235"/>
      <c r="Q283" s="324"/>
      <c r="R283" s="324"/>
      <c r="S283" s="324"/>
      <c r="T283" s="324"/>
      <c r="U283" s="324"/>
      <c r="V283" s="377">
        <v>42369</v>
      </c>
      <c r="W283" s="198">
        <v>82.809997999999993</v>
      </c>
      <c r="X283" s="349">
        <f t="shared" si="20"/>
        <v>-1.0041888582381753E-2</v>
      </c>
      <c r="Y283" s="198">
        <v>2043.9399410000001</v>
      </c>
      <c r="Z283" s="349">
        <f t="shared" si="21"/>
        <v>-9.4119130897784009E-3</v>
      </c>
      <c r="AA283" s="324"/>
      <c r="AB283" s="324"/>
      <c r="AC283" s="324"/>
      <c r="AD283" s="324"/>
      <c r="AE283" s="324"/>
      <c r="AF283" s="324"/>
    </row>
    <row r="284" spans="1:32">
      <c r="A284" s="324"/>
      <c r="B284" s="244"/>
      <c r="C284" s="294"/>
      <c r="D284" s="235"/>
      <c r="E284" s="294"/>
      <c r="F284" s="235"/>
      <c r="G284" s="324"/>
      <c r="H284" s="324"/>
      <c r="I284" s="324"/>
      <c r="J284" s="324"/>
      <c r="K284" s="324"/>
      <c r="L284" s="324"/>
      <c r="M284" s="294"/>
      <c r="N284" s="235"/>
      <c r="O284" s="324"/>
      <c r="P284" s="235"/>
      <c r="Q284" s="324"/>
      <c r="R284" s="324"/>
      <c r="S284" s="324"/>
      <c r="T284" s="324"/>
      <c r="U284" s="324"/>
      <c r="V284" s="377">
        <v>42368</v>
      </c>
      <c r="W284" s="198">
        <v>83.650002000000001</v>
      </c>
      <c r="X284" s="349">
        <f t="shared" si="20"/>
        <v>1.4366455337799788E-3</v>
      </c>
      <c r="Y284" s="198">
        <v>2063.360107</v>
      </c>
      <c r="Z284" s="349">
        <f t="shared" si="21"/>
        <v>-7.2172285974309025E-3</v>
      </c>
      <c r="AA284" s="324"/>
      <c r="AB284" s="324"/>
      <c r="AC284" s="324"/>
      <c r="AD284" s="324"/>
      <c r="AE284" s="324"/>
      <c r="AF284" s="324"/>
    </row>
    <row r="285" spans="1:32">
      <c r="A285" s="324"/>
      <c r="B285" s="244"/>
      <c r="C285" s="294"/>
      <c r="D285" s="235"/>
      <c r="E285" s="294"/>
      <c r="F285" s="235"/>
      <c r="G285" s="324"/>
      <c r="H285" s="324"/>
      <c r="I285" s="324"/>
      <c r="J285" s="324"/>
      <c r="K285" s="324"/>
      <c r="L285" s="324"/>
      <c r="M285" s="294"/>
      <c r="N285" s="235"/>
      <c r="O285" s="324"/>
      <c r="P285" s="235"/>
      <c r="Q285" s="324"/>
      <c r="R285" s="324"/>
      <c r="S285" s="324"/>
      <c r="T285" s="324"/>
      <c r="U285" s="324"/>
      <c r="V285" s="377">
        <v>42367</v>
      </c>
      <c r="W285" s="198">
        <v>83.529999000000004</v>
      </c>
      <c r="X285" s="349">
        <f t="shared" si="20"/>
        <v>1.4452308207544728E-2</v>
      </c>
      <c r="Y285" s="198">
        <v>2078.360107</v>
      </c>
      <c r="Z285" s="349">
        <f t="shared" si="21"/>
        <v>1.0629762703622703E-2</v>
      </c>
      <c r="AA285" s="324"/>
      <c r="AB285" s="324"/>
      <c r="AC285" s="324"/>
      <c r="AD285" s="324"/>
      <c r="AE285" s="324"/>
      <c r="AF285" s="324"/>
    </row>
    <row r="286" spans="1:32">
      <c r="A286" s="324"/>
      <c r="B286" s="244"/>
      <c r="C286" s="294"/>
      <c r="D286" s="235"/>
      <c r="E286" s="294"/>
      <c r="F286" s="235"/>
      <c r="G286" s="324"/>
      <c r="H286" s="324"/>
      <c r="I286" s="324"/>
      <c r="J286" s="324"/>
      <c r="K286" s="324"/>
      <c r="L286" s="324"/>
      <c r="M286" s="294"/>
      <c r="N286" s="235"/>
      <c r="O286" s="324"/>
      <c r="P286" s="235"/>
      <c r="Q286" s="324"/>
      <c r="R286" s="324"/>
      <c r="S286" s="324"/>
      <c r="T286" s="324"/>
      <c r="U286" s="324"/>
      <c r="V286" s="377">
        <v>42366</v>
      </c>
      <c r="W286" s="198">
        <v>82.339995999999999</v>
      </c>
      <c r="X286" s="349">
        <f t="shared" si="20"/>
        <v>7.3403231548891945E-3</v>
      </c>
      <c r="Y286" s="198">
        <v>2056.5</v>
      </c>
      <c r="Z286" s="349">
        <f t="shared" si="21"/>
        <v>-2.1785598289102426E-3</v>
      </c>
      <c r="AA286" s="324"/>
      <c r="AB286" s="324"/>
      <c r="AC286" s="324"/>
      <c r="AD286" s="324"/>
      <c r="AE286" s="324"/>
      <c r="AF286" s="324"/>
    </row>
    <row r="287" spans="1:32">
      <c r="A287" s="324"/>
      <c r="B287" s="244"/>
      <c r="C287" s="294"/>
      <c r="D287" s="235"/>
      <c r="E287" s="294"/>
      <c r="F287" s="235"/>
      <c r="G287" s="324"/>
      <c r="H287" s="324"/>
      <c r="I287" s="324"/>
      <c r="J287" s="324"/>
      <c r="K287" s="324"/>
      <c r="L287" s="324"/>
      <c r="M287" s="294"/>
      <c r="N287" s="235"/>
      <c r="O287" s="324"/>
      <c r="P287" s="235"/>
      <c r="Q287" s="324"/>
      <c r="R287" s="324"/>
      <c r="S287" s="324"/>
      <c r="T287" s="324"/>
      <c r="U287" s="324"/>
      <c r="V287" s="377">
        <v>42362</v>
      </c>
      <c r="W287" s="198">
        <v>81.739998</v>
      </c>
      <c r="X287" s="349">
        <f t="shared" si="20"/>
        <v>-5.5960950947478993E-3</v>
      </c>
      <c r="Y287" s="198">
        <v>2060.98999</v>
      </c>
      <c r="Z287" s="349">
        <f t="shared" si="21"/>
        <v>-1.5986363048084984E-3</v>
      </c>
      <c r="AA287" s="324"/>
      <c r="AB287" s="324"/>
      <c r="AC287" s="324"/>
      <c r="AD287" s="324"/>
      <c r="AE287" s="324"/>
      <c r="AF287" s="324"/>
    </row>
    <row r="288" spans="1:32">
      <c r="A288" s="324"/>
      <c r="B288" s="244"/>
      <c r="C288" s="294"/>
      <c r="D288" s="235"/>
      <c r="E288" s="294"/>
      <c r="F288" s="235"/>
      <c r="G288" s="324"/>
      <c r="H288" s="324"/>
      <c r="I288" s="324"/>
      <c r="J288" s="324"/>
      <c r="K288" s="324"/>
      <c r="L288" s="324"/>
      <c r="M288" s="294"/>
      <c r="N288" s="235"/>
      <c r="O288" s="324"/>
      <c r="P288" s="235"/>
      <c r="Q288" s="324"/>
      <c r="R288" s="324"/>
      <c r="S288" s="324"/>
      <c r="T288" s="324"/>
      <c r="U288" s="324"/>
      <c r="V288" s="377">
        <v>42361</v>
      </c>
      <c r="W288" s="198">
        <v>82.199996999999996</v>
      </c>
      <c r="X288" s="349">
        <f t="shared" si="20"/>
        <v>1.6194807963837432E-2</v>
      </c>
      <c r="Y288" s="198">
        <v>2064.290039</v>
      </c>
      <c r="Z288" s="349">
        <f t="shared" si="21"/>
        <v>1.2418068122691306E-2</v>
      </c>
      <c r="AA288" s="324"/>
      <c r="AB288" s="324"/>
      <c r="AC288" s="324"/>
      <c r="AD288" s="324"/>
      <c r="AE288" s="324"/>
      <c r="AF288" s="324"/>
    </row>
    <row r="289" spans="1:32">
      <c r="A289" s="324"/>
      <c r="B289" s="244"/>
      <c r="C289" s="294"/>
      <c r="D289" s="235"/>
      <c r="E289" s="294"/>
      <c r="F289" s="235"/>
      <c r="G289" s="324"/>
      <c r="H289" s="324"/>
      <c r="I289" s="324"/>
      <c r="J289" s="324"/>
      <c r="K289" s="324"/>
      <c r="L289" s="324"/>
      <c r="M289" s="294"/>
      <c r="N289" s="235"/>
      <c r="O289" s="324"/>
      <c r="P289" s="235"/>
      <c r="Q289" s="324"/>
      <c r="R289" s="324"/>
      <c r="S289" s="324"/>
      <c r="T289" s="324"/>
      <c r="U289" s="324"/>
      <c r="V289" s="377">
        <v>42360</v>
      </c>
      <c r="W289" s="198">
        <v>80.889999000000003</v>
      </c>
      <c r="X289" s="349">
        <f t="shared" si="20"/>
        <v>5.594194291541621E-3</v>
      </c>
      <c r="Y289" s="198">
        <v>2038.969971</v>
      </c>
      <c r="Z289" s="349">
        <f t="shared" si="21"/>
        <v>8.8167364066982223E-3</v>
      </c>
      <c r="AA289" s="324"/>
      <c r="AB289" s="324"/>
      <c r="AC289" s="324"/>
      <c r="AD289" s="324"/>
      <c r="AE289" s="324"/>
      <c r="AF289" s="324"/>
    </row>
    <row r="290" spans="1:32">
      <c r="A290" s="324"/>
      <c r="B290" s="244"/>
      <c r="C290" s="294"/>
      <c r="D290" s="235"/>
      <c r="E290" s="294"/>
      <c r="F290" s="235"/>
      <c r="G290" s="324"/>
      <c r="H290" s="324"/>
      <c r="I290" s="324"/>
      <c r="J290" s="324"/>
      <c r="K290" s="324"/>
      <c r="L290" s="324"/>
      <c r="M290" s="294"/>
      <c r="N290" s="235"/>
      <c r="O290" s="324"/>
      <c r="P290" s="235"/>
      <c r="Q290" s="324"/>
      <c r="R290" s="324"/>
      <c r="S290" s="324"/>
      <c r="T290" s="324"/>
      <c r="U290" s="324"/>
      <c r="V290" s="377">
        <v>42359</v>
      </c>
      <c r="W290" s="198">
        <v>80.440002000000007</v>
      </c>
      <c r="X290" s="349">
        <f t="shared" si="20"/>
        <v>-1.1793611503842394E-2</v>
      </c>
      <c r="Y290" s="198">
        <v>2021.150024</v>
      </c>
      <c r="Z290" s="349">
        <f t="shared" si="21"/>
        <v>7.7784022432043631E-3</v>
      </c>
      <c r="AA290" s="324"/>
      <c r="AB290" s="324"/>
      <c r="AC290" s="324"/>
      <c r="AD290" s="324"/>
      <c r="AE290" s="324"/>
      <c r="AF290" s="324"/>
    </row>
    <row r="291" spans="1:32">
      <c r="A291" s="324"/>
      <c r="B291" s="244"/>
      <c r="C291" s="294"/>
      <c r="D291" s="235"/>
      <c r="E291" s="294"/>
      <c r="F291" s="235"/>
      <c r="G291" s="324"/>
      <c r="H291" s="324"/>
      <c r="I291" s="324"/>
      <c r="J291" s="324"/>
      <c r="K291" s="324"/>
      <c r="L291" s="324"/>
      <c r="M291" s="294"/>
      <c r="N291" s="235"/>
      <c r="O291" s="324"/>
      <c r="P291" s="235"/>
      <c r="Q291" s="324"/>
      <c r="R291" s="324"/>
      <c r="S291" s="324"/>
      <c r="T291" s="324"/>
      <c r="U291" s="324"/>
      <c r="V291" s="377">
        <v>42356</v>
      </c>
      <c r="W291" s="198">
        <v>81.400002000000001</v>
      </c>
      <c r="X291" s="349">
        <f t="shared" si="20"/>
        <v>3.2208990207849508E-2</v>
      </c>
      <c r="Y291" s="198">
        <v>2005.5500489999999</v>
      </c>
      <c r="Z291" s="349">
        <f t="shared" si="21"/>
        <v>-1.779722009170015E-2</v>
      </c>
      <c r="AA291" s="324"/>
      <c r="AB291" s="324"/>
      <c r="AC291" s="324"/>
      <c r="AD291" s="324"/>
      <c r="AE291" s="324"/>
      <c r="AF291" s="324"/>
    </row>
    <row r="292" spans="1:32">
      <c r="A292" s="324"/>
      <c r="B292" s="244"/>
      <c r="C292" s="294"/>
      <c r="D292" s="235"/>
      <c r="E292" s="294"/>
      <c r="F292" s="235"/>
      <c r="G292" s="324"/>
      <c r="H292" s="324"/>
      <c r="I292" s="324"/>
      <c r="J292" s="324"/>
      <c r="K292" s="324"/>
      <c r="L292" s="324"/>
      <c r="M292" s="294"/>
      <c r="N292" s="235"/>
      <c r="O292" s="324"/>
      <c r="P292" s="235"/>
      <c r="Q292" s="324"/>
      <c r="R292" s="324"/>
      <c r="S292" s="324"/>
      <c r="T292" s="324"/>
      <c r="U292" s="324"/>
      <c r="V292" s="377">
        <v>42355</v>
      </c>
      <c r="W292" s="198">
        <v>78.860000999999997</v>
      </c>
      <c r="X292" s="349">
        <f t="shared" si="20"/>
        <v>1.1426177913906876E-3</v>
      </c>
      <c r="Y292" s="198">
        <v>2041.8900149999999</v>
      </c>
      <c r="Z292" s="349">
        <f t="shared" si="21"/>
        <v>-1.5040520569611582E-2</v>
      </c>
      <c r="AA292" s="324"/>
      <c r="AB292" s="324"/>
      <c r="AC292" s="324"/>
      <c r="AD292" s="324"/>
      <c r="AE292" s="324"/>
      <c r="AF292" s="324"/>
    </row>
    <row r="293" spans="1:32">
      <c r="A293" s="324"/>
      <c r="B293" s="244"/>
      <c r="C293" s="294"/>
      <c r="D293" s="235"/>
      <c r="E293" s="294"/>
      <c r="F293" s="235"/>
      <c r="G293" s="324"/>
      <c r="H293" s="324"/>
      <c r="I293" s="324"/>
      <c r="J293" s="324"/>
      <c r="K293" s="324"/>
      <c r="L293" s="324"/>
      <c r="M293" s="294"/>
      <c r="N293" s="235"/>
      <c r="O293" s="324"/>
      <c r="P293" s="235"/>
      <c r="Q293" s="324"/>
      <c r="R293" s="324"/>
      <c r="S293" s="324"/>
      <c r="T293" s="324"/>
      <c r="U293" s="324"/>
      <c r="V293" s="377">
        <v>42354</v>
      </c>
      <c r="W293" s="198">
        <v>78.769997000000004</v>
      </c>
      <c r="X293" s="349">
        <f t="shared" si="20"/>
        <v>9.0955549345519415E-3</v>
      </c>
      <c r="Y293" s="198">
        <v>2073.070068</v>
      </c>
      <c r="Z293" s="349">
        <f t="shared" si="21"/>
        <v>1.4514969343641715E-2</v>
      </c>
      <c r="AA293" s="324"/>
      <c r="AB293" s="324"/>
      <c r="AC293" s="324"/>
      <c r="AD293" s="324"/>
      <c r="AE293" s="324"/>
      <c r="AF293" s="324"/>
    </row>
    <row r="294" spans="1:32">
      <c r="A294" s="324"/>
      <c r="B294" s="244"/>
      <c r="C294" s="294"/>
      <c r="D294" s="235"/>
      <c r="E294" s="294"/>
      <c r="F294" s="235"/>
      <c r="G294" s="324"/>
      <c r="H294" s="324"/>
      <c r="I294" s="324"/>
      <c r="J294" s="324"/>
      <c r="K294" s="324"/>
      <c r="L294" s="324"/>
      <c r="M294" s="294"/>
      <c r="N294" s="235"/>
      <c r="O294" s="324"/>
      <c r="P294" s="235"/>
      <c r="Q294" s="324"/>
      <c r="R294" s="324"/>
      <c r="S294" s="324"/>
      <c r="T294" s="324"/>
      <c r="U294" s="324"/>
      <c r="V294" s="377">
        <v>42353</v>
      </c>
      <c r="W294" s="198">
        <v>78.059997999999993</v>
      </c>
      <c r="X294" s="349">
        <f t="shared" si="20"/>
        <v>7.355788033443833E-3</v>
      </c>
      <c r="Y294" s="198">
        <v>2043.410034</v>
      </c>
      <c r="Z294" s="349">
        <f t="shared" si="21"/>
        <v>1.0618561196917398E-2</v>
      </c>
      <c r="AA294" s="324"/>
      <c r="AB294" s="324"/>
      <c r="AC294" s="324"/>
      <c r="AD294" s="324"/>
      <c r="AE294" s="324"/>
      <c r="AF294" s="324"/>
    </row>
    <row r="295" spans="1:32">
      <c r="A295" s="324"/>
      <c r="B295" s="244"/>
      <c r="C295" s="294"/>
      <c r="D295" s="235"/>
      <c r="E295" s="294"/>
      <c r="F295" s="235"/>
      <c r="G295" s="324"/>
      <c r="H295" s="324"/>
      <c r="I295" s="324"/>
      <c r="J295" s="324"/>
      <c r="K295" s="324"/>
      <c r="L295" s="324"/>
      <c r="M295" s="294"/>
      <c r="N295" s="235"/>
      <c r="O295" s="324"/>
      <c r="P295" s="235"/>
      <c r="Q295" s="324"/>
      <c r="R295" s="324"/>
      <c r="S295" s="324"/>
      <c r="T295" s="324"/>
      <c r="U295" s="324"/>
      <c r="V295" s="377">
        <v>42352</v>
      </c>
      <c r="W295" s="198">
        <v>77.489998</v>
      </c>
      <c r="X295" s="349">
        <f t="shared" si="20"/>
        <v>-1.3871264599865873E-2</v>
      </c>
      <c r="Y295" s="198">
        <v>2021.9399410000001</v>
      </c>
      <c r="Z295" s="349">
        <f t="shared" si="21"/>
        <v>4.7555598740678384E-3</v>
      </c>
      <c r="AA295" s="324"/>
      <c r="AB295" s="324"/>
      <c r="AC295" s="324"/>
      <c r="AD295" s="324"/>
      <c r="AE295" s="324"/>
      <c r="AF295" s="324"/>
    </row>
    <row r="296" spans="1:32">
      <c r="A296" s="324"/>
      <c r="B296" s="244"/>
      <c r="C296" s="294"/>
      <c r="D296" s="235"/>
      <c r="E296" s="294"/>
      <c r="F296" s="235"/>
      <c r="G296" s="324"/>
      <c r="H296" s="324"/>
      <c r="I296" s="324"/>
      <c r="J296" s="324"/>
      <c r="K296" s="324"/>
      <c r="L296" s="324"/>
      <c r="M296" s="294"/>
      <c r="N296" s="235"/>
      <c r="O296" s="324"/>
      <c r="P296" s="235"/>
      <c r="Q296" s="324"/>
      <c r="R296" s="324"/>
      <c r="S296" s="324"/>
      <c r="T296" s="324"/>
      <c r="U296" s="324"/>
      <c r="V296" s="377">
        <v>42349</v>
      </c>
      <c r="W296" s="198">
        <v>78.580001999999993</v>
      </c>
      <c r="X296" s="349">
        <f t="shared" si="20"/>
        <v>-1.3185922887828383E-2</v>
      </c>
      <c r="Y296" s="198">
        <v>2012.369995</v>
      </c>
      <c r="Z296" s="349">
        <f t="shared" si="21"/>
        <v>-1.9422767130611751E-2</v>
      </c>
      <c r="AA296" s="324"/>
      <c r="AB296" s="324"/>
      <c r="AC296" s="324"/>
      <c r="AD296" s="324"/>
      <c r="AE296" s="324"/>
      <c r="AF296" s="324"/>
    </row>
    <row r="297" spans="1:32">
      <c r="A297" s="324"/>
      <c r="B297" s="244"/>
      <c r="C297" s="294"/>
      <c r="D297" s="235"/>
      <c r="E297" s="294"/>
      <c r="F297" s="235"/>
      <c r="G297" s="324"/>
      <c r="H297" s="324"/>
      <c r="I297" s="324"/>
      <c r="J297" s="324"/>
      <c r="K297" s="324"/>
      <c r="L297" s="324"/>
      <c r="M297" s="294"/>
      <c r="N297" s="235"/>
      <c r="O297" s="324"/>
      <c r="P297" s="235"/>
      <c r="Q297" s="324"/>
      <c r="R297" s="324"/>
      <c r="S297" s="324"/>
      <c r="T297" s="324"/>
      <c r="U297" s="324"/>
      <c r="V297" s="377">
        <v>42348</v>
      </c>
      <c r="W297" s="198">
        <v>79.629997000000003</v>
      </c>
      <c r="X297" s="349">
        <f t="shared" si="20"/>
        <v>7.3370522199727173E-3</v>
      </c>
      <c r="Y297" s="198">
        <v>2052.2299800000001</v>
      </c>
      <c r="Z297" s="349">
        <f t="shared" si="21"/>
        <v>2.2513869815967702E-3</v>
      </c>
      <c r="AA297" s="324"/>
      <c r="AB297" s="324"/>
      <c r="AC297" s="324"/>
      <c r="AD297" s="324"/>
      <c r="AE297" s="324"/>
      <c r="AF297" s="324"/>
    </row>
    <row r="298" spans="1:32">
      <c r="A298" s="324"/>
      <c r="B298" s="244"/>
      <c r="C298" s="294"/>
      <c r="D298" s="235"/>
      <c r="E298" s="294"/>
      <c r="F298" s="235"/>
      <c r="G298" s="324"/>
      <c r="H298" s="324"/>
      <c r="I298" s="324"/>
      <c r="J298" s="324"/>
      <c r="K298" s="324"/>
      <c r="L298" s="324"/>
      <c r="M298" s="294"/>
      <c r="N298" s="235"/>
      <c r="O298" s="324"/>
      <c r="P298" s="235"/>
      <c r="Q298" s="324"/>
      <c r="R298" s="324"/>
      <c r="S298" s="324"/>
      <c r="T298" s="324"/>
      <c r="U298" s="324"/>
      <c r="V298" s="377">
        <v>42347</v>
      </c>
      <c r="W298" s="198">
        <v>79.050003000000004</v>
      </c>
      <c r="X298" s="349">
        <f t="shared" si="20"/>
        <v>-2.4074037037037033E-2</v>
      </c>
      <c r="Y298" s="198">
        <v>2047.619995</v>
      </c>
      <c r="Z298" s="349">
        <f t="shared" si="21"/>
        <v>-7.738985127360154E-3</v>
      </c>
      <c r="AA298" s="324"/>
      <c r="AB298" s="324"/>
      <c r="AC298" s="324"/>
      <c r="AD298" s="324"/>
      <c r="AE298" s="324"/>
      <c r="AF298" s="324"/>
    </row>
    <row r="299" spans="1:32">
      <c r="A299" s="324"/>
      <c r="B299" s="244"/>
      <c r="C299" s="294"/>
      <c r="D299" s="235"/>
      <c r="E299" s="294"/>
      <c r="F299" s="235"/>
      <c r="G299" s="324"/>
      <c r="H299" s="324"/>
      <c r="I299" s="324"/>
      <c r="J299" s="324"/>
      <c r="K299" s="324"/>
      <c r="L299" s="324"/>
      <c r="M299" s="294"/>
      <c r="N299" s="235"/>
      <c r="O299" s="324"/>
      <c r="P299" s="235"/>
      <c r="Q299" s="324"/>
      <c r="R299" s="324"/>
      <c r="S299" s="324"/>
      <c r="T299" s="324"/>
      <c r="U299" s="324"/>
      <c r="V299" s="377">
        <v>42346</v>
      </c>
      <c r="W299" s="198">
        <v>81</v>
      </c>
      <c r="X299" s="349">
        <f t="shared" si="20"/>
        <v>5.9612893428200309E-3</v>
      </c>
      <c r="Y299" s="198">
        <v>2063.5900879999999</v>
      </c>
      <c r="Z299" s="349">
        <f t="shared" si="21"/>
        <v>-6.4899014278222422E-3</v>
      </c>
      <c r="AA299" s="324"/>
      <c r="AB299" s="324"/>
      <c r="AC299" s="324"/>
      <c r="AD299" s="324"/>
      <c r="AE299" s="324"/>
      <c r="AF299" s="324"/>
    </row>
    <row r="300" spans="1:32">
      <c r="A300" s="324"/>
      <c r="B300" s="244"/>
      <c r="C300" s="294"/>
      <c r="D300" s="235"/>
      <c r="E300" s="294"/>
      <c r="F300" s="235"/>
      <c r="G300" s="324"/>
      <c r="H300" s="324"/>
      <c r="I300" s="324"/>
      <c r="J300" s="324"/>
      <c r="K300" s="324"/>
      <c r="L300" s="324"/>
      <c r="M300" s="294"/>
      <c r="N300" s="235"/>
      <c r="O300" s="324"/>
      <c r="P300" s="235"/>
      <c r="Q300" s="324"/>
      <c r="R300" s="324"/>
      <c r="S300" s="324"/>
      <c r="T300" s="324"/>
      <c r="U300" s="324"/>
      <c r="V300" s="377">
        <v>42345</v>
      </c>
      <c r="W300" s="198">
        <v>80.519997000000004</v>
      </c>
      <c r="X300" s="349">
        <f t="shared" si="20"/>
        <v>-1.672978406068848E-2</v>
      </c>
      <c r="Y300" s="198">
        <v>2077.070068</v>
      </c>
      <c r="Z300" s="349">
        <f t="shared" si="21"/>
        <v>-6.9895029437349043E-3</v>
      </c>
      <c r="AA300" s="324"/>
      <c r="AB300" s="324"/>
      <c r="AC300" s="324"/>
      <c r="AD300" s="324"/>
      <c r="AE300" s="324"/>
      <c r="AF300" s="324"/>
    </row>
    <row r="301" spans="1:32">
      <c r="A301" s="324"/>
      <c r="B301" s="244"/>
      <c r="C301" s="294"/>
      <c r="D301" s="235"/>
      <c r="E301" s="294"/>
      <c r="F301" s="235"/>
      <c r="G301" s="324"/>
      <c r="H301" s="324"/>
      <c r="I301" s="324"/>
      <c r="J301" s="324"/>
      <c r="K301" s="324"/>
      <c r="L301" s="324"/>
      <c r="M301" s="294"/>
      <c r="N301" s="235"/>
      <c r="O301" s="324"/>
      <c r="P301" s="235"/>
      <c r="Q301" s="324"/>
      <c r="R301" s="324"/>
      <c r="S301" s="324"/>
      <c r="T301" s="324"/>
      <c r="U301" s="324"/>
      <c r="V301" s="377">
        <v>42342</v>
      </c>
      <c r="W301" s="198">
        <v>81.889999000000003</v>
      </c>
      <c r="X301" s="349">
        <f t="shared" si="20"/>
        <v>1.941985511216604E-2</v>
      </c>
      <c r="Y301" s="198">
        <v>2091.6899410000001</v>
      </c>
      <c r="Z301" s="349">
        <f t="shared" si="21"/>
        <v>2.0525668952535936E-2</v>
      </c>
      <c r="AA301" s="324"/>
      <c r="AB301" s="324"/>
      <c r="AC301" s="324"/>
      <c r="AD301" s="324"/>
      <c r="AE301" s="324"/>
      <c r="AF301" s="324"/>
    </row>
    <row r="302" spans="1:32">
      <c r="A302" s="324"/>
      <c r="B302" s="244"/>
      <c r="C302" s="294"/>
      <c r="D302" s="235"/>
      <c r="E302" s="294"/>
      <c r="F302" s="235"/>
      <c r="G302" s="324"/>
      <c r="H302" s="324"/>
      <c r="I302" s="324"/>
      <c r="J302" s="324"/>
      <c r="K302" s="324"/>
      <c r="L302" s="324"/>
      <c r="M302" s="294"/>
      <c r="N302" s="235"/>
      <c r="O302" s="324"/>
      <c r="P302" s="235"/>
      <c r="Q302" s="324"/>
      <c r="R302" s="324"/>
      <c r="S302" s="324"/>
      <c r="T302" s="324"/>
      <c r="U302" s="324"/>
      <c r="V302" s="377">
        <v>42341</v>
      </c>
      <c r="W302" s="198">
        <v>80.330001999999993</v>
      </c>
      <c r="X302" s="349">
        <f t="shared" si="20"/>
        <v>-1.5684339962206417E-2</v>
      </c>
      <c r="Y302" s="198">
        <v>2049.6201169999999</v>
      </c>
      <c r="Z302" s="349">
        <f t="shared" si="21"/>
        <v>-1.4373526867514363E-2</v>
      </c>
      <c r="AA302" s="324"/>
      <c r="AB302" s="324"/>
      <c r="AC302" s="324"/>
      <c r="AD302" s="324"/>
      <c r="AE302" s="324"/>
      <c r="AF302" s="324"/>
    </row>
    <row r="303" spans="1:32">
      <c r="A303" s="324"/>
      <c r="B303" s="244"/>
      <c r="C303" s="294"/>
      <c r="D303" s="235"/>
      <c r="E303" s="294"/>
      <c r="F303" s="235"/>
      <c r="G303" s="324"/>
      <c r="H303" s="324"/>
      <c r="I303" s="324"/>
      <c r="J303" s="324"/>
      <c r="K303" s="324"/>
      <c r="L303" s="324"/>
      <c r="M303" s="294"/>
      <c r="N303" s="235"/>
      <c r="O303" s="324"/>
      <c r="P303" s="235"/>
      <c r="Q303" s="324"/>
      <c r="R303" s="324"/>
      <c r="S303" s="324"/>
      <c r="T303" s="324"/>
      <c r="U303" s="324"/>
      <c r="V303" s="377">
        <v>42340</v>
      </c>
      <c r="W303" s="198">
        <v>81.610000999999997</v>
      </c>
      <c r="X303" s="349">
        <f t="shared" si="20"/>
        <v>-7.4191193454254956E-3</v>
      </c>
      <c r="Y303" s="198">
        <v>2079.51001</v>
      </c>
      <c r="Z303" s="349">
        <f t="shared" si="21"/>
        <v>-1.0995693149292163E-2</v>
      </c>
      <c r="AA303" s="324"/>
      <c r="AB303" s="324"/>
      <c r="AC303" s="324"/>
      <c r="AD303" s="324"/>
      <c r="AE303" s="324"/>
      <c r="AF303" s="324"/>
    </row>
    <row r="304" spans="1:32">
      <c r="A304" s="324"/>
      <c r="B304" s="244"/>
      <c r="C304" s="294"/>
      <c r="D304" s="235"/>
      <c r="E304" s="294"/>
      <c r="F304" s="235"/>
      <c r="G304" s="324"/>
      <c r="H304" s="324"/>
      <c r="I304" s="324"/>
      <c r="J304" s="324"/>
      <c r="K304" s="324"/>
      <c r="L304" s="324"/>
      <c r="M304" s="294"/>
      <c r="N304" s="235"/>
      <c r="O304" s="324"/>
      <c r="P304" s="235"/>
      <c r="Q304" s="324"/>
      <c r="R304" s="324"/>
      <c r="S304" s="324"/>
      <c r="T304" s="324"/>
      <c r="U304" s="324"/>
      <c r="V304" s="377">
        <v>42339</v>
      </c>
      <c r="W304" s="198">
        <v>82.220000999999996</v>
      </c>
      <c r="X304" s="349">
        <f t="shared" si="20"/>
        <v>9.9496002972803144E-3</v>
      </c>
      <c r="Y304" s="198">
        <v>2102.6298830000001</v>
      </c>
      <c r="Z304" s="349">
        <f t="shared" si="21"/>
        <v>1.0680573511899327E-2</v>
      </c>
      <c r="AA304" s="324"/>
      <c r="AB304" s="324"/>
      <c r="AC304" s="324"/>
      <c r="AD304" s="324"/>
      <c r="AE304" s="324"/>
      <c r="AF304" s="324"/>
    </row>
    <row r="305" spans="1:32">
      <c r="A305" s="324"/>
      <c r="B305" s="244"/>
      <c r="C305" s="294"/>
      <c r="D305" s="235"/>
      <c r="E305" s="294"/>
      <c r="F305" s="235"/>
      <c r="G305" s="324"/>
      <c r="H305" s="324"/>
      <c r="I305" s="324"/>
      <c r="J305" s="324"/>
      <c r="K305" s="324"/>
      <c r="L305" s="324"/>
      <c r="M305" s="294"/>
      <c r="N305" s="235"/>
      <c r="O305" s="324"/>
      <c r="P305" s="235"/>
      <c r="Q305" s="324"/>
      <c r="R305" s="324"/>
      <c r="S305" s="324"/>
      <c r="T305" s="324"/>
      <c r="U305" s="324"/>
      <c r="V305" s="377">
        <v>42338</v>
      </c>
      <c r="W305" s="198">
        <v>81.410004000000001</v>
      </c>
      <c r="X305" s="349">
        <f t="shared" si="20"/>
        <v>-1.3212072727272761E-2</v>
      </c>
      <c r="Y305" s="198">
        <v>2080.4099120000001</v>
      </c>
      <c r="Z305" s="349">
        <f t="shared" si="21"/>
        <v>-4.6409971261862637E-3</v>
      </c>
      <c r="AA305" s="324"/>
      <c r="AB305" s="324"/>
      <c r="AC305" s="324"/>
      <c r="AD305" s="324"/>
      <c r="AE305" s="324"/>
      <c r="AF305" s="324"/>
    </row>
    <row r="306" spans="1:32">
      <c r="A306" s="324"/>
      <c r="B306" s="244"/>
      <c r="C306" s="294"/>
      <c r="D306" s="235"/>
      <c r="E306" s="294"/>
      <c r="F306" s="235"/>
      <c r="G306" s="324"/>
      <c r="H306" s="324"/>
      <c r="I306" s="324"/>
      <c r="J306" s="324"/>
      <c r="K306" s="324"/>
      <c r="L306" s="324"/>
      <c r="M306" s="294"/>
      <c r="N306" s="235"/>
      <c r="O306" s="324"/>
      <c r="P306" s="235"/>
      <c r="Q306" s="324"/>
      <c r="R306" s="324"/>
      <c r="S306" s="324"/>
      <c r="T306" s="324"/>
      <c r="U306" s="324"/>
      <c r="V306" s="377">
        <v>42335</v>
      </c>
      <c r="W306" s="198">
        <v>82.5</v>
      </c>
      <c r="X306" s="349">
        <f t="shared" si="20"/>
        <v>-2.4232914114141746E-4</v>
      </c>
      <c r="Y306" s="198">
        <v>2090.110107</v>
      </c>
      <c r="Z306" s="349">
        <f t="shared" si="21"/>
        <v>5.9361756861209258E-4</v>
      </c>
      <c r="AA306" s="324"/>
      <c r="AB306" s="324"/>
      <c r="AC306" s="324"/>
      <c r="AD306" s="324"/>
      <c r="AE306" s="324"/>
      <c r="AF306" s="324"/>
    </row>
    <row r="307" spans="1:32">
      <c r="A307" s="324"/>
      <c r="B307" s="244"/>
      <c r="C307" s="294"/>
      <c r="D307" s="235"/>
      <c r="E307" s="294"/>
      <c r="F307" s="235"/>
      <c r="G307" s="324"/>
      <c r="H307" s="324"/>
      <c r="I307" s="324"/>
      <c r="J307" s="324"/>
      <c r="K307" s="324"/>
      <c r="L307" s="324"/>
      <c r="M307" s="294"/>
      <c r="N307" s="235"/>
      <c r="O307" s="324"/>
      <c r="P307" s="235"/>
      <c r="Q307" s="324"/>
      <c r="R307" s="324"/>
      <c r="S307" s="324"/>
      <c r="T307" s="324"/>
      <c r="U307" s="324"/>
      <c r="V307" s="377">
        <v>42333</v>
      </c>
      <c r="W307" s="198">
        <v>82.519997000000004</v>
      </c>
      <c r="X307" s="349">
        <f t="shared" si="20"/>
        <v>5.7281411677705396E-3</v>
      </c>
      <c r="Y307" s="198">
        <v>2088.8701169999999</v>
      </c>
      <c r="Z307" s="349">
        <f t="shared" si="21"/>
        <v>-1.2913256833779752E-4</v>
      </c>
      <c r="AA307" s="324"/>
      <c r="AB307" s="324"/>
      <c r="AC307" s="324"/>
      <c r="AD307" s="324"/>
      <c r="AE307" s="324"/>
      <c r="AF307" s="324"/>
    </row>
    <row r="308" spans="1:32">
      <c r="A308" s="324"/>
      <c r="B308" s="244"/>
      <c r="C308" s="294"/>
      <c r="D308" s="235"/>
      <c r="E308" s="294"/>
      <c r="F308" s="235"/>
      <c r="G308" s="324"/>
      <c r="H308" s="324"/>
      <c r="I308" s="324"/>
      <c r="J308" s="324"/>
      <c r="K308" s="324"/>
      <c r="L308" s="324"/>
      <c r="M308" s="294"/>
      <c r="N308" s="235"/>
      <c r="O308" s="324"/>
      <c r="P308" s="235"/>
      <c r="Q308" s="324"/>
      <c r="R308" s="324"/>
      <c r="S308" s="324"/>
      <c r="T308" s="324"/>
      <c r="U308" s="324"/>
      <c r="V308" s="377">
        <v>42332</v>
      </c>
      <c r="W308" s="198">
        <v>82.050003000000004</v>
      </c>
      <c r="X308" s="349">
        <f t="shared" si="20"/>
        <v>-8.4591782477341226E-3</v>
      </c>
      <c r="Y308" s="198">
        <v>2089.139893</v>
      </c>
      <c r="Z308" s="349">
        <f t="shared" si="21"/>
        <v>1.2219961240418353E-3</v>
      </c>
      <c r="AA308" s="324"/>
      <c r="AB308" s="324"/>
      <c r="AC308" s="324"/>
      <c r="AD308" s="324"/>
      <c r="AE308" s="324"/>
      <c r="AF308" s="324"/>
    </row>
    <row r="309" spans="1:32">
      <c r="A309" s="324"/>
      <c r="B309" s="244"/>
      <c r="C309" s="294"/>
      <c r="D309" s="235"/>
      <c r="E309" s="294"/>
      <c r="F309" s="235"/>
      <c r="G309" s="324"/>
      <c r="H309" s="324"/>
      <c r="I309" s="324"/>
      <c r="J309" s="324"/>
      <c r="K309" s="324"/>
      <c r="L309" s="324"/>
      <c r="M309" s="294"/>
      <c r="N309" s="235"/>
      <c r="O309" s="324"/>
      <c r="P309" s="235"/>
      <c r="Q309" s="324"/>
      <c r="R309" s="324"/>
      <c r="S309" s="324"/>
      <c r="T309" s="324"/>
      <c r="U309" s="324"/>
      <c r="V309" s="377">
        <v>42331</v>
      </c>
      <c r="W309" s="198">
        <v>82.75</v>
      </c>
      <c r="X309" s="349">
        <f t="shared" si="20"/>
        <v>6.5685562166228895E-3</v>
      </c>
      <c r="Y309" s="198">
        <v>2086.5900879999999</v>
      </c>
      <c r="Z309" s="349">
        <f t="shared" si="21"/>
        <v>-1.2348607802712408E-3</v>
      </c>
      <c r="AA309" s="324"/>
      <c r="AB309" s="324"/>
      <c r="AC309" s="324"/>
      <c r="AD309" s="324"/>
      <c r="AE309" s="324"/>
      <c r="AF309" s="324"/>
    </row>
    <row r="310" spans="1:32">
      <c r="A310" s="324"/>
      <c r="B310" s="244"/>
      <c r="C310" s="294"/>
      <c r="D310" s="235"/>
      <c r="E310" s="294"/>
      <c r="F310" s="235"/>
      <c r="G310" s="324"/>
      <c r="H310" s="324"/>
      <c r="I310" s="324"/>
      <c r="J310" s="324"/>
      <c r="K310" s="324"/>
      <c r="L310" s="324"/>
      <c r="M310" s="294"/>
      <c r="N310" s="235"/>
      <c r="O310" s="324"/>
      <c r="P310" s="235"/>
      <c r="Q310" s="324"/>
      <c r="R310" s="324"/>
      <c r="S310" s="324"/>
      <c r="T310" s="324"/>
      <c r="U310" s="324"/>
      <c r="V310" s="377">
        <v>42328</v>
      </c>
      <c r="W310" s="198">
        <v>82.209998999999996</v>
      </c>
      <c r="X310" s="349">
        <f t="shared" si="20"/>
        <v>1.0944404820462328E-2</v>
      </c>
      <c r="Y310" s="198">
        <v>2089.169922</v>
      </c>
      <c r="Z310" s="349">
        <f t="shared" si="21"/>
        <v>3.8101958630922805E-3</v>
      </c>
      <c r="AA310" s="324"/>
      <c r="AB310" s="324"/>
      <c r="AC310" s="324"/>
      <c r="AD310" s="324"/>
      <c r="AE310" s="324"/>
      <c r="AF310" s="324"/>
    </row>
    <row r="311" spans="1:32">
      <c r="A311" s="324"/>
      <c r="B311" s="244"/>
      <c r="C311" s="294"/>
      <c r="D311" s="235"/>
      <c r="E311" s="294"/>
      <c r="F311" s="235"/>
      <c r="G311" s="324"/>
      <c r="H311" s="324"/>
      <c r="I311" s="324"/>
      <c r="J311" s="324"/>
      <c r="K311" s="324"/>
      <c r="L311" s="324"/>
      <c r="M311" s="294"/>
      <c r="N311" s="235"/>
      <c r="O311" s="324"/>
      <c r="P311" s="235"/>
      <c r="Q311" s="324"/>
      <c r="R311" s="324"/>
      <c r="S311" s="324"/>
      <c r="T311" s="324"/>
      <c r="U311" s="324"/>
      <c r="V311" s="377">
        <v>42327</v>
      </c>
      <c r="W311" s="198">
        <v>81.319999999999993</v>
      </c>
      <c r="X311" s="349">
        <f t="shared" si="20"/>
        <v>9.810021231963395E-3</v>
      </c>
      <c r="Y311" s="198">
        <v>2081.23999</v>
      </c>
      <c r="Z311" s="349">
        <f t="shared" si="21"/>
        <v>-1.1231092218189076E-3</v>
      </c>
      <c r="AA311" s="324"/>
      <c r="AB311" s="324"/>
      <c r="AC311" s="324"/>
      <c r="AD311" s="324"/>
      <c r="AE311" s="324"/>
      <c r="AF311" s="324"/>
    </row>
    <row r="312" spans="1:32">
      <c r="A312" s="324"/>
      <c r="B312" s="244"/>
      <c r="C312" s="294"/>
      <c r="D312" s="235"/>
      <c r="E312" s="294"/>
      <c r="F312" s="235"/>
      <c r="G312" s="324"/>
      <c r="H312" s="324"/>
      <c r="I312" s="324"/>
      <c r="J312" s="324"/>
      <c r="K312" s="324"/>
      <c r="L312" s="324"/>
      <c r="M312" s="294"/>
      <c r="N312" s="235"/>
      <c r="O312" s="324"/>
      <c r="P312" s="235"/>
      <c r="Q312" s="324"/>
      <c r="R312" s="324"/>
      <c r="S312" s="324"/>
      <c r="T312" s="324"/>
      <c r="U312" s="324"/>
      <c r="V312" s="377">
        <v>42326</v>
      </c>
      <c r="W312" s="198">
        <v>80.529999000000004</v>
      </c>
      <c r="X312" s="349">
        <f t="shared" si="20"/>
        <v>3.1141006865234022E-3</v>
      </c>
      <c r="Y312" s="198">
        <v>2083.580078</v>
      </c>
      <c r="Z312" s="349">
        <f t="shared" si="21"/>
        <v>1.616245193889343E-2</v>
      </c>
      <c r="AA312" s="324"/>
      <c r="AB312" s="324"/>
      <c r="AC312" s="324"/>
      <c r="AD312" s="324"/>
      <c r="AE312" s="324"/>
      <c r="AF312" s="324"/>
    </row>
    <row r="313" spans="1:32">
      <c r="A313" s="324"/>
      <c r="B313" s="244"/>
      <c r="C313" s="294"/>
      <c r="D313" s="235"/>
      <c r="E313" s="294"/>
      <c r="F313" s="235"/>
      <c r="G313" s="324"/>
      <c r="H313" s="324"/>
      <c r="I313" s="324"/>
      <c r="J313" s="324"/>
      <c r="K313" s="324"/>
      <c r="L313" s="324"/>
      <c r="M313" s="294"/>
      <c r="N313" s="235"/>
      <c r="O313" s="324"/>
      <c r="P313" s="235"/>
      <c r="Q313" s="324"/>
      <c r="R313" s="324"/>
      <c r="S313" s="324"/>
      <c r="T313" s="324"/>
      <c r="U313" s="324"/>
      <c r="V313" s="377">
        <v>42325</v>
      </c>
      <c r="W313" s="198">
        <v>80.279999000000004</v>
      </c>
      <c r="X313" s="349">
        <f t="shared" si="20"/>
        <v>1.5046188648182524E-2</v>
      </c>
      <c r="Y313" s="198">
        <v>2050.4399410000001</v>
      </c>
      <c r="Z313" s="349">
        <f t="shared" si="21"/>
        <v>-1.3393792484004408E-3</v>
      </c>
      <c r="AA313" s="324"/>
      <c r="AB313" s="324"/>
      <c r="AC313" s="324"/>
      <c r="AD313" s="324"/>
      <c r="AE313" s="324"/>
      <c r="AF313" s="324"/>
    </row>
    <row r="314" spans="1:32">
      <c r="A314" s="324"/>
      <c r="B314" s="244"/>
      <c r="C314" s="294"/>
      <c r="D314" s="235"/>
      <c r="E314" s="294"/>
      <c r="F314" s="235"/>
      <c r="G314" s="324"/>
      <c r="H314" s="324"/>
      <c r="I314" s="324"/>
      <c r="J314" s="324"/>
      <c r="K314" s="324"/>
      <c r="L314" s="324"/>
      <c r="M314" s="294"/>
      <c r="N314" s="235"/>
      <c r="O314" s="324"/>
      <c r="P314" s="235"/>
      <c r="Q314" s="324"/>
      <c r="R314" s="324"/>
      <c r="S314" s="324"/>
      <c r="T314" s="324"/>
      <c r="U314" s="324"/>
      <c r="V314" s="377">
        <v>42324</v>
      </c>
      <c r="W314" s="198">
        <v>79.089995999999999</v>
      </c>
      <c r="X314" s="349">
        <f t="shared" si="20"/>
        <v>1.6189052648360569E-2</v>
      </c>
      <c r="Y314" s="198">
        <v>2053.1899410000001</v>
      </c>
      <c r="Z314" s="349">
        <f t="shared" si="21"/>
        <v>1.490326509548634E-2</v>
      </c>
      <c r="AA314" s="324"/>
      <c r="AB314" s="324"/>
      <c r="AC314" s="324"/>
      <c r="AD314" s="324"/>
      <c r="AE314" s="324"/>
      <c r="AF314" s="324"/>
    </row>
    <row r="315" spans="1:32">
      <c r="A315" s="324"/>
      <c r="B315" s="244"/>
      <c r="C315" s="294"/>
      <c r="D315" s="235"/>
      <c r="E315" s="294"/>
      <c r="F315" s="235"/>
      <c r="G315" s="324"/>
      <c r="H315" s="324"/>
      <c r="I315" s="324"/>
      <c r="J315" s="324"/>
      <c r="K315" s="324"/>
      <c r="L315" s="324"/>
      <c r="M315" s="294"/>
      <c r="N315" s="235"/>
      <c r="O315" s="324"/>
      <c r="P315" s="235"/>
      <c r="Q315" s="324"/>
      <c r="R315" s="324"/>
      <c r="S315" s="324"/>
      <c r="T315" s="324"/>
      <c r="U315" s="324"/>
      <c r="V315" s="377">
        <v>42321</v>
      </c>
      <c r="W315" s="198">
        <v>77.830001999999993</v>
      </c>
      <c r="X315" s="349">
        <f t="shared" si="20"/>
        <v>-2.4808871690486733E-2</v>
      </c>
      <c r="Y315" s="198">
        <v>2023.040039</v>
      </c>
      <c r="Z315" s="349">
        <f t="shared" si="21"/>
        <v>-1.1207364880723381E-2</v>
      </c>
      <c r="AA315" s="324"/>
      <c r="AB315" s="324"/>
      <c r="AC315" s="324"/>
      <c r="AD315" s="324"/>
      <c r="AE315" s="324"/>
      <c r="AF315" s="324"/>
    </row>
    <row r="316" spans="1:32">
      <c r="A316" s="324"/>
      <c r="B316" s="244"/>
      <c r="C316" s="294"/>
      <c r="D316" s="235"/>
      <c r="E316" s="294"/>
      <c r="F316" s="235"/>
      <c r="G316" s="324"/>
      <c r="H316" s="324"/>
      <c r="I316" s="324"/>
      <c r="J316" s="324"/>
      <c r="K316" s="324"/>
      <c r="L316" s="324"/>
      <c r="M316" s="294"/>
      <c r="N316" s="235"/>
      <c r="O316" s="324"/>
      <c r="P316" s="235"/>
      <c r="Q316" s="324"/>
      <c r="R316" s="324"/>
      <c r="S316" s="324"/>
      <c r="T316" s="324"/>
      <c r="U316" s="324"/>
      <c r="V316" s="377">
        <v>42320</v>
      </c>
      <c r="W316" s="198">
        <v>79.809997999999993</v>
      </c>
      <c r="X316" s="349">
        <f t="shared" si="20"/>
        <v>-2.0255352568811169E-2</v>
      </c>
      <c r="Y316" s="198">
        <v>2045.969971</v>
      </c>
      <c r="Z316" s="349">
        <f t="shared" si="21"/>
        <v>-1.3990375421686796E-2</v>
      </c>
      <c r="AA316" s="324"/>
      <c r="AB316" s="324"/>
      <c r="AC316" s="324"/>
      <c r="AD316" s="324"/>
      <c r="AE316" s="324"/>
      <c r="AF316" s="324"/>
    </row>
    <row r="317" spans="1:32">
      <c r="A317" s="324"/>
      <c r="B317" s="244"/>
      <c r="C317" s="294"/>
      <c r="D317" s="235"/>
      <c r="E317" s="294"/>
      <c r="F317" s="235"/>
      <c r="G317" s="324"/>
      <c r="H317" s="324"/>
      <c r="I317" s="324"/>
      <c r="J317" s="324"/>
      <c r="K317" s="324"/>
      <c r="L317" s="324"/>
      <c r="M317" s="294"/>
      <c r="N317" s="235"/>
      <c r="O317" s="324"/>
      <c r="P317" s="235"/>
      <c r="Q317" s="324"/>
      <c r="R317" s="324"/>
      <c r="S317" s="324"/>
      <c r="T317" s="324"/>
      <c r="U317" s="324"/>
      <c r="V317" s="377">
        <v>42319</v>
      </c>
      <c r="W317" s="198">
        <v>81.459998999999996</v>
      </c>
      <c r="X317" s="349">
        <f t="shared" si="20"/>
        <v>8.1682670234553001E-3</v>
      </c>
      <c r="Y317" s="198">
        <v>2075</v>
      </c>
      <c r="Z317" s="349">
        <f t="shared" si="21"/>
        <v>-3.2280859546982565E-3</v>
      </c>
      <c r="AA317" s="324"/>
      <c r="AB317" s="324"/>
      <c r="AC317" s="324"/>
      <c r="AD317" s="324"/>
      <c r="AE317" s="324"/>
      <c r="AF317" s="324"/>
    </row>
    <row r="318" spans="1:32">
      <c r="A318" s="324"/>
      <c r="B318" s="244"/>
      <c r="C318" s="294"/>
      <c r="D318" s="235"/>
      <c r="E318" s="294"/>
      <c r="F318" s="235"/>
      <c r="G318" s="324"/>
      <c r="H318" s="324"/>
      <c r="I318" s="324"/>
      <c r="J318" s="324"/>
      <c r="K318" s="324"/>
      <c r="L318" s="324"/>
      <c r="M318" s="294"/>
      <c r="N318" s="235"/>
      <c r="O318" s="324"/>
      <c r="P318" s="235"/>
      <c r="Q318" s="324"/>
      <c r="R318" s="324"/>
      <c r="S318" s="324"/>
      <c r="T318" s="324"/>
      <c r="U318" s="324"/>
      <c r="V318" s="377">
        <v>42318</v>
      </c>
      <c r="W318" s="198">
        <v>80.800003000000004</v>
      </c>
      <c r="X318" s="349">
        <f t="shared" si="20"/>
        <v>6.3519989244986697E-3</v>
      </c>
      <c r="Y318" s="198">
        <v>2081.719971</v>
      </c>
      <c r="Z318" s="349">
        <f t="shared" si="21"/>
        <v>1.5105951573544107E-3</v>
      </c>
      <c r="AA318" s="324"/>
      <c r="AB318" s="324"/>
      <c r="AC318" s="324"/>
      <c r="AD318" s="324"/>
      <c r="AE318" s="324"/>
      <c r="AF318" s="324"/>
    </row>
    <row r="319" spans="1:32">
      <c r="A319" s="324"/>
      <c r="B319" s="244"/>
      <c r="C319" s="294"/>
      <c r="D319" s="235"/>
      <c r="E319" s="294"/>
      <c r="F319" s="235"/>
      <c r="G319" s="324"/>
      <c r="H319" s="324"/>
      <c r="I319" s="324"/>
      <c r="J319" s="324"/>
      <c r="K319" s="324"/>
      <c r="L319" s="324"/>
      <c r="M319" s="294"/>
      <c r="N319" s="235"/>
      <c r="O319" s="324"/>
      <c r="P319" s="235"/>
      <c r="Q319" s="324"/>
      <c r="R319" s="324"/>
      <c r="S319" s="324"/>
      <c r="T319" s="324"/>
      <c r="U319" s="324"/>
      <c r="V319" s="377">
        <v>42317</v>
      </c>
      <c r="W319" s="198">
        <v>80.290001000000004</v>
      </c>
      <c r="X319" s="349">
        <f t="shared" si="20"/>
        <v>-9.0100719208864311E-3</v>
      </c>
      <c r="Y319" s="198">
        <v>2078.580078</v>
      </c>
      <c r="Z319" s="349">
        <f t="shared" si="21"/>
        <v>-9.8227293641929281E-3</v>
      </c>
      <c r="AA319" s="324"/>
      <c r="AB319" s="324"/>
      <c r="AC319" s="324"/>
      <c r="AD319" s="324"/>
      <c r="AE319" s="324"/>
      <c r="AF319" s="324"/>
    </row>
    <row r="320" spans="1:32">
      <c r="A320" s="324"/>
      <c r="B320" s="244"/>
      <c r="C320" s="294"/>
      <c r="D320" s="235"/>
      <c r="E320" s="294"/>
      <c r="F320" s="235"/>
      <c r="G320" s="324"/>
      <c r="H320" s="324"/>
      <c r="I320" s="324"/>
      <c r="J320" s="324"/>
      <c r="K320" s="324"/>
      <c r="L320" s="324"/>
      <c r="M320" s="294"/>
      <c r="N320" s="235"/>
      <c r="O320" s="324"/>
      <c r="P320" s="235"/>
      <c r="Q320" s="324"/>
      <c r="R320" s="324"/>
      <c r="S320" s="324"/>
      <c r="T320" s="324"/>
      <c r="U320" s="324"/>
      <c r="V320" s="377">
        <v>42314</v>
      </c>
      <c r="W320" s="198">
        <v>81.019997000000004</v>
      </c>
      <c r="X320" s="349">
        <f t="shared" si="20"/>
        <v>-6.7427117812920434E-3</v>
      </c>
      <c r="Y320" s="198">
        <v>2099.1999510000001</v>
      </c>
      <c r="Z320" s="349">
        <f t="shared" si="21"/>
        <v>-3.4762159864287767E-4</v>
      </c>
      <c r="AA320" s="324"/>
      <c r="AB320" s="324"/>
      <c r="AC320" s="324"/>
      <c r="AD320" s="324"/>
      <c r="AE320" s="324"/>
      <c r="AF320" s="324"/>
    </row>
    <row r="321" spans="1:32">
      <c r="A321" s="324"/>
      <c r="B321" s="244"/>
      <c r="C321" s="294"/>
      <c r="D321" s="235"/>
      <c r="E321" s="294"/>
      <c r="F321" s="235"/>
      <c r="G321" s="324"/>
      <c r="H321" s="324"/>
      <c r="I321" s="324"/>
      <c r="J321" s="324"/>
      <c r="K321" s="324"/>
      <c r="L321" s="324"/>
      <c r="M321" s="294"/>
      <c r="N321" s="235"/>
      <c r="O321" s="324"/>
      <c r="P321" s="235"/>
      <c r="Q321" s="324"/>
      <c r="R321" s="324"/>
      <c r="S321" s="324"/>
      <c r="T321" s="324"/>
      <c r="U321" s="324"/>
      <c r="V321" s="377">
        <v>42313</v>
      </c>
      <c r="W321" s="198">
        <v>81.569999999999993</v>
      </c>
      <c r="X321" s="349">
        <f t="shared" si="20"/>
        <v>-1.187162888413229E-2</v>
      </c>
      <c r="Y321" s="198">
        <v>2099.929932</v>
      </c>
      <c r="Z321" s="349">
        <f t="shared" si="21"/>
        <v>-1.1321484144598548E-3</v>
      </c>
      <c r="AA321" s="324"/>
      <c r="AB321" s="324"/>
      <c r="AC321" s="324"/>
      <c r="AD321" s="324"/>
      <c r="AE321" s="324"/>
      <c r="AF321" s="324"/>
    </row>
    <row r="322" spans="1:32">
      <c r="A322" s="324"/>
      <c r="B322" s="244"/>
      <c r="C322" s="294"/>
      <c r="D322" s="235"/>
      <c r="E322" s="294"/>
      <c r="F322" s="235"/>
      <c r="G322" s="324"/>
      <c r="H322" s="324"/>
      <c r="I322" s="324"/>
      <c r="J322" s="324"/>
      <c r="K322" s="324"/>
      <c r="L322" s="324"/>
      <c r="M322" s="294"/>
      <c r="N322" s="235"/>
      <c r="O322" s="324"/>
      <c r="P322" s="235"/>
      <c r="Q322" s="324"/>
      <c r="R322" s="324"/>
      <c r="S322" s="324"/>
      <c r="T322" s="324"/>
      <c r="U322" s="324"/>
      <c r="V322" s="377">
        <v>42312</v>
      </c>
      <c r="W322" s="198">
        <v>82.550003000000004</v>
      </c>
      <c r="X322" s="349">
        <f t="shared" si="20"/>
        <v>2.1026654818222745E-2</v>
      </c>
      <c r="Y322" s="198">
        <v>2102.3100589999999</v>
      </c>
      <c r="Z322" s="349">
        <f t="shared" si="21"/>
        <v>-3.5453670089111711E-3</v>
      </c>
      <c r="AA322" s="324"/>
      <c r="AB322" s="324"/>
      <c r="AC322" s="324"/>
      <c r="AD322" s="324"/>
      <c r="AE322" s="324"/>
      <c r="AF322" s="324"/>
    </row>
    <row r="323" spans="1:32">
      <c r="A323" s="324"/>
      <c r="B323" s="244"/>
      <c r="C323" s="294"/>
      <c r="D323" s="235"/>
      <c r="E323" s="294"/>
      <c r="F323" s="235"/>
      <c r="G323" s="324"/>
      <c r="H323" s="324"/>
      <c r="I323" s="324"/>
      <c r="J323" s="324"/>
      <c r="K323" s="324"/>
      <c r="L323" s="324"/>
      <c r="M323" s="294"/>
      <c r="N323" s="235"/>
      <c r="O323" s="324"/>
      <c r="P323" s="235"/>
      <c r="Q323" s="324"/>
      <c r="R323" s="324"/>
      <c r="S323" s="324"/>
      <c r="T323" s="324"/>
      <c r="U323" s="324"/>
      <c r="V323" s="377">
        <v>42311</v>
      </c>
      <c r="W323" s="198">
        <v>80.849997999999999</v>
      </c>
      <c r="X323" s="349">
        <f t="shared" si="20"/>
        <v>8.8594835145929807E-3</v>
      </c>
      <c r="Y323" s="198">
        <v>2109.790039</v>
      </c>
      <c r="Z323" s="349">
        <f t="shared" si="21"/>
        <v>2.7280672352485436E-3</v>
      </c>
      <c r="AA323" s="324"/>
      <c r="AB323" s="324"/>
      <c r="AC323" s="324"/>
      <c r="AD323" s="324"/>
      <c r="AE323" s="324"/>
      <c r="AF323" s="324"/>
    </row>
    <row r="324" spans="1:32">
      <c r="A324" s="324"/>
      <c r="B324" s="244"/>
      <c r="C324" s="294"/>
      <c r="D324" s="235"/>
      <c r="E324" s="294"/>
      <c r="F324" s="235"/>
      <c r="G324" s="324"/>
      <c r="H324" s="324"/>
      <c r="I324" s="324"/>
      <c r="J324" s="324"/>
      <c r="K324" s="324"/>
      <c r="L324" s="324"/>
      <c r="M324" s="294"/>
      <c r="N324" s="235"/>
      <c r="O324" s="324"/>
      <c r="P324" s="235"/>
      <c r="Q324" s="324"/>
      <c r="R324" s="324"/>
      <c r="S324" s="324"/>
      <c r="T324" s="324"/>
      <c r="U324" s="324"/>
      <c r="V324" s="377">
        <v>42310</v>
      </c>
      <c r="W324" s="198">
        <v>80.139999000000003</v>
      </c>
      <c r="X324" s="349">
        <f t="shared" si="20"/>
        <v>1.301982033851834E-2</v>
      </c>
      <c r="Y324" s="198">
        <v>2104.0500489999999</v>
      </c>
      <c r="Z324" s="349">
        <f t="shared" si="21"/>
        <v>1.1873817294504763E-2</v>
      </c>
      <c r="AA324" s="324"/>
      <c r="AB324" s="324"/>
      <c r="AC324" s="324"/>
      <c r="AD324" s="324"/>
      <c r="AE324" s="324"/>
      <c r="AF324" s="324"/>
    </row>
    <row r="325" spans="1:32">
      <c r="A325" s="324"/>
      <c r="B325" s="244"/>
      <c r="C325" s="294"/>
      <c r="D325" s="235"/>
      <c r="E325" s="294"/>
      <c r="F325" s="235"/>
      <c r="G325" s="324"/>
      <c r="H325" s="324"/>
      <c r="I325" s="324"/>
      <c r="J325" s="324"/>
      <c r="K325" s="324"/>
      <c r="L325" s="324"/>
      <c r="M325" s="294"/>
      <c r="N325" s="235"/>
      <c r="O325" s="324"/>
      <c r="P325" s="235"/>
      <c r="Q325" s="324"/>
      <c r="R325" s="324"/>
      <c r="S325" s="324"/>
      <c r="T325" s="324"/>
      <c r="U325" s="324"/>
      <c r="V325" s="377">
        <v>42307</v>
      </c>
      <c r="W325" s="198">
        <v>79.110000999999997</v>
      </c>
      <c r="X325" s="349">
        <f t="shared" si="20"/>
        <v>3.2974382573858207E-3</v>
      </c>
      <c r="Y325" s="198">
        <v>2079.360107</v>
      </c>
      <c r="Z325" s="349">
        <f t="shared" si="21"/>
        <v>-4.809877153488018E-3</v>
      </c>
      <c r="AA325" s="324"/>
      <c r="AB325" s="324"/>
      <c r="AC325" s="324"/>
      <c r="AD325" s="324"/>
      <c r="AE325" s="324"/>
      <c r="AF325" s="324"/>
    </row>
    <row r="326" spans="1:32">
      <c r="A326" s="324"/>
      <c r="B326" s="244"/>
      <c r="C326" s="294"/>
      <c r="D326" s="235"/>
      <c r="E326" s="294"/>
      <c r="F326" s="235"/>
      <c r="G326" s="324"/>
      <c r="H326" s="324"/>
      <c r="I326" s="324"/>
      <c r="J326" s="324"/>
      <c r="K326" s="324"/>
      <c r="L326" s="324"/>
      <c r="M326" s="294"/>
      <c r="N326" s="235"/>
      <c r="O326" s="324"/>
      <c r="P326" s="235"/>
      <c r="Q326" s="324"/>
      <c r="R326" s="324"/>
      <c r="S326" s="324"/>
      <c r="T326" s="324"/>
      <c r="U326" s="324"/>
      <c r="V326" s="377">
        <v>42306</v>
      </c>
      <c r="W326" s="198">
        <v>78.849997999999999</v>
      </c>
      <c r="X326" s="349">
        <f t="shared" si="20"/>
        <v>-2.9084976502655735E-3</v>
      </c>
      <c r="Y326" s="198">
        <v>2089.4099120000001</v>
      </c>
      <c r="Z326" s="349">
        <f t="shared" si="21"/>
        <v>-4.4977441860072354E-4</v>
      </c>
      <c r="AA326" s="324"/>
      <c r="AB326" s="324"/>
      <c r="AC326" s="324"/>
      <c r="AD326" s="324"/>
      <c r="AE326" s="324"/>
      <c r="AF326" s="324"/>
    </row>
    <row r="327" spans="1:32">
      <c r="A327" s="324"/>
      <c r="B327" s="244"/>
      <c r="C327" s="294"/>
      <c r="D327" s="235"/>
      <c r="E327" s="294"/>
      <c r="F327" s="235"/>
      <c r="G327" s="324"/>
      <c r="H327" s="324"/>
      <c r="I327" s="324"/>
      <c r="J327" s="324"/>
      <c r="K327" s="324"/>
      <c r="L327" s="324"/>
      <c r="M327" s="294"/>
      <c r="N327" s="235"/>
      <c r="O327" s="324"/>
      <c r="P327" s="235"/>
      <c r="Q327" s="324"/>
      <c r="R327" s="324"/>
      <c r="S327" s="324"/>
      <c r="T327" s="324"/>
      <c r="U327" s="324"/>
      <c r="V327" s="377">
        <v>42305</v>
      </c>
      <c r="W327" s="198">
        <v>79.080001999999993</v>
      </c>
      <c r="X327" s="349">
        <f t="shared" si="20"/>
        <v>1.5538704936225445E-2</v>
      </c>
      <c r="Y327" s="198">
        <v>2090.3500979999999</v>
      </c>
      <c r="Z327" s="349">
        <f t="shared" si="21"/>
        <v>1.1840033238402548E-2</v>
      </c>
      <c r="AA327" s="324"/>
      <c r="AB327" s="324"/>
      <c r="AC327" s="324"/>
      <c r="AD327" s="324"/>
      <c r="AE327" s="324"/>
      <c r="AF327" s="324"/>
    </row>
    <row r="328" spans="1:32">
      <c r="A328" s="324"/>
      <c r="B328" s="244"/>
      <c r="C328" s="294"/>
      <c r="D328" s="235"/>
      <c r="E328" s="294"/>
      <c r="F328" s="235"/>
      <c r="G328" s="324"/>
      <c r="H328" s="324"/>
      <c r="I328" s="324"/>
      <c r="J328" s="324"/>
      <c r="K328" s="324"/>
      <c r="L328" s="324"/>
      <c r="M328" s="294"/>
      <c r="N328" s="235"/>
      <c r="O328" s="324"/>
      <c r="P328" s="235"/>
      <c r="Q328" s="324"/>
      <c r="R328" s="324"/>
      <c r="S328" s="324"/>
      <c r="T328" s="324"/>
      <c r="U328" s="324"/>
      <c r="V328" s="377">
        <v>42304</v>
      </c>
      <c r="W328" s="198">
        <v>77.870002999999997</v>
      </c>
      <c r="X328" s="349">
        <f t="shared" si="20"/>
        <v>1.1571612388423524E-3</v>
      </c>
      <c r="Y328" s="198">
        <v>2065.889893</v>
      </c>
      <c r="Z328" s="349">
        <f t="shared" si="21"/>
        <v>-2.5541185091011442E-3</v>
      </c>
      <c r="AA328" s="324"/>
      <c r="AB328" s="324"/>
      <c r="AC328" s="324"/>
      <c r="AD328" s="324"/>
      <c r="AE328" s="324"/>
      <c r="AF328" s="324"/>
    </row>
    <row r="329" spans="1:32">
      <c r="A329" s="324"/>
      <c r="B329" s="244"/>
      <c r="C329" s="294"/>
      <c r="D329" s="235"/>
      <c r="E329" s="294"/>
      <c r="F329" s="235"/>
      <c r="G329" s="324"/>
      <c r="H329" s="324"/>
      <c r="I329" s="324"/>
      <c r="J329" s="324"/>
      <c r="K329" s="324"/>
      <c r="L329" s="324"/>
      <c r="M329" s="294"/>
      <c r="N329" s="235"/>
      <c r="O329" s="324"/>
      <c r="P329" s="235"/>
      <c r="Q329" s="324"/>
      <c r="R329" s="324"/>
      <c r="S329" s="324"/>
      <c r="T329" s="324"/>
      <c r="U329" s="324"/>
      <c r="V329" s="377">
        <v>42303</v>
      </c>
      <c r="W329" s="198">
        <v>77.779999000000004</v>
      </c>
      <c r="X329" s="349">
        <f t="shared" ref="X329:X392" si="22">W329/W330-1</f>
        <v>5.039410841703118E-3</v>
      </c>
      <c r="Y329" s="198">
        <v>2071.179932</v>
      </c>
      <c r="Z329" s="349">
        <f t="shared" ref="Z329:Z392" si="23">Y329/Y330-1</f>
        <v>-1.9131003481598352E-3</v>
      </c>
      <c r="AA329" s="324"/>
      <c r="AB329" s="324"/>
      <c r="AC329" s="324"/>
      <c r="AD329" s="324"/>
      <c r="AE329" s="324"/>
      <c r="AF329" s="324"/>
    </row>
    <row r="330" spans="1:32">
      <c r="A330" s="324"/>
      <c r="B330" s="244"/>
      <c r="C330" s="294"/>
      <c r="D330" s="235"/>
      <c r="E330" s="294"/>
      <c r="F330" s="235"/>
      <c r="G330" s="324"/>
      <c r="H330" s="324"/>
      <c r="I330" s="324"/>
      <c r="J330" s="324"/>
      <c r="K330" s="324"/>
      <c r="L330" s="324"/>
      <c r="M330" s="294"/>
      <c r="N330" s="235"/>
      <c r="O330" s="324"/>
      <c r="P330" s="235"/>
      <c r="Q330" s="324"/>
      <c r="R330" s="324"/>
      <c r="S330" s="324"/>
      <c r="T330" s="324"/>
      <c r="U330" s="324"/>
      <c r="V330" s="377">
        <v>42300</v>
      </c>
      <c r="W330" s="198">
        <v>77.389999000000003</v>
      </c>
      <c r="X330" s="349">
        <f t="shared" si="22"/>
        <v>5.4566453753848165E-3</v>
      </c>
      <c r="Y330" s="198">
        <v>2075.1499020000001</v>
      </c>
      <c r="Z330" s="349">
        <f t="shared" si="23"/>
        <v>1.1030344256396596E-2</v>
      </c>
      <c r="AA330" s="324"/>
      <c r="AB330" s="324"/>
      <c r="AC330" s="324"/>
      <c r="AD330" s="324"/>
      <c r="AE330" s="324"/>
      <c r="AF330" s="324"/>
    </row>
    <row r="331" spans="1:32">
      <c r="A331" s="324"/>
      <c r="B331" s="244"/>
      <c r="C331" s="294"/>
      <c r="D331" s="235"/>
      <c r="E331" s="294"/>
      <c r="F331" s="235"/>
      <c r="G331" s="324"/>
      <c r="H331" s="324"/>
      <c r="I331" s="324"/>
      <c r="J331" s="324"/>
      <c r="K331" s="324"/>
      <c r="L331" s="324"/>
      <c r="M331" s="294"/>
      <c r="N331" s="235"/>
      <c r="O331" s="324"/>
      <c r="P331" s="235"/>
      <c r="Q331" s="324"/>
      <c r="R331" s="324"/>
      <c r="S331" s="324"/>
      <c r="T331" s="324"/>
      <c r="U331" s="324"/>
      <c r="V331" s="377">
        <v>42299</v>
      </c>
      <c r="W331" s="198">
        <v>76.970000999999996</v>
      </c>
      <c r="X331" s="349">
        <f t="shared" si="22"/>
        <v>2.0831012129436388E-3</v>
      </c>
      <c r="Y331" s="198">
        <v>2052.51001</v>
      </c>
      <c r="Z331" s="349">
        <f t="shared" si="23"/>
        <v>1.6627571884764603E-2</v>
      </c>
      <c r="AA331" s="324"/>
      <c r="AB331" s="324"/>
      <c r="AC331" s="324"/>
      <c r="AD331" s="324"/>
      <c r="AE331" s="324"/>
      <c r="AF331" s="324"/>
    </row>
    <row r="332" spans="1:32">
      <c r="A332" s="324"/>
      <c r="B332" s="244"/>
      <c r="C332" s="294"/>
      <c r="D332" s="235"/>
      <c r="E332" s="294"/>
      <c r="F332" s="235"/>
      <c r="G332" s="324"/>
      <c r="H332" s="324"/>
      <c r="I332" s="324"/>
      <c r="J332" s="324"/>
      <c r="K332" s="324"/>
      <c r="L332" s="324"/>
      <c r="M332" s="294"/>
      <c r="N332" s="235"/>
      <c r="O332" s="324"/>
      <c r="P332" s="235"/>
      <c r="Q332" s="324"/>
      <c r="R332" s="324"/>
      <c r="S332" s="324"/>
      <c r="T332" s="324"/>
      <c r="U332" s="324"/>
      <c r="V332" s="377">
        <v>42298</v>
      </c>
      <c r="W332" s="198">
        <v>76.809997999999993</v>
      </c>
      <c r="X332" s="349">
        <f t="shared" si="22"/>
        <v>-1.8528034282442318E-2</v>
      </c>
      <c r="Y332" s="198">
        <v>2018.9399410000001</v>
      </c>
      <c r="Z332" s="349">
        <f t="shared" si="23"/>
        <v>-5.8254154254255841E-3</v>
      </c>
      <c r="AA332" s="324"/>
      <c r="AB332" s="324"/>
      <c r="AC332" s="324"/>
      <c r="AD332" s="324"/>
      <c r="AE332" s="324"/>
      <c r="AF332" s="324"/>
    </row>
    <row r="333" spans="1:32">
      <c r="A333" s="324"/>
      <c r="B333" s="244"/>
      <c r="C333" s="294"/>
      <c r="D333" s="235"/>
      <c r="E333" s="294"/>
      <c r="F333" s="235"/>
      <c r="G333" s="324"/>
      <c r="H333" s="324"/>
      <c r="I333" s="324"/>
      <c r="J333" s="324"/>
      <c r="K333" s="324"/>
      <c r="L333" s="324"/>
      <c r="M333" s="294"/>
      <c r="N333" s="235"/>
      <c r="O333" s="324"/>
      <c r="P333" s="235"/>
      <c r="Q333" s="324"/>
      <c r="R333" s="324"/>
      <c r="S333" s="324"/>
      <c r="T333" s="324"/>
      <c r="U333" s="324"/>
      <c r="V333" s="377">
        <v>42297</v>
      </c>
      <c r="W333" s="198">
        <v>78.260002</v>
      </c>
      <c r="X333" s="349">
        <f t="shared" si="22"/>
        <v>-8.1115333812031842E-3</v>
      </c>
      <c r="Y333" s="198">
        <v>2030.7700199999999</v>
      </c>
      <c r="Z333" s="349">
        <f t="shared" si="23"/>
        <v>-1.421090030626071E-3</v>
      </c>
      <c r="AA333" s="324"/>
      <c r="AB333" s="324"/>
      <c r="AC333" s="324"/>
      <c r="AD333" s="324"/>
      <c r="AE333" s="324"/>
      <c r="AF333" s="324"/>
    </row>
    <row r="334" spans="1:32">
      <c r="A334" s="324"/>
      <c r="B334" s="244"/>
      <c r="C334" s="294"/>
      <c r="D334" s="235"/>
      <c r="E334" s="294"/>
      <c r="F334" s="235"/>
      <c r="G334" s="324"/>
      <c r="H334" s="324"/>
      <c r="I334" s="324"/>
      <c r="J334" s="324"/>
      <c r="K334" s="324"/>
      <c r="L334" s="324"/>
      <c r="M334" s="294"/>
      <c r="N334" s="235"/>
      <c r="O334" s="324"/>
      <c r="P334" s="235"/>
      <c r="Q334" s="324"/>
      <c r="R334" s="324"/>
      <c r="S334" s="324"/>
      <c r="T334" s="324"/>
      <c r="U334" s="324"/>
      <c r="V334" s="377">
        <v>42296</v>
      </c>
      <c r="W334" s="198">
        <v>78.900002000000001</v>
      </c>
      <c r="X334" s="349">
        <f t="shared" si="22"/>
        <v>1.6490581686785077E-2</v>
      </c>
      <c r="Y334" s="198">
        <v>2033.660034</v>
      </c>
      <c r="Z334" s="349">
        <f t="shared" si="23"/>
        <v>2.7054561930150989E-4</v>
      </c>
      <c r="AA334" s="324"/>
      <c r="AB334" s="324"/>
      <c r="AC334" s="324"/>
      <c r="AD334" s="324"/>
      <c r="AE334" s="324"/>
      <c r="AF334" s="324"/>
    </row>
    <row r="335" spans="1:32">
      <c r="A335" s="324"/>
      <c r="B335" s="244"/>
      <c r="C335" s="294"/>
      <c r="D335" s="235"/>
      <c r="E335" s="294"/>
      <c r="F335" s="235"/>
      <c r="G335" s="324"/>
      <c r="H335" s="324"/>
      <c r="I335" s="324"/>
      <c r="J335" s="324"/>
      <c r="K335" s="324"/>
      <c r="L335" s="324"/>
      <c r="M335" s="294"/>
      <c r="N335" s="235"/>
      <c r="O335" s="324"/>
      <c r="P335" s="235"/>
      <c r="Q335" s="324"/>
      <c r="R335" s="324"/>
      <c r="S335" s="324"/>
      <c r="T335" s="324"/>
      <c r="U335" s="324"/>
      <c r="V335" s="377">
        <v>42293</v>
      </c>
      <c r="W335" s="198">
        <v>77.620002999999997</v>
      </c>
      <c r="X335" s="349">
        <f t="shared" si="22"/>
        <v>-1.0295238492737946E-3</v>
      </c>
      <c r="Y335" s="198">
        <v>2033.1099850000001</v>
      </c>
      <c r="Z335" s="349">
        <f t="shared" si="23"/>
        <v>4.5704742761638606E-3</v>
      </c>
      <c r="AA335" s="324"/>
      <c r="AB335" s="324"/>
      <c r="AC335" s="324"/>
      <c r="AD335" s="324"/>
      <c r="AE335" s="324"/>
      <c r="AF335" s="324"/>
    </row>
    <row r="336" spans="1:32">
      <c r="A336" s="324"/>
      <c r="B336" s="244"/>
      <c r="C336" s="294"/>
      <c r="D336" s="235"/>
      <c r="E336" s="294"/>
      <c r="F336" s="235"/>
      <c r="G336" s="324"/>
      <c r="H336" s="324"/>
      <c r="I336" s="324"/>
      <c r="J336" s="324"/>
      <c r="K336" s="324"/>
      <c r="L336" s="324"/>
      <c r="M336" s="294"/>
      <c r="N336" s="235"/>
      <c r="O336" s="324"/>
      <c r="P336" s="235"/>
      <c r="Q336" s="324"/>
      <c r="R336" s="324"/>
      <c r="S336" s="324"/>
      <c r="T336" s="324"/>
      <c r="U336" s="324"/>
      <c r="V336" s="377">
        <v>42292</v>
      </c>
      <c r="W336" s="198">
        <v>77.699996999999996</v>
      </c>
      <c r="X336" s="349">
        <f t="shared" si="22"/>
        <v>3.4344966679514144E-2</v>
      </c>
      <c r="Y336" s="198">
        <v>2023.8599850000001</v>
      </c>
      <c r="Z336" s="349">
        <f t="shared" si="23"/>
        <v>1.485277356212289E-2</v>
      </c>
      <c r="AA336" s="324"/>
      <c r="AB336" s="324"/>
      <c r="AC336" s="324"/>
      <c r="AD336" s="324"/>
      <c r="AE336" s="324"/>
      <c r="AF336" s="324"/>
    </row>
    <row r="337" spans="1:32">
      <c r="A337" s="324"/>
      <c r="B337" s="244"/>
      <c r="C337" s="294"/>
      <c r="D337" s="235"/>
      <c r="E337" s="294"/>
      <c r="F337" s="235"/>
      <c r="G337" s="324"/>
      <c r="H337" s="324"/>
      <c r="I337" s="324"/>
      <c r="J337" s="324"/>
      <c r="K337" s="324"/>
      <c r="L337" s="324"/>
      <c r="M337" s="294"/>
      <c r="N337" s="235"/>
      <c r="O337" s="324"/>
      <c r="P337" s="235"/>
      <c r="Q337" s="324"/>
      <c r="R337" s="324"/>
      <c r="S337" s="324"/>
      <c r="T337" s="324"/>
      <c r="U337" s="324"/>
      <c r="V337" s="377">
        <v>42291</v>
      </c>
      <c r="W337" s="198">
        <v>75.120002999999997</v>
      </c>
      <c r="X337" s="349">
        <f t="shared" si="22"/>
        <v>5.3533457527656925E-3</v>
      </c>
      <c r="Y337" s="198">
        <v>1994.23999</v>
      </c>
      <c r="Z337" s="349">
        <f t="shared" si="23"/>
        <v>-4.7162741133909281E-3</v>
      </c>
      <c r="AA337" s="324"/>
      <c r="AB337" s="324"/>
      <c r="AC337" s="324"/>
      <c r="AD337" s="324"/>
      <c r="AE337" s="324"/>
      <c r="AF337" s="324"/>
    </row>
    <row r="338" spans="1:32">
      <c r="A338" s="324"/>
      <c r="B338" s="244"/>
      <c r="C338" s="294"/>
      <c r="D338" s="235"/>
      <c r="E338" s="294"/>
      <c r="F338" s="235"/>
      <c r="G338" s="324"/>
      <c r="H338" s="324"/>
      <c r="I338" s="324"/>
      <c r="J338" s="324"/>
      <c r="K338" s="324"/>
      <c r="L338" s="324"/>
      <c r="M338" s="294"/>
      <c r="N338" s="235"/>
      <c r="O338" s="324"/>
      <c r="P338" s="235"/>
      <c r="Q338" s="324"/>
      <c r="R338" s="324"/>
      <c r="S338" s="324"/>
      <c r="T338" s="324"/>
      <c r="U338" s="324"/>
      <c r="V338" s="377">
        <v>42290</v>
      </c>
      <c r="W338" s="198">
        <v>74.720000999999996</v>
      </c>
      <c r="X338" s="349">
        <f t="shared" si="22"/>
        <v>-1.6583337065675052E-2</v>
      </c>
      <c r="Y338" s="198">
        <v>2003.6899410000001</v>
      </c>
      <c r="Z338" s="349">
        <f t="shared" si="23"/>
        <v>-6.8254241800043136E-3</v>
      </c>
      <c r="AA338" s="324"/>
      <c r="AB338" s="324"/>
      <c r="AC338" s="324"/>
      <c r="AD338" s="324"/>
      <c r="AE338" s="324"/>
      <c r="AF338" s="324"/>
    </row>
    <row r="339" spans="1:32">
      <c r="A339" s="324"/>
      <c r="B339" s="244"/>
      <c r="C339" s="294"/>
      <c r="D339" s="235"/>
      <c r="E339" s="294"/>
      <c r="F339" s="235"/>
      <c r="G339" s="324"/>
      <c r="H339" s="324"/>
      <c r="I339" s="324"/>
      <c r="J339" s="324"/>
      <c r="K339" s="324"/>
      <c r="L339" s="324"/>
      <c r="M339" s="294"/>
      <c r="N339" s="235"/>
      <c r="O339" s="324"/>
      <c r="P339" s="235"/>
      <c r="Q339" s="324"/>
      <c r="R339" s="324"/>
      <c r="S339" s="324"/>
      <c r="T339" s="324"/>
      <c r="U339" s="324"/>
      <c r="V339" s="377">
        <v>42289</v>
      </c>
      <c r="W339" s="198">
        <v>75.980002999999996</v>
      </c>
      <c r="X339" s="349">
        <f t="shared" si="22"/>
        <v>-6.5376566473199782E-3</v>
      </c>
      <c r="Y339" s="198">
        <v>2017.459961</v>
      </c>
      <c r="Z339" s="349">
        <f t="shared" si="23"/>
        <v>1.2754770636946855E-3</v>
      </c>
      <c r="AA339" s="324"/>
      <c r="AB339" s="324"/>
      <c r="AC339" s="324"/>
      <c r="AD339" s="324"/>
      <c r="AE339" s="324"/>
      <c r="AF339" s="324"/>
    </row>
    <row r="340" spans="1:32">
      <c r="A340" s="324"/>
      <c r="B340" s="244"/>
      <c r="C340" s="294"/>
      <c r="D340" s="235"/>
      <c r="E340" s="294"/>
      <c r="F340" s="235"/>
      <c r="G340" s="324"/>
      <c r="H340" s="324"/>
      <c r="I340" s="324"/>
      <c r="J340" s="324"/>
      <c r="K340" s="324"/>
      <c r="L340" s="324"/>
      <c r="M340" s="294"/>
      <c r="N340" s="235"/>
      <c r="O340" s="324"/>
      <c r="P340" s="235"/>
      <c r="Q340" s="324"/>
      <c r="R340" s="324"/>
      <c r="S340" s="324"/>
      <c r="T340" s="324"/>
      <c r="U340" s="324"/>
      <c r="V340" s="377">
        <v>42286</v>
      </c>
      <c r="W340" s="198">
        <v>76.480002999999996</v>
      </c>
      <c r="X340" s="349">
        <f t="shared" si="22"/>
        <v>1.7833431166268676E-2</v>
      </c>
      <c r="Y340" s="198">
        <v>2014.8900149999999</v>
      </c>
      <c r="Z340" s="349">
        <f t="shared" si="23"/>
        <v>7.251113576554058E-4</v>
      </c>
      <c r="AA340" s="324"/>
      <c r="AB340" s="324"/>
      <c r="AC340" s="324"/>
      <c r="AD340" s="324"/>
      <c r="AE340" s="324"/>
      <c r="AF340" s="324"/>
    </row>
    <row r="341" spans="1:32">
      <c r="A341" s="324"/>
      <c r="B341" s="244"/>
      <c r="C341" s="294"/>
      <c r="D341" s="235"/>
      <c r="E341" s="294"/>
      <c r="F341" s="235"/>
      <c r="G341" s="324"/>
      <c r="H341" s="324"/>
      <c r="I341" s="324"/>
      <c r="J341" s="324"/>
      <c r="K341" s="324"/>
      <c r="L341" s="324"/>
      <c r="M341" s="294"/>
      <c r="N341" s="235"/>
      <c r="O341" s="324"/>
      <c r="P341" s="235"/>
      <c r="Q341" s="324"/>
      <c r="R341" s="324"/>
      <c r="S341" s="324"/>
      <c r="T341" s="324"/>
      <c r="U341" s="324"/>
      <c r="V341" s="377">
        <v>42285</v>
      </c>
      <c r="W341" s="198">
        <v>75.139999000000003</v>
      </c>
      <c r="X341" s="349">
        <f t="shared" si="22"/>
        <v>1.3078077742431526E-2</v>
      </c>
      <c r="Y341" s="198">
        <v>2013.4300539999999</v>
      </c>
      <c r="Z341" s="349">
        <f t="shared" si="23"/>
        <v>8.8184356322988933E-3</v>
      </c>
      <c r="AA341" s="324"/>
      <c r="AB341" s="324"/>
      <c r="AC341" s="324"/>
      <c r="AD341" s="324"/>
      <c r="AE341" s="324"/>
      <c r="AF341" s="324"/>
    </row>
    <row r="342" spans="1:32">
      <c r="A342" s="324"/>
      <c r="B342" s="244"/>
      <c r="C342" s="294"/>
      <c r="D342" s="235"/>
      <c r="E342" s="294"/>
      <c r="F342" s="235"/>
      <c r="G342" s="324"/>
      <c r="H342" s="324"/>
      <c r="I342" s="324"/>
      <c r="J342" s="324"/>
      <c r="K342" s="324"/>
      <c r="L342" s="324"/>
      <c r="M342" s="294"/>
      <c r="N342" s="235"/>
      <c r="O342" s="324"/>
      <c r="P342" s="235"/>
      <c r="Q342" s="324"/>
      <c r="R342" s="324"/>
      <c r="S342" s="324"/>
      <c r="T342" s="324"/>
      <c r="U342" s="324"/>
      <c r="V342" s="377">
        <v>42284</v>
      </c>
      <c r="W342" s="198">
        <v>74.169998000000007</v>
      </c>
      <c r="X342" s="349">
        <f t="shared" si="22"/>
        <v>1.8958606691048097E-2</v>
      </c>
      <c r="Y342" s="198">
        <v>1995.829956</v>
      </c>
      <c r="Z342" s="349">
        <f t="shared" si="23"/>
        <v>8.035633584403401E-3</v>
      </c>
      <c r="AA342" s="324"/>
      <c r="AB342" s="324"/>
      <c r="AC342" s="324"/>
      <c r="AD342" s="324"/>
      <c r="AE342" s="324"/>
      <c r="AF342" s="324"/>
    </row>
    <row r="343" spans="1:32">
      <c r="A343" s="324"/>
      <c r="B343" s="244"/>
      <c r="C343" s="294"/>
      <c r="D343" s="235"/>
      <c r="E343" s="294"/>
      <c r="F343" s="235"/>
      <c r="G343" s="324"/>
      <c r="H343" s="324"/>
      <c r="I343" s="324"/>
      <c r="J343" s="324"/>
      <c r="K343" s="324"/>
      <c r="L343" s="324"/>
      <c r="M343" s="294"/>
      <c r="N343" s="235"/>
      <c r="O343" s="324"/>
      <c r="P343" s="235"/>
      <c r="Q343" s="324"/>
      <c r="R343" s="324"/>
      <c r="S343" s="324"/>
      <c r="T343" s="324"/>
      <c r="U343" s="324"/>
      <c r="V343" s="377">
        <v>42283</v>
      </c>
      <c r="W343" s="198">
        <v>72.790001000000004</v>
      </c>
      <c r="X343" s="349">
        <f t="shared" si="22"/>
        <v>-1.7943901054618072E-2</v>
      </c>
      <c r="Y343" s="198">
        <v>1979.920044</v>
      </c>
      <c r="Z343" s="349">
        <f t="shared" si="23"/>
        <v>-3.5882362417535285E-3</v>
      </c>
      <c r="AA343" s="324"/>
      <c r="AB343" s="324"/>
      <c r="AC343" s="324"/>
      <c r="AD343" s="324"/>
      <c r="AE343" s="324"/>
      <c r="AF343" s="324"/>
    </row>
    <row r="344" spans="1:32">
      <c r="A344" s="324"/>
      <c r="B344" s="244"/>
      <c r="C344" s="294"/>
      <c r="D344" s="235"/>
      <c r="E344" s="294"/>
      <c r="F344" s="235"/>
      <c r="G344" s="324"/>
      <c r="H344" s="324"/>
      <c r="I344" s="324"/>
      <c r="J344" s="324"/>
      <c r="K344" s="324"/>
      <c r="L344" s="324"/>
      <c r="M344" s="294"/>
      <c r="N344" s="235"/>
      <c r="O344" s="324"/>
      <c r="P344" s="235"/>
      <c r="Q344" s="324"/>
      <c r="R344" s="324"/>
      <c r="S344" s="324"/>
      <c r="T344" s="324"/>
      <c r="U344" s="324"/>
      <c r="V344" s="377">
        <v>42282</v>
      </c>
      <c r="W344" s="198">
        <v>74.120002999999997</v>
      </c>
      <c r="X344" s="349">
        <f t="shared" si="22"/>
        <v>6.7916324317454091E-3</v>
      </c>
      <c r="Y344" s="198">
        <v>1987.0500489999999</v>
      </c>
      <c r="Z344" s="349">
        <f t="shared" si="23"/>
        <v>1.8289841072046009E-2</v>
      </c>
      <c r="AA344" s="324"/>
      <c r="AB344" s="324"/>
      <c r="AC344" s="324"/>
      <c r="AD344" s="324"/>
      <c r="AE344" s="324"/>
      <c r="AF344" s="324"/>
    </row>
    <row r="345" spans="1:32">
      <c r="A345" s="324"/>
      <c r="B345" s="244"/>
      <c r="C345" s="294"/>
      <c r="D345" s="235"/>
      <c r="E345" s="294"/>
      <c r="F345" s="235"/>
      <c r="G345" s="324"/>
      <c r="H345" s="324"/>
      <c r="I345" s="324"/>
      <c r="J345" s="324"/>
      <c r="K345" s="324"/>
      <c r="L345" s="324"/>
      <c r="M345" s="294"/>
      <c r="N345" s="235"/>
      <c r="O345" s="324"/>
      <c r="P345" s="235"/>
      <c r="Q345" s="324"/>
      <c r="R345" s="324"/>
      <c r="S345" s="324"/>
      <c r="T345" s="324"/>
      <c r="U345" s="324"/>
      <c r="V345" s="377">
        <v>42279</v>
      </c>
      <c r="W345" s="198">
        <v>73.620002999999997</v>
      </c>
      <c r="X345" s="349">
        <f t="shared" si="22"/>
        <v>5.8751330543751479E-3</v>
      </c>
      <c r="Y345" s="198">
        <v>1951.3599850000001</v>
      </c>
      <c r="Z345" s="349">
        <f t="shared" si="23"/>
        <v>1.4315289254205554E-2</v>
      </c>
      <c r="AA345" s="324"/>
      <c r="AB345" s="324"/>
      <c r="AC345" s="324"/>
      <c r="AD345" s="324"/>
      <c r="AE345" s="324"/>
      <c r="AF345" s="324"/>
    </row>
    <row r="346" spans="1:32">
      <c r="A346" s="324"/>
      <c r="B346" s="244"/>
      <c r="C346" s="294"/>
      <c r="D346" s="235"/>
      <c r="E346" s="294"/>
      <c r="F346" s="235"/>
      <c r="G346" s="324"/>
      <c r="H346" s="324"/>
      <c r="I346" s="324"/>
      <c r="J346" s="324"/>
      <c r="K346" s="324"/>
      <c r="L346" s="324"/>
      <c r="M346" s="294"/>
      <c r="N346" s="235"/>
      <c r="O346" s="324"/>
      <c r="P346" s="235"/>
      <c r="Q346" s="324"/>
      <c r="R346" s="324"/>
      <c r="S346" s="324"/>
      <c r="T346" s="324"/>
      <c r="U346" s="324"/>
      <c r="V346" s="377">
        <v>42278</v>
      </c>
      <c r="W346" s="198">
        <v>73.190002000000007</v>
      </c>
      <c r="X346" s="349">
        <f t="shared" si="22"/>
        <v>1.8224889464032668E-2</v>
      </c>
      <c r="Y346" s="198">
        <v>1923.8199460000001</v>
      </c>
      <c r="Z346" s="349">
        <f t="shared" si="23"/>
        <v>1.9738842324117378E-3</v>
      </c>
      <c r="AA346" s="324"/>
      <c r="AB346" s="324"/>
      <c r="AC346" s="324"/>
      <c r="AD346" s="324"/>
      <c r="AE346" s="324"/>
      <c r="AF346" s="324"/>
    </row>
    <row r="347" spans="1:32">
      <c r="A347" s="324"/>
      <c r="B347" s="244"/>
      <c r="C347" s="294"/>
      <c r="D347" s="235"/>
      <c r="E347" s="294"/>
      <c r="F347" s="235"/>
      <c r="G347" s="324"/>
      <c r="H347" s="324"/>
      <c r="I347" s="324"/>
      <c r="J347" s="324"/>
      <c r="K347" s="324"/>
      <c r="L347" s="324"/>
      <c r="M347" s="294"/>
      <c r="N347" s="235"/>
      <c r="O347" s="324"/>
      <c r="P347" s="235"/>
      <c r="Q347" s="324"/>
      <c r="R347" s="324"/>
      <c r="S347" s="324"/>
      <c r="T347" s="324"/>
      <c r="U347" s="324"/>
      <c r="V347" s="377">
        <v>42277</v>
      </c>
      <c r="W347" s="198">
        <v>71.879997000000003</v>
      </c>
      <c r="X347" s="349">
        <f t="shared" si="22"/>
        <v>1.9719095466565362E-2</v>
      </c>
      <c r="Y347" s="198">
        <v>1920.030029</v>
      </c>
      <c r="Z347" s="349">
        <f t="shared" si="23"/>
        <v>1.9075555652102061E-2</v>
      </c>
      <c r="AA347" s="324"/>
      <c r="AB347" s="324"/>
      <c r="AC347" s="324"/>
      <c r="AD347" s="324"/>
      <c r="AE347" s="324"/>
      <c r="AF347" s="324"/>
    </row>
    <row r="348" spans="1:32">
      <c r="A348" s="324"/>
      <c r="B348" s="244"/>
      <c r="C348" s="294"/>
      <c r="D348" s="235"/>
      <c r="E348" s="294"/>
      <c r="F348" s="235"/>
      <c r="G348" s="324"/>
      <c r="H348" s="324"/>
      <c r="I348" s="324"/>
      <c r="J348" s="324"/>
      <c r="K348" s="324"/>
      <c r="L348" s="324"/>
      <c r="M348" s="294"/>
      <c r="N348" s="235"/>
      <c r="O348" s="324"/>
      <c r="P348" s="235"/>
      <c r="Q348" s="324"/>
      <c r="R348" s="324"/>
      <c r="S348" s="324"/>
      <c r="T348" s="324"/>
      <c r="U348" s="324"/>
      <c r="V348" s="377">
        <v>42276</v>
      </c>
      <c r="W348" s="198">
        <v>70.489998</v>
      </c>
      <c r="X348" s="349">
        <f t="shared" si="22"/>
        <v>-3.6749399293286578E-3</v>
      </c>
      <c r="Y348" s="198">
        <v>1884.089966</v>
      </c>
      <c r="Z348" s="349">
        <f t="shared" si="23"/>
        <v>1.2328530985949993E-3</v>
      </c>
      <c r="AA348" s="324"/>
      <c r="AB348" s="324"/>
      <c r="AC348" s="324"/>
      <c r="AD348" s="324"/>
      <c r="AE348" s="324"/>
      <c r="AF348" s="324"/>
    </row>
    <row r="349" spans="1:32">
      <c r="A349" s="324"/>
      <c r="B349" s="244"/>
      <c r="C349" s="294"/>
      <c r="D349" s="235"/>
      <c r="E349" s="294"/>
      <c r="F349" s="235"/>
      <c r="G349" s="324"/>
      <c r="H349" s="324"/>
      <c r="I349" s="324"/>
      <c r="J349" s="324"/>
      <c r="K349" s="324"/>
      <c r="L349" s="324"/>
      <c r="M349" s="294"/>
      <c r="N349" s="235"/>
      <c r="O349" s="324"/>
      <c r="P349" s="235"/>
      <c r="Q349" s="324"/>
      <c r="R349" s="324"/>
      <c r="S349" s="324"/>
      <c r="T349" s="324"/>
      <c r="U349" s="324"/>
      <c r="V349" s="377">
        <v>42275</v>
      </c>
      <c r="W349" s="198">
        <v>70.75</v>
      </c>
      <c r="X349" s="349">
        <f t="shared" si="22"/>
        <v>-2.9758612993928013E-2</v>
      </c>
      <c r="Y349" s="198">
        <v>1881.7700199999999</v>
      </c>
      <c r="Z349" s="349">
        <f t="shared" si="23"/>
        <v>-2.5666090316902812E-2</v>
      </c>
      <c r="AA349" s="324"/>
      <c r="AB349" s="324"/>
      <c r="AC349" s="324"/>
      <c r="AD349" s="324"/>
      <c r="AE349" s="324"/>
      <c r="AF349" s="324"/>
    </row>
    <row r="350" spans="1:32">
      <c r="A350" s="324"/>
      <c r="B350" s="244"/>
      <c r="C350" s="294"/>
      <c r="D350" s="235"/>
      <c r="E350" s="294"/>
      <c r="F350" s="235"/>
      <c r="G350" s="324"/>
      <c r="H350" s="324"/>
      <c r="I350" s="324"/>
      <c r="J350" s="324"/>
      <c r="K350" s="324"/>
      <c r="L350" s="324"/>
      <c r="M350" s="294"/>
      <c r="N350" s="235"/>
      <c r="O350" s="324"/>
      <c r="P350" s="235"/>
      <c r="Q350" s="324"/>
      <c r="R350" s="324"/>
      <c r="S350" s="324"/>
      <c r="T350" s="324"/>
      <c r="U350" s="324"/>
      <c r="V350" s="377">
        <v>42272</v>
      </c>
      <c r="W350" s="198">
        <v>72.919998000000007</v>
      </c>
      <c r="X350" s="349">
        <f t="shared" si="22"/>
        <v>-3.2805629698980932E-3</v>
      </c>
      <c r="Y350" s="198">
        <v>1931.339966</v>
      </c>
      <c r="Z350" s="349">
        <f t="shared" si="23"/>
        <v>-4.6579307159455574E-4</v>
      </c>
      <c r="AA350" s="324"/>
      <c r="AB350" s="324"/>
      <c r="AC350" s="324"/>
      <c r="AD350" s="324"/>
      <c r="AE350" s="324"/>
      <c r="AF350" s="324"/>
    </row>
    <row r="351" spans="1:32">
      <c r="A351" s="324"/>
      <c r="B351" s="244"/>
      <c r="C351" s="294"/>
      <c r="D351" s="235"/>
      <c r="E351" s="294"/>
      <c r="F351" s="235"/>
      <c r="G351" s="324"/>
      <c r="H351" s="324"/>
      <c r="I351" s="324"/>
      <c r="J351" s="324"/>
      <c r="K351" s="324"/>
      <c r="L351" s="324"/>
      <c r="M351" s="294"/>
      <c r="N351" s="235"/>
      <c r="O351" s="324"/>
      <c r="P351" s="235"/>
      <c r="Q351" s="324"/>
      <c r="R351" s="324"/>
      <c r="S351" s="324"/>
      <c r="T351" s="324"/>
      <c r="U351" s="324"/>
      <c r="V351" s="377">
        <v>42271</v>
      </c>
      <c r="W351" s="198">
        <v>73.160004000000001</v>
      </c>
      <c r="X351" s="349">
        <f t="shared" si="22"/>
        <v>-1.2286143344709677E-3</v>
      </c>
      <c r="Y351" s="198">
        <v>1932.23999</v>
      </c>
      <c r="Z351" s="349">
        <f t="shared" si="23"/>
        <v>-3.3629845707411343E-3</v>
      </c>
      <c r="AA351" s="324"/>
      <c r="AB351" s="324"/>
      <c r="AC351" s="324"/>
      <c r="AD351" s="324"/>
      <c r="AE351" s="324"/>
      <c r="AF351" s="324"/>
    </row>
    <row r="352" spans="1:32">
      <c r="A352" s="324"/>
      <c r="B352" s="244"/>
      <c r="C352" s="294"/>
      <c r="D352" s="235"/>
      <c r="E352" s="294"/>
      <c r="F352" s="235"/>
      <c r="G352" s="324"/>
      <c r="H352" s="324"/>
      <c r="I352" s="324"/>
      <c r="J352" s="324"/>
      <c r="K352" s="324"/>
      <c r="L352" s="324"/>
      <c r="M352" s="294"/>
      <c r="N352" s="235"/>
      <c r="O352" s="324"/>
      <c r="P352" s="235"/>
      <c r="Q352" s="324"/>
      <c r="R352" s="324"/>
      <c r="S352" s="324"/>
      <c r="T352" s="324"/>
      <c r="U352" s="324"/>
      <c r="V352" s="377">
        <v>42270</v>
      </c>
      <c r="W352" s="198">
        <v>73.25</v>
      </c>
      <c r="X352" s="349">
        <f t="shared" si="22"/>
        <v>7.2882149712842903E-3</v>
      </c>
      <c r="Y352" s="198">
        <v>1938.76001</v>
      </c>
      <c r="Z352" s="349">
        <f t="shared" si="23"/>
        <v>-2.0486426492924981E-3</v>
      </c>
      <c r="AA352" s="324"/>
      <c r="AB352" s="324"/>
      <c r="AC352" s="324"/>
      <c r="AD352" s="324"/>
      <c r="AE352" s="324"/>
      <c r="AF352" s="324"/>
    </row>
    <row r="353" spans="1:32">
      <c r="A353" s="324"/>
      <c r="B353" s="244"/>
      <c r="C353" s="294"/>
      <c r="D353" s="235"/>
      <c r="E353" s="294"/>
      <c r="F353" s="235"/>
      <c r="G353" s="324"/>
      <c r="H353" s="324"/>
      <c r="I353" s="324"/>
      <c r="J353" s="324"/>
      <c r="K353" s="324"/>
      <c r="L353" s="324"/>
      <c r="M353" s="294"/>
      <c r="N353" s="235"/>
      <c r="O353" s="324"/>
      <c r="P353" s="235"/>
      <c r="Q353" s="324"/>
      <c r="R353" s="324"/>
      <c r="S353" s="324"/>
      <c r="T353" s="324"/>
      <c r="U353" s="324"/>
      <c r="V353" s="377">
        <v>42269</v>
      </c>
      <c r="W353" s="198">
        <v>72.720000999999996</v>
      </c>
      <c r="X353" s="349">
        <f t="shared" si="22"/>
        <v>0</v>
      </c>
      <c r="Y353" s="198">
        <v>1942.73999</v>
      </c>
      <c r="Z353" s="349">
        <f t="shared" si="23"/>
        <v>-1.2318429542511833E-2</v>
      </c>
      <c r="AA353" s="324"/>
      <c r="AB353" s="324"/>
      <c r="AC353" s="324"/>
      <c r="AD353" s="324"/>
      <c r="AE353" s="324"/>
      <c r="AF353" s="324"/>
    </row>
    <row r="354" spans="1:32">
      <c r="A354" s="324"/>
      <c r="B354" s="244"/>
      <c r="C354" s="294"/>
      <c r="D354" s="235"/>
      <c r="E354" s="294"/>
      <c r="F354" s="235"/>
      <c r="G354" s="324"/>
      <c r="H354" s="324"/>
      <c r="I354" s="324"/>
      <c r="J354" s="324"/>
      <c r="K354" s="324"/>
      <c r="L354" s="324"/>
      <c r="M354" s="294"/>
      <c r="N354" s="235"/>
      <c r="O354" s="324"/>
      <c r="P354" s="235"/>
      <c r="Q354" s="324"/>
      <c r="R354" s="324"/>
      <c r="S354" s="324"/>
      <c r="T354" s="324"/>
      <c r="U354" s="324"/>
      <c r="V354" s="377">
        <v>42268</v>
      </c>
      <c r="W354" s="198">
        <v>72.720000999999996</v>
      </c>
      <c r="X354" s="349">
        <f t="shared" si="22"/>
        <v>2.3360583263737356E-2</v>
      </c>
      <c r="Y354" s="198">
        <v>1966.969971</v>
      </c>
      <c r="Z354" s="349">
        <f t="shared" si="23"/>
        <v>4.5657839091290953E-3</v>
      </c>
      <c r="AA354" s="324"/>
      <c r="AB354" s="324"/>
      <c r="AC354" s="324"/>
      <c r="AD354" s="324"/>
      <c r="AE354" s="324"/>
      <c r="AF354" s="324"/>
    </row>
    <row r="355" spans="1:32">
      <c r="A355" s="324"/>
      <c r="B355" s="244"/>
      <c r="C355" s="294"/>
      <c r="D355" s="235"/>
      <c r="E355" s="294"/>
      <c r="F355" s="235"/>
      <c r="G355" s="324"/>
      <c r="H355" s="324"/>
      <c r="I355" s="324"/>
      <c r="J355" s="324"/>
      <c r="K355" s="324"/>
      <c r="L355" s="324"/>
      <c r="M355" s="294"/>
      <c r="N355" s="235"/>
      <c r="O355" s="324"/>
      <c r="P355" s="235"/>
      <c r="Q355" s="324"/>
      <c r="R355" s="324"/>
      <c r="S355" s="324"/>
      <c r="T355" s="324"/>
      <c r="U355" s="324"/>
      <c r="V355" s="377">
        <v>42265</v>
      </c>
      <c r="W355" s="198">
        <v>71.059997999999993</v>
      </c>
      <c r="X355" s="349">
        <f t="shared" si="22"/>
        <v>-4.4830346518508479E-3</v>
      </c>
      <c r="Y355" s="198">
        <v>1958.030029</v>
      </c>
      <c r="Z355" s="349">
        <f t="shared" si="23"/>
        <v>-1.6164165808483677E-2</v>
      </c>
      <c r="AA355" s="324"/>
      <c r="AB355" s="324"/>
      <c r="AC355" s="324"/>
      <c r="AD355" s="324"/>
      <c r="AE355" s="324"/>
      <c r="AF355" s="324"/>
    </row>
    <row r="356" spans="1:32">
      <c r="A356" s="324"/>
      <c r="B356" s="244"/>
      <c r="C356" s="294"/>
      <c r="D356" s="235"/>
      <c r="E356" s="294"/>
      <c r="F356" s="235"/>
      <c r="G356" s="324"/>
      <c r="H356" s="324"/>
      <c r="I356" s="324"/>
      <c r="J356" s="324"/>
      <c r="K356" s="324"/>
      <c r="L356" s="324"/>
      <c r="M356" s="294"/>
      <c r="N356" s="235"/>
      <c r="O356" s="324"/>
      <c r="P356" s="235"/>
      <c r="Q356" s="324"/>
      <c r="R356" s="324"/>
      <c r="S356" s="324"/>
      <c r="T356" s="324"/>
      <c r="U356" s="324"/>
      <c r="V356" s="377">
        <v>42264</v>
      </c>
      <c r="W356" s="198">
        <v>71.379997000000003</v>
      </c>
      <c r="X356" s="349">
        <f t="shared" si="22"/>
        <v>5.4937175797638016E-3</v>
      </c>
      <c r="Y356" s="198">
        <v>1990.1999510000001</v>
      </c>
      <c r="Z356" s="349">
        <f t="shared" si="23"/>
        <v>-2.5610596092323634E-3</v>
      </c>
      <c r="AA356" s="324"/>
      <c r="AB356" s="324"/>
      <c r="AC356" s="324"/>
      <c r="AD356" s="324"/>
      <c r="AE356" s="324"/>
      <c r="AF356" s="324"/>
    </row>
    <row r="357" spans="1:32">
      <c r="A357" s="324"/>
      <c r="B357" s="244"/>
      <c r="C357" s="294"/>
      <c r="D357" s="235"/>
      <c r="E357" s="294"/>
      <c r="F357" s="235"/>
      <c r="G357" s="324"/>
      <c r="H357" s="324"/>
      <c r="I357" s="324"/>
      <c r="J357" s="324"/>
      <c r="K357" s="324"/>
      <c r="L357" s="324"/>
      <c r="M357" s="294"/>
      <c r="N357" s="235"/>
      <c r="O357" s="324"/>
      <c r="P357" s="235"/>
      <c r="Q357" s="324"/>
      <c r="R357" s="324"/>
      <c r="S357" s="324"/>
      <c r="T357" s="324"/>
      <c r="U357" s="324"/>
      <c r="V357" s="377">
        <v>42263</v>
      </c>
      <c r="W357" s="198">
        <v>70.989998</v>
      </c>
      <c r="X357" s="349">
        <f t="shared" si="22"/>
        <v>-1.0730267259468573E-2</v>
      </c>
      <c r="Y357" s="198">
        <v>1995.3100589999999</v>
      </c>
      <c r="Z357" s="349">
        <f t="shared" si="23"/>
        <v>8.7054144634388653E-3</v>
      </c>
      <c r="AA357" s="324"/>
      <c r="AB357" s="324"/>
      <c r="AC357" s="324"/>
      <c r="AD357" s="324"/>
      <c r="AE357" s="324"/>
      <c r="AF357" s="324"/>
    </row>
    <row r="358" spans="1:32">
      <c r="A358" s="324"/>
      <c r="B358" s="244"/>
      <c r="C358" s="294"/>
      <c r="D358" s="235"/>
      <c r="E358" s="294"/>
      <c r="F358" s="235"/>
      <c r="G358" s="324"/>
      <c r="H358" s="324"/>
      <c r="I358" s="324"/>
      <c r="J358" s="324"/>
      <c r="K358" s="324"/>
      <c r="L358" s="324"/>
      <c r="M358" s="294"/>
      <c r="N358" s="235"/>
      <c r="O358" s="324"/>
      <c r="P358" s="235"/>
      <c r="Q358" s="324"/>
      <c r="R358" s="324"/>
      <c r="S358" s="324"/>
      <c r="T358" s="324"/>
      <c r="U358" s="324"/>
      <c r="V358" s="377">
        <v>42262</v>
      </c>
      <c r="W358" s="198">
        <v>71.760002</v>
      </c>
      <c r="X358" s="349">
        <f t="shared" si="22"/>
        <v>2.8227553686379636E-2</v>
      </c>
      <c r="Y358" s="198">
        <v>1978.089966</v>
      </c>
      <c r="Z358" s="349">
        <f t="shared" si="23"/>
        <v>1.2831311668480172E-2</v>
      </c>
      <c r="AA358" s="324"/>
      <c r="AB358" s="324"/>
      <c r="AC358" s="324"/>
      <c r="AD358" s="324"/>
      <c r="AE358" s="324"/>
      <c r="AF358" s="324"/>
    </row>
    <row r="359" spans="1:32">
      <c r="A359" s="324"/>
      <c r="B359" s="244"/>
      <c r="C359" s="294"/>
      <c r="D359" s="235"/>
      <c r="E359" s="294"/>
      <c r="F359" s="235"/>
      <c r="G359" s="324"/>
      <c r="H359" s="324"/>
      <c r="I359" s="324"/>
      <c r="J359" s="324"/>
      <c r="K359" s="324"/>
      <c r="L359" s="324"/>
      <c r="M359" s="294"/>
      <c r="N359" s="235"/>
      <c r="O359" s="324"/>
      <c r="P359" s="235"/>
      <c r="Q359" s="324"/>
      <c r="R359" s="324"/>
      <c r="S359" s="324"/>
      <c r="T359" s="324"/>
      <c r="U359" s="324"/>
      <c r="V359" s="377">
        <v>42261</v>
      </c>
      <c r="W359" s="198">
        <v>69.790001000000004</v>
      </c>
      <c r="X359" s="349">
        <f t="shared" si="22"/>
        <v>-1.0491961016474649E-2</v>
      </c>
      <c r="Y359" s="198">
        <v>1953.030029</v>
      </c>
      <c r="Z359" s="349">
        <f t="shared" si="23"/>
        <v>-4.0896559494183471E-3</v>
      </c>
      <c r="AA359" s="324"/>
      <c r="AB359" s="324"/>
      <c r="AC359" s="324"/>
      <c r="AD359" s="324"/>
      <c r="AE359" s="324"/>
      <c r="AF359" s="324"/>
    </row>
    <row r="360" spans="1:32">
      <c r="A360" s="324"/>
      <c r="B360" s="244"/>
      <c r="C360" s="294"/>
      <c r="D360" s="235"/>
      <c r="E360" s="294"/>
      <c r="F360" s="235"/>
      <c r="G360" s="324"/>
      <c r="H360" s="324"/>
      <c r="I360" s="324"/>
      <c r="J360" s="324"/>
      <c r="K360" s="324"/>
      <c r="L360" s="324"/>
      <c r="M360" s="294"/>
      <c r="N360" s="235"/>
      <c r="O360" s="324"/>
      <c r="P360" s="235"/>
      <c r="Q360" s="324"/>
      <c r="R360" s="324"/>
      <c r="S360" s="324"/>
      <c r="T360" s="324"/>
      <c r="U360" s="324"/>
      <c r="V360" s="377">
        <v>42258</v>
      </c>
      <c r="W360" s="198">
        <v>70.529999000000004</v>
      </c>
      <c r="X360" s="349">
        <f t="shared" si="22"/>
        <v>2.273639238014713E-3</v>
      </c>
      <c r="Y360" s="198">
        <v>1961.0500489999999</v>
      </c>
      <c r="Z360" s="349">
        <f t="shared" si="23"/>
        <v>4.4870433311676727E-3</v>
      </c>
      <c r="AA360" s="324"/>
      <c r="AB360" s="324"/>
      <c r="AC360" s="324"/>
      <c r="AD360" s="324"/>
      <c r="AE360" s="324"/>
      <c r="AF360" s="324"/>
    </row>
    <row r="361" spans="1:32">
      <c r="A361" s="324"/>
      <c r="B361" s="244"/>
      <c r="C361" s="294"/>
      <c r="D361" s="235"/>
      <c r="E361" s="294"/>
      <c r="F361" s="235"/>
      <c r="G361" s="324"/>
      <c r="H361" s="324"/>
      <c r="I361" s="324"/>
      <c r="J361" s="324"/>
      <c r="K361" s="324"/>
      <c r="L361" s="324"/>
      <c r="M361" s="294"/>
      <c r="N361" s="235"/>
      <c r="O361" s="324"/>
      <c r="P361" s="235"/>
      <c r="Q361" s="324"/>
      <c r="R361" s="324"/>
      <c r="S361" s="324"/>
      <c r="T361" s="324"/>
      <c r="U361" s="324"/>
      <c r="V361" s="377">
        <v>42257</v>
      </c>
      <c r="W361" s="198">
        <v>70.370002999999997</v>
      </c>
      <c r="X361" s="349">
        <f t="shared" si="22"/>
        <v>1.0192347964837811E-2</v>
      </c>
      <c r="Y361" s="198">
        <v>1952.290039</v>
      </c>
      <c r="Z361" s="349">
        <f t="shared" si="23"/>
        <v>5.2779550339641101E-3</v>
      </c>
      <c r="AA361" s="324"/>
      <c r="AB361" s="324"/>
      <c r="AC361" s="324"/>
      <c r="AD361" s="324"/>
      <c r="AE361" s="324"/>
      <c r="AF361" s="324"/>
    </row>
    <row r="362" spans="1:32">
      <c r="A362" s="324"/>
      <c r="B362" s="244"/>
      <c r="C362" s="294"/>
      <c r="D362" s="235"/>
      <c r="E362" s="294"/>
      <c r="F362" s="235"/>
      <c r="G362" s="324"/>
      <c r="H362" s="324"/>
      <c r="I362" s="324"/>
      <c r="J362" s="324"/>
      <c r="K362" s="324"/>
      <c r="L362" s="324"/>
      <c r="M362" s="294"/>
      <c r="N362" s="235"/>
      <c r="O362" s="324"/>
      <c r="P362" s="235"/>
      <c r="Q362" s="324"/>
      <c r="R362" s="324"/>
      <c r="S362" s="324"/>
      <c r="T362" s="324"/>
      <c r="U362" s="324"/>
      <c r="V362" s="377">
        <v>42256</v>
      </c>
      <c r="W362" s="198">
        <v>69.660004000000001</v>
      </c>
      <c r="X362" s="349">
        <f t="shared" si="22"/>
        <v>-1.9149437587275608E-2</v>
      </c>
      <c r="Y362" s="198">
        <v>1942.040039</v>
      </c>
      <c r="Z362" s="349">
        <f t="shared" si="23"/>
        <v>-1.389756045083701E-2</v>
      </c>
      <c r="AA362" s="324"/>
      <c r="AB362" s="324"/>
      <c r="AC362" s="324"/>
      <c r="AD362" s="324"/>
      <c r="AE362" s="324"/>
      <c r="AF362" s="324"/>
    </row>
    <row r="363" spans="1:32">
      <c r="A363" s="324"/>
      <c r="B363" s="244"/>
      <c r="C363" s="294"/>
      <c r="D363" s="235"/>
      <c r="E363" s="294"/>
      <c r="F363" s="235"/>
      <c r="G363" s="324"/>
      <c r="H363" s="324"/>
      <c r="I363" s="324"/>
      <c r="J363" s="324"/>
      <c r="K363" s="324"/>
      <c r="L363" s="324"/>
      <c r="M363" s="294"/>
      <c r="N363" s="235"/>
      <c r="O363" s="324"/>
      <c r="P363" s="235"/>
      <c r="Q363" s="324"/>
      <c r="R363" s="324"/>
      <c r="S363" s="324"/>
      <c r="T363" s="324"/>
      <c r="U363" s="324"/>
      <c r="V363" s="377">
        <v>42255</v>
      </c>
      <c r="W363" s="198">
        <v>71.019997000000004</v>
      </c>
      <c r="X363" s="349">
        <f t="shared" si="22"/>
        <v>3.437216519824271E-2</v>
      </c>
      <c r="Y363" s="198">
        <v>1969.410034</v>
      </c>
      <c r="Z363" s="349">
        <f t="shared" si="23"/>
        <v>2.5083053334552297E-2</v>
      </c>
      <c r="AA363" s="324"/>
      <c r="AB363" s="324"/>
      <c r="AC363" s="324"/>
      <c r="AD363" s="324"/>
      <c r="AE363" s="324"/>
      <c r="AF363" s="324"/>
    </row>
    <row r="364" spans="1:32">
      <c r="A364" s="324"/>
      <c r="B364" s="244"/>
      <c r="C364" s="294"/>
      <c r="D364" s="235"/>
      <c r="E364" s="294"/>
      <c r="F364" s="235"/>
      <c r="G364" s="324"/>
      <c r="H364" s="324"/>
      <c r="I364" s="324"/>
      <c r="J364" s="324"/>
      <c r="K364" s="324"/>
      <c r="L364" s="324"/>
      <c r="M364" s="294"/>
      <c r="N364" s="235"/>
      <c r="O364" s="324"/>
      <c r="P364" s="235"/>
      <c r="Q364" s="324"/>
      <c r="R364" s="324"/>
      <c r="S364" s="324"/>
      <c r="T364" s="324"/>
      <c r="U364" s="324"/>
      <c r="V364" s="377">
        <v>42251</v>
      </c>
      <c r="W364" s="198">
        <v>68.660004000000001</v>
      </c>
      <c r="X364" s="349">
        <f t="shared" si="22"/>
        <v>-1.4638289322617792E-2</v>
      </c>
      <c r="Y364" s="198">
        <v>1921.219971</v>
      </c>
      <c r="Z364" s="349">
        <f t="shared" si="23"/>
        <v>-1.5329595630917514E-2</v>
      </c>
      <c r="AA364" s="324"/>
      <c r="AB364" s="324"/>
      <c r="AC364" s="324"/>
      <c r="AD364" s="324"/>
      <c r="AE364" s="324"/>
      <c r="AF364" s="324"/>
    </row>
    <row r="365" spans="1:32">
      <c r="A365" s="324"/>
      <c r="B365" s="244"/>
      <c r="C365" s="294"/>
      <c r="D365" s="235"/>
      <c r="E365" s="294"/>
      <c r="F365" s="235"/>
      <c r="G365" s="324"/>
      <c r="H365" s="324"/>
      <c r="I365" s="324"/>
      <c r="J365" s="324"/>
      <c r="K365" s="324"/>
      <c r="L365" s="324"/>
      <c r="M365" s="294"/>
      <c r="N365" s="235"/>
      <c r="O365" s="324"/>
      <c r="P365" s="235"/>
      <c r="Q365" s="324"/>
      <c r="R365" s="324"/>
      <c r="S365" s="324"/>
      <c r="T365" s="324"/>
      <c r="U365" s="324"/>
      <c r="V365" s="377">
        <v>42250</v>
      </c>
      <c r="W365" s="198">
        <v>69.680000000000007</v>
      </c>
      <c r="X365" s="349">
        <f t="shared" si="22"/>
        <v>-8.3961438051576298E-3</v>
      </c>
      <c r="Y365" s="198">
        <v>1951.130005</v>
      </c>
      <c r="Z365" s="349">
        <f t="shared" si="23"/>
        <v>1.1647937858398905E-3</v>
      </c>
      <c r="AA365" s="324"/>
      <c r="AB365" s="324"/>
      <c r="AC365" s="324"/>
      <c r="AD365" s="324"/>
      <c r="AE365" s="324"/>
      <c r="AF365" s="324"/>
    </row>
    <row r="366" spans="1:32">
      <c r="A366" s="324"/>
      <c r="B366" s="244"/>
      <c r="C366" s="294"/>
      <c r="D366" s="235"/>
      <c r="E366" s="294"/>
      <c r="F366" s="235"/>
      <c r="G366" s="324"/>
      <c r="H366" s="324"/>
      <c r="I366" s="324"/>
      <c r="J366" s="324"/>
      <c r="K366" s="324"/>
      <c r="L366" s="324"/>
      <c r="M366" s="294"/>
      <c r="N366" s="235"/>
      <c r="O366" s="324"/>
      <c r="P366" s="235"/>
      <c r="Q366" s="324"/>
      <c r="R366" s="324"/>
      <c r="S366" s="324"/>
      <c r="T366" s="324"/>
      <c r="U366" s="324"/>
      <c r="V366" s="377">
        <v>42249</v>
      </c>
      <c r="W366" s="198">
        <v>70.269997000000004</v>
      </c>
      <c r="X366" s="349">
        <f t="shared" si="22"/>
        <v>3.2837806498604571E-3</v>
      </c>
      <c r="Y366" s="198">
        <v>1948.8599850000001</v>
      </c>
      <c r="Z366" s="349">
        <f t="shared" si="23"/>
        <v>1.8292974600429224E-2</v>
      </c>
      <c r="AA366" s="324"/>
      <c r="AB366" s="324"/>
      <c r="AC366" s="324"/>
      <c r="AD366" s="324"/>
      <c r="AE366" s="324"/>
      <c r="AF366" s="324"/>
    </row>
    <row r="367" spans="1:32">
      <c r="A367" s="324"/>
      <c r="B367" s="244"/>
      <c r="C367" s="294"/>
      <c r="D367" s="235"/>
      <c r="E367" s="294"/>
      <c r="F367" s="235"/>
      <c r="G367" s="324"/>
      <c r="H367" s="324"/>
      <c r="I367" s="324"/>
      <c r="J367" s="324"/>
      <c r="K367" s="324"/>
      <c r="L367" s="324"/>
      <c r="M367" s="294"/>
      <c r="N367" s="235"/>
      <c r="O367" s="324"/>
      <c r="P367" s="235"/>
      <c r="Q367" s="324"/>
      <c r="R367" s="324"/>
      <c r="S367" s="324"/>
      <c r="T367" s="324"/>
      <c r="U367" s="324"/>
      <c r="V367" s="377">
        <v>42248</v>
      </c>
      <c r="W367" s="198">
        <v>70.040001000000004</v>
      </c>
      <c r="X367" s="349">
        <f t="shared" si="22"/>
        <v>-3.0051212159689866E-2</v>
      </c>
      <c r="Y367" s="198">
        <v>1913.849976</v>
      </c>
      <c r="Z367" s="349">
        <f t="shared" si="23"/>
        <v>-2.9576446573270077E-2</v>
      </c>
      <c r="AA367" s="324"/>
      <c r="AB367" s="324"/>
      <c r="AC367" s="324"/>
      <c r="AD367" s="324"/>
      <c r="AE367" s="324"/>
      <c r="AF367" s="324"/>
    </row>
    <row r="368" spans="1:32">
      <c r="A368" s="324"/>
      <c r="B368" s="244"/>
      <c r="C368" s="294"/>
      <c r="D368" s="235"/>
      <c r="E368" s="294"/>
      <c r="F368" s="235"/>
      <c r="G368" s="324"/>
      <c r="H368" s="324"/>
      <c r="I368" s="324"/>
      <c r="J368" s="324"/>
      <c r="K368" s="324"/>
      <c r="L368" s="324"/>
      <c r="M368" s="294"/>
      <c r="N368" s="235"/>
      <c r="O368" s="324"/>
      <c r="P368" s="235"/>
      <c r="Q368" s="324"/>
      <c r="R368" s="324"/>
      <c r="S368" s="324"/>
      <c r="T368" s="324"/>
      <c r="U368" s="324"/>
      <c r="V368" s="377">
        <v>42247</v>
      </c>
      <c r="W368" s="198">
        <v>72.209998999999996</v>
      </c>
      <c r="X368" s="349">
        <f t="shared" si="22"/>
        <v>-2.2339588108047814E-2</v>
      </c>
      <c r="Y368" s="198">
        <v>1972.1800539999999</v>
      </c>
      <c r="Z368" s="349">
        <f t="shared" si="23"/>
        <v>-8.3916701654499493E-3</v>
      </c>
      <c r="AA368" s="324"/>
      <c r="AB368" s="324"/>
      <c r="AC368" s="324"/>
      <c r="AD368" s="324"/>
      <c r="AE368" s="324"/>
      <c r="AF368" s="324"/>
    </row>
    <row r="369" spans="1:32">
      <c r="A369" s="324"/>
      <c r="B369" s="244"/>
      <c r="C369" s="294"/>
      <c r="D369" s="235"/>
      <c r="E369" s="294"/>
      <c r="F369" s="235"/>
      <c r="G369" s="324"/>
      <c r="H369" s="324"/>
      <c r="I369" s="324"/>
      <c r="J369" s="324"/>
      <c r="K369" s="324"/>
      <c r="L369" s="324"/>
      <c r="M369" s="294"/>
      <c r="N369" s="235"/>
      <c r="O369" s="324"/>
      <c r="P369" s="235"/>
      <c r="Q369" s="324"/>
      <c r="R369" s="324"/>
      <c r="S369" s="324"/>
      <c r="T369" s="324"/>
      <c r="U369" s="324"/>
      <c r="V369" s="377">
        <v>42244</v>
      </c>
      <c r="W369" s="198">
        <v>73.860000999999997</v>
      </c>
      <c r="X369" s="349">
        <f t="shared" si="22"/>
        <v>-4.5821565194942293E-3</v>
      </c>
      <c r="Y369" s="198">
        <v>1988.869995</v>
      </c>
      <c r="Z369" s="349">
        <f t="shared" si="23"/>
        <v>6.0873639319747319E-4</v>
      </c>
      <c r="AA369" s="324"/>
      <c r="AB369" s="324"/>
      <c r="AC369" s="324"/>
      <c r="AD369" s="324"/>
      <c r="AE369" s="324"/>
      <c r="AF369" s="324"/>
    </row>
    <row r="370" spans="1:32">
      <c r="A370" s="324"/>
      <c r="B370" s="244"/>
      <c r="C370" s="294"/>
      <c r="D370" s="235"/>
      <c r="E370" s="294"/>
      <c r="F370" s="235"/>
      <c r="G370" s="324"/>
      <c r="H370" s="324"/>
      <c r="I370" s="324"/>
      <c r="J370" s="324"/>
      <c r="K370" s="324"/>
      <c r="L370" s="324"/>
      <c r="M370" s="294"/>
      <c r="N370" s="235"/>
      <c r="O370" s="324"/>
      <c r="P370" s="235"/>
      <c r="Q370" s="324"/>
      <c r="R370" s="324"/>
      <c r="S370" s="324"/>
      <c r="T370" s="324"/>
      <c r="U370" s="324"/>
      <c r="V370" s="377">
        <v>42243</v>
      </c>
      <c r="W370" s="198">
        <v>74.199996999999996</v>
      </c>
      <c r="X370" s="349">
        <f t="shared" si="22"/>
        <v>1.5742559243974164E-2</v>
      </c>
      <c r="Y370" s="198">
        <v>1987.660034</v>
      </c>
      <c r="Z370" s="349">
        <f t="shared" si="23"/>
        <v>2.4297748404812358E-2</v>
      </c>
      <c r="AA370" s="324"/>
      <c r="AB370" s="324"/>
      <c r="AC370" s="324"/>
      <c r="AD370" s="324"/>
      <c r="AE370" s="324"/>
      <c r="AF370" s="324"/>
    </row>
    <row r="371" spans="1:32">
      <c r="A371" s="324"/>
      <c r="B371" s="244"/>
      <c r="C371" s="294"/>
      <c r="D371" s="235"/>
      <c r="E371" s="294"/>
      <c r="F371" s="235"/>
      <c r="G371" s="324"/>
      <c r="H371" s="324"/>
      <c r="I371" s="324"/>
      <c r="J371" s="324"/>
      <c r="K371" s="324"/>
      <c r="L371" s="324"/>
      <c r="M371" s="294"/>
      <c r="N371" s="235"/>
      <c r="O371" s="324"/>
      <c r="P371" s="235"/>
      <c r="Q371" s="324"/>
      <c r="R371" s="324"/>
      <c r="S371" s="324"/>
      <c r="T371" s="324"/>
      <c r="U371" s="324"/>
      <c r="V371" s="377">
        <v>42242</v>
      </c>
      <c r="W371" s="198">
        <v>73.050003000000004</v>
      </c>
      <c r="X371" s="349">
        <f t="shared" si="22"/>
        <v>5.9309803644283843E-2</v>
      </c>
      <c r="Y371" s="198">
        <v>1940.51001</v>
      </c>
      <c r="Z371" s="349">
        <f t="shared" si="23"/>
        <v>3.9033859095586321E-2</v>
      </c>
      <c r="AA371" s="324"/>
      <c r="AB371" s="324"/>
      <c r="AC371" s="324"/>
      <c r="AD371" s="324"/>
      <c r="AE371" s="324"/>
      <c r="AF371" s="324"/>
    </row>
    <row r="372" spans="1:32">
      <c r="A372" s="324"/>
      <c r="B372" s="244"/>
      <c r="C372" s="294"/>
      <c r="D372" s="235"/>
      <c r="E372" s="294"/>
      <c r="F372" s="235"/>
      <c r="G372" s="324"/>
      <c r="H372" s="324"/>
      <c r="I372" s="324"/>
      <c r="J372" s="324"/>
      <c r="K372" s="324"/>
      <c r="L372" s="324"/>
      <c r="M372" s="294"/>
      <c r="N372" s="235"/>
      <c r="O372" s="324"/>
      <c r="P372" s="235"/>
      <c r="Q372" s="324"/>
      <c r="R372" s="324"/>
      <c r="S372" s="324"/>
      <c r="T372" s="324"/>
      <c r="U372" s="324"/>
      <c r="V372" s="377">
        <v>42241</v>
      </c>
      <c r="W372" s="198">
        <v>68.959998999999996</v>
      </c>
      <c r="X372" s="349">
        <f t="shared" si="22"/>
        <v>-1.0140518761996287E-3</v>
      </c>
      <c r="Y372" s="198">
        <v>1867.6099850000001</v>
      </c>
      <c r="Z372" s="349">
        <f t="shared" si="23"/>
        <v>-1.3521995197235293E-2</v>
      </c>
      <c r="AA372" s="324"/>
      <c r="AB372" s="324"/>
      <c r="AC372" s="324"/>
      <c r="AD372" s="324"/>
      <c r="AE372" s="324"/>
      <c r="AF372" s="324"/>
    </row>
    <row r="373" spans="1:32">
      <c r="A373" s="324"/>
      <c r="B373" s="244"/>
      <c r="C373" s="294"/>
      <c r="D373" s="235"/>
      <c r="E373" s="294"/>
      <c r="F373" s="235"/>
      <c r="G373" s="324"/>
      <c r="H373" s="324"/>
      <c r="I373" s="324"/>
      <c r="J373" s="324"/>
      <c r="K373" s="324"/>
      <c r="L373" s="324"/>
      <c r="M373" s="294"/>
      <c r="N373" s="235"/>
      <c r="O373" s="324"/>
      <c r="P373" s="235"/>
      <c r="Q373" s="324"/>
      <c r="R373" s="324"/>
      <c r="S373" s="324"/>
      <c r="T373" s="324"/>
      <c r="U373" s="324"/>
      <c r="V373" s="377">
        <v>42240</v>
      </c>
      <c r="W373" s="198">
        <v>69.029999000000004</v>
      </c>
      <c r="X373" s="349">
        <f t="shared" si="22"/>
        <v>-4.562426252939944E-2</v>
      </c>
      <c r="Y373" s="198">
        <v>1893.209961</v>
      </c>
      <c r="Z373" s="349">
        <f t="shared" si="23"/>
        <v>-3.9413693006101091E-2</v>
      </c>
      <c r="AA373" s="324"/>
      <c r="AB373" s="324"/>
      <c r="AC373" s="324"/>
      <c r="AD373" s="324"/>
      <c r="AE373" s="324"/>
      <c r="AF373" s="324"/>
    </row>
    <row r="374" spans="1:32">
      <c r="A374" s="324"/>
      <c r="B374" s="244"/>
      <c r="C374" s="294"/>
      <c r="D374" s="235"/>
      <c r="E374" s="294"/>
      <c r="F374" s="235"/>
      <c r="G374" s="324"/>
      <c r="H374" s="324"/>
      <c r="I374" s="324"/>
      <c r="J374" s="324"/>
      <c r="K374" s="324"/>
      <c r="L374" s="324"/>
      <c r="M374" s="294"/>
      <c r="N374" s="235"/>
      <c r="O374" s="324"/>
      <c r="P374" s="235"/>
      <c r="Q374" s="324"/>
      <c r="R374" s="324"/>
      <c r="S374" s="324"/>
      <c r="T374" s="324"/>
      <c r="U374" s="324"/>
      <c r="V374" s="377">
        <v>42237</v>
      </c>
      <c r="W374" s="198">
        <v>72.330001999999993</v>
      </c>
      <c r="X374" s="349">
        <f t="shared" si="22"/>
        <v>-3.7268669130919974E-2</v>
      </c>
      <c r="Y374" s="198">
        <v>1970.8900149999999</v>
      </c>
      <c r="Z374" s="349">
        <f t="shared" si="23"/>
        <v>-3.1850965323014013E-2</v>
      </c>
      <c r="AA374" s="324"/>
      <c r="AB374" s="324"/>
      <c r="AC374" s="324"/>
      <c r="AD374" s="324"/>
      <c r="AE374" s="324"/>
      <c r="AF374" s="324"/>
    </row>
    <row r="375" spans="1:32">
      <c r="A375" s="324"/>
      <c r="B375" s="244"/>
      <c r="C375" s="294"/>
      <c r="D375" s="235"/>
      <c r="E375" s="294"/>
      <c r="F375" s="235"/>
      <c r="G375" s="324"/>
      <c r="H375" s="324"/>
      <c r="I375" s="324"/>
      <c r="J375" s="324"/>
      <c r="K375" s="324"/>
      <c r="L375" s="324"/>
      <c r="M375" s="294"/>
      <c r="N375" s="235"/>
      <c r="O375" s="324"/>
      <c r="P375" s="235"/>
      <c r="Q375" s="324"/>
      <c r="R375" s="324"/>
      <c r="S375" s="324"/>
      <c r="T375" s="324"/>
      <c r="U375" s="324"/>
      <c r="V375" s="377">
        <v>42236</v>
      </c>
      <c r="W375" s="198">
        <v>75.129997000000003</v>
      </c>
      <c r="X375" s="349">
        <f t="shared" si="22"/>
        <v>-3.0705779107062847E-2</v>
      </c>
      <c r="Y375" s="198">
        <v>2035.7299800000001</v>
      </c>
      <c r="Z375" s="349">
        <f t="shared" si="23"/>
        <v>-2.1100170100298521E-2</v>
      </c>
      <c r="AA375" s="324"/>
      <c r="AB375" s="324"/>
      <c r="AC375" s="324"/>
      <c r="AD375" s="324"/>
      <c r="AE375" s="324"/>
      <c r="AF375" s="324"/>
    </row>
    <row r="376" spans="1:32">
      <c r="A376" s="324"/>
      <c r="B376" s="244"/>
      <c r="C376" s="294"/>
      <c r="D376" s="235"/>
      <c r="E376" s="294"/>
      <c r="F376" s="235"/>
      <c r="G376" s="324"/>
      <c r="H376" s="324"/>
      <c r="I376" s="324"/>
      <c r="J376" s="324"/>
      <c r="K376" s="324"/>
      <c r="L376" s="324"/>
      <c r="M376" s="294"/>
      <c r="N376" s="235"/>
      <c r="O376" s="324"/>
      <c r="P376" s="235"/>
      <c r="Q376" s="324"/>
      <c r="R376" s="324"/>
      <c r="S376" s="324"/>
      <c r="T376" s="324"/>
      <c r="U376" s="324"/>
      <c r="V376" s="377">
        <v>42235</v>
      </c>
      <c r="W376" s="198">
        <v>77.510002</v>
      </c>
      <c r="X376" s="349">
        <f t="shared" si="22"/>
        <v>-1.4619907723371073E-2</v>
      </c>
      <c r="Y376" s="198">
        <v>2079.610107</v>
      </c>
      <c r="Z376" s="349">
        <f t="shared" si="23"/>
        <v>-8.2548765064381913E-3</v>
      </c>
      <c r="AA376" s="324"/>
      <c r="AB376" s="324"/>
      <c r="AC376" s="324"/>
      <c r="AD376" s="324"/>
      <c r="AE376" s="324"/>
      <c r="AF376" s="324"/>
    </row>
    <row r="377" spans="1:32">
      <c r="A377" s="324"/>
      <c r="B377" s="244"/>
      <c r="C377" s="294"/>
      <c r="D377" s="235"/>
      <c r="E377" s="294"/>
      <c r="F377" s="235"/>
      <c r="G377" s="324"/>
      <c r="H377" s="324"/>
      <c r="I377" s="324"/>
      <c r="J377" s="324"/>
      <c r="K377" s="324"/>
      <c r="L377" s="324"/>
      <c r="M377" s="294"/>
      <c r="N377" s="235"/>
      <c r="O377" s="324"/>
      <c r="P377" s="235"/>
      <c r="Q377" s="324"/>
      <c r="R377" s="324"/>
      <c r="S377" s="324"/>
      <c r="T377" s="324"/>
      <c r="U377" s="324"/>
      <c r="V377" s="377">
        <v>42234</v>
      </c>
      <c r="W377" s="198">
        <v>78.660004000000001</v>
      </c>
      <c r="X377" s="349">
        <f t="shared" si="22"/>
        <v>-1.5231657974507096E-3</v>
      </c>
      <c r="Y377" s="198">
        <v>2096.919922</v>
      </c>
      <c r="Z377" s="349">
        <f t="shared" si="23"/>
        <v>-2.6255299342222704E-3</v>
      </c>
      <c r="AA377" s="324"/>
      <c r="AB377" s="324"/>
      <c r="AC377" s="324"/>
      <c r="AD377" s="324"/>
      <c r="AE377" s="324"/>
      <c r="AF377" s="324"/>
    </row>
    <row r="378" spans="1:32">
      <c r="A378" s="324"/>
      <c r="B378" s="244"/>
      <c r="C378" s="294"/>
      <c r="D378" s="235"/>
      <c r="E378" s="294"/>
      <c r="F378" s="235"/>
      <c r="G378" s="324"/>
      <c r="H378" s="324"/>
      <c r="I378" s="324"/>
      <c r="J378" s="324"/>
      <c r="K378" s="324"/>
      <c r="L378" s="324"/>
      <c r="M378" s="294"/>
      <c r="N378" s="235"/>
      <c r="O378" s="324"/>
      <c r="P378" s="235"/>
      <c r="Q378" s="324"/>
      <c r="R378" s="324"/>
      <c r="S378" s="324"/>
      <c r="T378" s="324"/>
      <c r="U378" s="324"/>
      <c r="V378" s="377">
        <v>42233</v>
      </c>
      <c r="W378" s="198">
        <v>78.779999000000004</v>
      </c>
      <c r="X378" s="349">
        <f t="shared" si="22"/>
        <v>5.8733273748725612E-3</v>
      </c>
      <c r="Y378" s="198">
        <v>2102.4399410000001</v>
      </c>
      <c r="Z378" s="349">
        <f t="shared" si="23"/>
        <v>5.2114240209388818E-3</v>
      </c>
      <c r="AA378" s="324"/>
      <c r="AB378" s="324"/>
      <c r="AC378" s="324"/>
      <c r="AD378" s="324"/>
      <c r="AE378" s="324"/>
      <c r="AF378" s="324"/>
    </row>
    <row r="379" spans="1:32">
      <c r="A379" s="324"/>
      <c r="B379" s="244"/>
      <c r="C379" s="294"/>
      <c r="D379" s="235"/>
      <c r="E379" s="294"/>
      <c r="F379" s="235"/>
      <c r="G379" s="324"/>
      <c r="H379" s="324"/>
      <c r="I379" s="324"/>
      <c r="J379" s="324"/>
      <c r="K379" s="324"/>
      <c r="L379" s="324"/>
      <c r="M379" s="294"/>
      <c r="N379" s="235"/>
      <c r="O379" s="324"/>
      <c r="P379" s="235"/>
      <c r="Q379" s="324"/>
      <c r="R379" s="324"/>
      <c r="S379" s="324"/>
      <c r="T379" s="324"/>
      <c r="U379" s="324"/>
      <c r="V379" s="377">
        <v>42230</v>
      </c>
      <c r="W379" s="198">
        <v>78.319999999999993</v>
      </c>
      <c r="X379" s="349">
        <f t="shared" si="22"/>
        <v>1.7539287806427328E-2</v>
      </c>
      <c r="Y379" s="198">
        <v>2091.540039</v>
      </c>
      <c r="Z379" s="349">
        <f t="shared" si="23"/>
        <v>3.9119638755009678E-3</v>
      </c>
      <c r="AA379" s="324"/>
      <c r="AB379" s="324"/>
      <c r="AC379" s="324"/>
      <c r="AD379" s="324"/>
      <c r="AE379" s="324"/>
      <c r="AF379" s="324"/>
    </row>
    <row r="380" spans="1:32">
      <c r="A380" s="324"/>
      <c r="B380" s="244"/>
      <c r="C380" s="294"/>
      <c r="D380" s="235"/>
      <c r="E380" s="294"/>
      <c r="F380" s="235"/>
      <c r="G380" s="324"/>
      <c r="H380" s="324"/>
      <c r="I380" s="324"/>
      <c r="J380" s="324"/>
      <c r="K380" s="324"/>
      <c r="L380" s="324"/>
      <c r="M380" s="294"/>
      <c r="N380" s="235"/>
      <c r="O380" s="324"/>
      <c r="P380" s="235"/>
      <c r="Q380" s="324"/>
      <c r="R380" s="324"/>
      <c r="S380" s="324"/>
      <c r="T380" s="324"/>
      <c r="U380" s="324"/>
      <c r="V380" s="377">
        <v>42229</v>
      </c>
      <c r="W380" s="198">
        <v>76.970000999999996</v>
      </c>
      <c r="X380" s="349">
        <f t="shared" si="22"/>
        <v>-1.0383127434792083E-3</v>
      </c>
      <c r="Y380" s="198">
        <v>2083.389893</v>
      </c>
      <c r="Z380" s="349">
        <f t="shared" si="23"/>
        <v>-1.2752119735933709E-3</v>
      </c>
      <c r="AA380" s="324"/>
      <c r="AB380" s="324"/>
      <c r="AC380" s="324"/>
      <c r="AD380" s="324"/>
      <c r="AE380" s="324"/>
      <c r="AF380" s="324"/>
    </row>
    <row r="381" spans="1:32">
      <c r="A381" s="324"/>
      <c r="B381" s="244"/>
      <c r="C381" s="294"/>
      <c r="D381" s="235"/>
      <c r="E381" s="294"/>
      <c r="F381" s="235"/>
      <c r="G381" s="324"/>
      <c r="H381" s="324"/>
      <c r="I381" s="324"/>
      <c r="J381" s="324"/>
      <c r="K381" s="324"/>
      <c r="L381" s="324"/>
      <c r="M381" s="294"/>
      <c r="N381" s="235"/>
      <c r="O381" s="324"/>
      <c r="P381" s="235"/>
      <c r="Q381" s="324"/>
      <c r="R381" s="324"/>
      <c r="S381" s="324"/>
      <c r="T381" s="324"/>
      <c r="U381" s="324"/>
      <c r="V381" s="377">
        <v>42228</v>
      </c>
      <c r="W381" s="198">
        <v>77.050003000000004</v>
      </c>
      <c r="X381" s="349">
        <f t="shared" si="22"/>
        <v>-4.6505746208203025E-3</v>
      </c>
      <c r="Y381" s="198">
        <v>2086.0500489999999</v>
      </c>
      <c r="Z381" s="349">
        <f t="shared" si="23"/>
        <v>9.5005490957422722E-4</v>
      </c>
      <c r="AA381" s="324"/>
      <c r="AB381" s="324"/>
      <c r="AC381" s="324"/>
      <c r="AD381" s="324"/>
      <c r="AE381" s="324"/>
      <c r="AF381" s="324"/>
    </row>
    <row r="382" spans="1:32">
      <c r="A382" s="324"/>
      <c r="B382" s="244"/>
      <c r="C382" s="294"/>
      <c r="D382" s="235"/>
      <c r="E382" s="294"/>
      <c r="F382" s="235"/>
      <c r="G382" s="324"/>
      <c r="H382" s="324"/>
      <c r="I382" s="324"/>
      <c r="J382" s="324"/>
      <c r="K382" s="324"/>
      <c r="L382" s="324"/>
      <c r="M382" s="294"/>
      <c r="N382" s="235"/>
      <c r="O382" s="324"/>
      <c r="P382" s="235"/>
      <c r="Q382" s="324"/>
      <c r="R382" s="324"/>
      <c r="S382" s="324"/>
      <c r="T382" s="324"/>
      <c r="U382" s="324"/>
      <c r="V382" s="377">
        <v>42227</v>
      </c>
      <c r="W382" s="198">
        <v>77.410004000000001</v>
      </c>
      <c r="X382" s="349">
        <f t="shared" si="22"/>
        <v>-2.2107123693424824E-2</v>
      </c>
      <c r="Y382" s="198">
        <v>2084.070068</v>
      </c>
      <c r="Z382" s="349">
        <f t="shared" si="23"/>
        <v>-9.5571028381046252E-3</v>
      </c>
      <c r="AA382" s="324"/>
      <c r="AB382" s="324"/>
      <c r="AC382" s="324"/>
      <c r="AD382" s="324"/>
      <c r="AE382" s="324"/>
      <c r="AF382" s="324"/>
    </row>
    <row r="383" spans="1:32">
      <c r="A383" s="324"/>
      <c r="B383" s="244"/>
      <c r="C383" s="294"/>
      <c r="D383" s="235"/>
      <c r="E383" s="294"/>
      <c r="F383" s="235"/>
      <c r="G383" s="324"/>
      <c r="H383" s="324"/>
      <c r="I383" s="324"/>
      <c r="J383" s="324"/>
      <c r="K383" s="324"/>
      <c r="L383" s="324"/>
      <c r="M383" s="294"/>
      <c r="N383" s="235"/>
      <c r="O383" s="324"/>
      <c r="P383" s="235"/>
      <c r="Q383" s="324"/>
      <c r="R383" s="324"/>
      <c r="S383" s="324"/>
      <c r="T383" s="324"/>
      <c r="U383" s="324"/>
      <c r="V383" s="377">
        <v>42226</v>
      </c>
      <c r="W383" s="198">
        <v>79.160004000000001</v>
      </c>
      <c r="X383" s="349">
        <f t="shared" si="22"/>
        <v>2.0234670459320592E-2</v>
      </c>
      <c r="Y383" s="198">
        <v>2104.179932</v>
      </c>
      <c r="Z383" s="349">
        <f t="shared" si="23"/>
        <v>1.2808166814617383E-2</v>
      </c>
      <c r="AA383" s="324"/>
      <c r="AB383" s="324"/>
      <c r="AC383" s="324"/>
      <c r="AD383" s="324"/>
      <c r="AE383" s="324"/>
      <c r="AF383" s="324"/>
    </row>
    <row r="384" spans="1:32">
      <c r="A384" s="324"/>
      <c r="B384" s="244"/>
      <c r="C384" s="294"/>
      <c r="D384" s="235"/>
      <c r="E384" s="294"/>
      <c r="F384" s="235"/>
      <c r="G384" s="324"/>
      <c r="H384" s="324"/>
      <c r="I384" s="324"/>
      <c r="J384" s="324"/>
      <c r="K384" s="324"/>
      <c r="L384" s="324"/>
      <c r="M384" s="294"/>
      <c r="N384" s="235"/>
      <c r="O384" s="324"/>
      <c r="P384" s="235"/>
      <c r="Q384" s="324"/>
      <c r="R384" s="324"/>
      <c r="S384" s="324"/>
      <c r="T384" s="324"/>
      <c r="U384" s="324"/>
      <c r="V384" s="377">
        <v>42223</v>
      </c>
      <c r="W384" s="198">
        <v>77.589995999999999</v>
      </c>
      <c r="X384" s="349">
        <f t="shared" si="22"/>
        <v>-6.440365873781051E-4</v>
      </c>
      <c r="Y384" s="198">
        <v>2077.570068</v>
      </c>
      <c r="Z384" s="349">
        <f t="shared" si="23"/>
        <v>-2.8748828113334124E-3</v>
      </c>
      <c r="AA384" s="324"/>
      <c r="AB384" s="324"/>
      <c r="AC384" s="324"/>
      <c r="AD384" s="324"/>
      <c r="AE384" s="324"/>
      <c r="AF384" s="324"/>
    </row>
    <row r="385" spans="1:32">
      <c r="A385" s="324"/>
      <c r="B385" s="244"/>
      <c r="C385" s="294"/>
      <c r="D385" s="235"/>
      <c r="E385" s="294"/>
      <c r="F385" s="235"/>
      <c r="G385" s="324"/>
      <c r="H385" s="324"/>
      <c r="I385" s="324"/>
      <c r="J385" s="324"/>
      <c r="K385" s="324"/>
      <c r="L385" s="324"/>
      <c r="M385" s="294"/>
      <c r="N385" s="235"/>
      <c r="O385" s="324"/>
      <c r="P385" s="235"/>
      <c r="Q385" s="324"/>
      <c r="R385" s="324"/>
      <c r="S385" s="324"/>
      <c r="T385" s="324"/>
      <c r="U385" s="324"/>
      <c r="V385" s="377">
        <v>42222</v>
      </c>
      <c r="W385" s="198">
        <v>77.639999000000003</v>
      </c>
      <c r="X385" s="349">
        <f t="shared" si="22"/>
        <v>-3.1195408425198523E-2</v>
      </c>
      <c r="Y385" s="198">
        <v>2083.5600589999999</v>
      </c>
      <c r="Z385" s="349">
        <f t="shared" si="23"/>
        <v>-7.7529851406474837E-3</v>
      </c>
      <c r="AA385" s="324"/>
      <c r="AB385" s="324"/>
      <c r="AC385" s="324"/>
      <c r="AD385" s="324"/>
      <c r="AE385" s="324"/>
      <c r="AF385" s="324"/>
    </row>
    <row r="386" spans="1:32">
      <c r="A386" s="324"/>
      <c r="B386" s="244"/>
      <c r="C386" s="294"/>
      <c r="D386" s="235"/>
      <c r="E386" s="294"/>
      <c r="F386" s="235"/>
      <c r="G386" s="324"/>
      <c r="H386" s="324"/>
      <c r="I386" s="324"/>
      <c r="J386" s="324"/>
      <c r="K386" s="324"/>
      <c r="L386" s="324"/>
      <c r="M386" s="294"/>
      <c r="N386" s="235"/>
      <c r="O386" s="324"/>
      <c r="P386" s="235"/>
      <c r="Q386" s="324"/>
      <c r="R386" s="324"/>
      <c r="S386" s="324"/>
      <c r="T386" s="324"/>
      <c r="U386" s="324"/>
      <c r="V386" s="377">
        <v>42221</v>
      </c>
      <c r="W386" s="198">
        <v>80.139999000000003</v>
      </c>
      <c r="X386" s="349">
        <f t="shared" si="22"/>
        <v>1.3916978568864202E-2</v>
      </c>
      <c r="Y386" s="198">
        <v>2099.8400879999999</v>
      </c>
      <c r="Z386" s="349">
        <f t="shared" si="23"/>
        <v>3.1146789732108271E-3</v>
      </c>
      <c r="AA386" s="324"/>
      <c r="AB386" s="324"/>
      <c r="AC386" s="324"/>
      <c r="AD386" s="324"/>
      <c r="AE386" s="324"/>
      <c r="AF386" s="324"/>
    </row>
    <row r="387" spans="1:32">
      <c r="A387" s="324"/>
      <c r="B387" s="244"/>
      <c r="C387" s="294"/>
      <c r="D387" s="235"/>
      <c r="E387" s="294"/>
      <c r="F387" s="235"/>
      <c r="G387" s="324"/>
      <c r="H387" s="324"/>
      <c r="I387" s="324"/>
      <c r="J387" s="324"/>
      <c r="K387" s="324"/>
      <c r="L387" s="324"/>
      <c r="M387" s="294"/>
      <c r="N387" s="235"/>
      <c r="O387" s="324"/>
      <c r="P387" s="235"/>
      <c r="Q387" s="324"/>
      <c r="R387" s="324"/>
      <c r="S387" s="324"/>
      <c r="T387" s="324"/>
      <c r="U387" s="324"/>
      <c r="V387" s="377">
        <v>42220</v>
      </c>
      <c r="W387" s="198">
        <v>79.040001000000004</v>
      </c>
      <c r="X387" s="349">
        <f t="shared" si="22"/>
        <v>9.5797674086119944E-3</v>
      </c>
      <c r="Y387" s="198">
        <v>2093.320068</v>
      </c>
      <c r="Z387" s="349">
        <f t="shared" si="23"/>
        <v>-2.2497049209078135E-3</v>
      </c>
      <c r="AA387" s="324"/>
      <c r="AB387" s="324"/>
      <c r="AC387" s="324"/>
      <c r="AD387" s="324"/>
      <c r="AE387" s="324"/>
      <c r="AF387" s="324"/>
    </row>
    <row r="388" spans="1:32">
      <c r="A388" s="324"/>
      <c r="B388" s="244"/>
      <c r="C388" s="294"/>
      <c r="D388" s="235"/>
      <c r="E388" s="294"/>
      <c r="F388" s="235"/>
      <c r="G388" s="324"/>
      <c r="H388" s="324"/>
      <c r="I388" s="324"/>
      <c r="J388" s="324"/>
      <c r="K388" s="324"/>
      <c r="L388" s="324"/>
      <c r="M388" s="294"/>
      <c r="N388" s="235"/>
      <c r="O388" s="324"/>
      <c r="P388" s="235"/>
      <c r="Q388" s="324"/>
      <c r="R388" s="324"/>
      <c r="S388" s="324"/>
      <c r="T388" s="324"/>
      <c r="U388" s="324"/>
      <c r="V388" s="377">
        <v>42219</v>
      </c>
      <c r="W388" s="198">
        <v>78.290001000000004</v>
      </c>
      <c r="X388" s="349">
        <f t="shared" si="22"/>
        <v>-9.9898960548836513E-3</v>
      </c>
      <c r="Y388" s="198">
        <v>2098.040039</v>
      </c>
      <c r="Z388" s="349">
        <f t="shared" si="23"/>
        <v>-2.7568868152492154E-3</v>
      </c>
      <c r="AA388" s="324"/>
      <c r="AB388" s="324"/>
      <c r="AC388" s="324"/>
      <c r="AD388" s="324"/>
      <c r="AE388" s="324"/>
      <c r="AF388" s="324"/>
    </row>
    <row r="389" spans="1:32">
      <c r="A389" s="324"/>
      <c r="B389" s="244"/>
      <c r="C389" s="294"/>
      <c r="D389" s="235"/>
      <c r="E389" s="294"/>
      <c r="F389" s="235"/>
      <c r="G389" s="324"/>
      <c r="H389" s="324"/>
      <c r="I389" s="324"/>
      <c r="J389" s="324"/>
      <c r="K389" s="324"/>
      <c r="L389" s="324"/>
      <c r="M389" s="294"/>
      <c r="N389" s="235"/>
      <c r="O389" s="324"/>
      <c r="P389" s="235"/>
      <c r="Q389" s="324"/>
      <c r="R389" s="324"/>
      <c r="S389" s="324"/>
      <c r="T389" s="324"/>
      <c r="U389" s="324"/>
      <c r="V389" s="377">
        <v>42216</v>
      </c>
      <c r="W389" s="198">
        <v>79.080001999999993</v>
      </c>
      <c r="X389" s="349">
        <f t="shared" si="22"/>
        <v>-4.6569542350014537E-3</v>
      </c>
      <c r="Y389" s="198">
        <v>2103.8400879999999</v>
      </c>
      <c r="Z389" s="349">
        <f t="shared" si="23"/>
        <v>-2.2715200228432542E-3</v>
      </c>
      <c r="AA389" s="324"/>
      <c r="AB389" s="324"/>
      <c r="AC389" s="324"/>
      <c r="AD389" s="324"/>
      <c r="AE389" s="324"/>
      <c r="AF389" s="324"/>
    </row>
    <row r="390" spans="1:32">
      <c r="A390" s="324"/>
      <c r="B390" s="244"/>
      <c r="C390" s="294"/>
      <c r="D390" s="235"/>
      <c r="E390" s="294"/>
      <c r="F390" s="235"/>
      <c r="G390" s="324"/>
      <c r="H390" s="324"/>
      <c r="I390" s="324"/>
      <c r="J390" s="324"/>
      <c r="K390" s="324"/>
      <c r="L390" s="324"/>
      <c r="M390" s="294"/>
      <c r="N390" s="235"/>
      <c r="O390" s="324"/>
      <c r="P390" s="235"/>
      <c r="Q390" s="324"/>
      <c r="R390" s="324"/>
      <c r="S390" s="324"/>
      <c r="T390" s="324"/>
      <c r="U390" s="324"/>
      <c r="V390" s="377">
        <v>42215</v>
      </c>
      <c r="W390" s="198">
        <v>79.449996999999996</v>
      </c>
      <c r="X390" s="349">
        <f t="shared" si="22"/>
        <v>2.2707204088829869E-3</v>
      </c>
      <c r="Y390" s="198">
        <v>2108.6298830000001</v>
      </c>
      <c r="Z390" s="349">
        <f t="shared" si="23"/>
        <v>2.8367565729991995E-5</v>
      </c>
      <c r="AA390" s="324"/>
      <c r="AB390" s="324"/>
      <c r="AC390" s="324"/>
      <c r="AD390" s="324"/>
      <c r="AE390" s="324"/>
      <c r="AF390" s="324"/>
    </row>
    <row r="391" spans="1:32">
      <c r="A391" s="324"/>
      <c r="B391" s="244"/>
      <c r="C391" s="294"/>
      <c r="D391" s="235"/>
      <c r="E391" s="294"/>
      <c r="F391" s="235"/>
      <c r="G391" s="324"/>
      <c r="H391" s="324"/>
      <c r="I391" s="324"/>
      <c r="J391" s="324"/>
      <c r="K391" s="324"/>
      <c r="L391" s="324"/>
      <c r="M391" s="294"/>
      <c r="N391" s="235"/>
      <c r="O391" s="324"/>
      <c r="P391" s="235"/>
      <c r="Q391" s="324"/>
      <c r="R391" s="324"/>
      <c r="S391" s="324"/>
      <c r="T391" s="324"/>
      <c r="U391" s="324"/>
      <c r="V391" s="377">
        <v>42214</v>
      </c>
      <c r="W391" s="198">
        <v>79.269997000000004</v>
      </c>
      <c r="X391" s="349">
        <f t="shared" si="22"/>
        <v>6.8588083249534471E-3</v>
      </c>
      <c r="Y391" s="198">
        <v>2108.570068</v>
      </c>
      <c r="Z391" s="349">
        <f t="shared" si="23"/>
        <v>7.3187951749671409E-3</v>
      </c>
      <c r="AA391" s="324"/>
      <c r="AB391" s="324"/>
      <c r="AC391" s="324"/>
      <c r="AD391" s="324"/>
      <c r="AE391" s="324"/>
      <c r="AF391" s="324"/>
    </row>
    <row r="392" spans="1:32">
      <c r="A392" s="324"/>
      <c r="B392" s="244"/>
      <c r="C392" s="294"/>
      <c r="D392" s="235"/>
      <c r="E392" s="294"/>
      <c r="F392" s="235"/>
      <c r="G392" s="324"/>
      <c r="H392" s="324"/>
      <c r="I392" s="324"/>
      <c r="J392" s="324"/>
      <c r="K392" s="324"/>
      <c r="L392" s="324"/>
      <c r="M392" s="294"/>
      <c r="N392" s="235"/>
      <c r="O392" s="324"/>
      <c r="P392" s="235"/>
      <c r="Q392" s="324"/>
      <c r="R392" s="324"/>
      <c r="S392" s="324"/>
      <c r="T392" s="324"/>
      <c r="U392" s="324"/>
      <c r="V392" s="377">
        <v>42213</v>
      </c>
      <c r="W392" s="198">
        <v>78.730002999999996</v>
      </c>
      <c r="X392" s="349">
        <f t="shared" si="22"/>
        <v>2.0347316208018773E-2</v>
      </c>
      <c r="Y392" s="198">
        <v>2093.25</v>
      </c>
      <c r="Z392" s="349">
        <f t="shared" si="23"/>
        <v>1.2386154420169104E-2</v>
      </c>
      <c r="AA392" s="324"/>
      <c r="AB392" s="324"/>
      <c r="AC392" s="324"/>
      <c r="AD392" s="324"/>
      <c r="AE392" s="324"/>
      <c r="AF392" s="324"/>
    </row>
    <row r="393" spans="1:32">
      <c r="A393" s="324"/>
      <c r="B393" s="244"/>
      <c r="C393" s="294"/>
      <c r="D393" s="235"/>
      <c r="E393" s="294"/>
      <c r="F393" s="235"/>
      <c r="G393" s="324"/>
      <c r="H393" s="324"/>
      <c r="I393" s="324"/>
      <c r="J393" s="324"/>
      <c r="K393" s="324"/>
      <c r="L393" s="324"/>
      <c r="M393" s="294"/>
      <c r="N393" s="235"/>
      <c r="O393" s="324"/>
      <c r="P393" s="235"/>
      <c r="Q393" s="324"/>
      <c r="R393" s="324"/>
      <c r="S393" s="324"/>
      <c r="T393" s="324"/>
      <c r="U393" s="324"/>
      <c r="V393" s="377">
        <v>42212</v>
      </c>
      <c r="W393" s="198">
        <v>77.160004000000001</v>
      </c>
      <c r="X393" s="349">
        <f t="shared" ref="X393:X456" si="24">W393/W394-1</f>
        <v>-2.2796289549091742E-2</v>
      </c>
      <c r="Y393" s="198">
        <v>2067.639893</v>
      </c>
      <c r="Z393" s="349">
        <f t="shared" ref="Z393:Z456" si="25">Y393/Y394-1</f>
        <v>-5.7750148178546956E-3</v>
      </c>
      <c r="AA393" s="324"/>
      <c r="AB393" s="324"/>
      <c r="AC393" s="324"/>
      <c r="AD393" s="324"/>
      <c r="AE393" s="324"/>
      <c r="AF393" s="324"/>
    </row>
    <row r="394" spans="1:32">
      <c r="A394" s="324"/>
      <c r="B394" s="244"/>
      <c r="C394" s="294"/>
      <c r="D394" s="235"/>
      <c r="E394" s="294"/>
      <c r="F394" s="235"/>
      <c r="G394" s="324"/>
      <c r="H394" s="324"/>
      <c r="I394" s="324"/>
      <c r="J394" s="324"/>
      <c r="K394" s="324"/>
      <c r="L394" s="324"/>
      <c r="M394" s="294"/>
      <c r="N394" s="235"/>
      <c r="O394" s="324"/>
      <c r="P394" s="235"/>
      <c r="Q394" s="324"/>
      <c r="R394" s="324"/>
      <c r="S394" s="324"/>
      <c r="T394" s="324"/>
      <c r="U394" s="324"/>
      <c r="V394" s="377">
        <v>42209</v>
      </c>
      <c r="W394" s="198">
        <v>78.959998999999996</v>
      </c>
      <c r="X394" s="349">
        <f t="shared" si="24"/>
        <v>-4.7894759157790512E-3</v>
      </c>
      <c r="Y394" s="198">
        <v>2079.6499020000001</v>
      </c>
      <c r="Z394" s="349">
        <f t="shared" si="25"/>
        <v>-1.0703328044585847E-2</v>
      </c>
      <c r="AA394" s="324"/>
      <c r="AB394" s="324"/>
      <c r="AC394" s="324"/>
      <c r="AD394" s="324"/>
      <c r="AE394" s="324"/>
      <c r="AF394" s="324"/>
    </row>
    <row r="395" spans="1:32">
      <c r="A395" s="324"/>
      <c r="B395" s="244"/>
      <c r="C395" s="294"/>
      <c r="D395" s="235"/>
      <c r="E395" s="294"/>
      <c r="F395" s="235"/>
      <c r="G395" s="324"/>
      <c r="H395" s="324"/>
      <c r="I395" s="324"/>
      <c r="J395" s="324"/>
      <c r="K395" s="324"/>
      <c r="L395" s="324"/>
      <c r="M395" s="294"/>
      <c r="N395" s="235"/>
      <c r="O395" s="324"/>
      <c r="P395" s="235"/>
      <c r="Q395" s="324"/>
      <c r="R395" s="324"/>
      <c r="S395" s="324"/>
      <c r="T395" s="324"/>
      <c r="U395" s="324"/>
      <c r="V395" s="377">
        <v>42208</v>
      </c>
      <c r="W395" s="198">
        <v>79.339995999999999</v>
      </c>
      <c r="X395" s="349">
        <f t="shared" si="24"/>
        <v>-8.8160176896601161E-4</v>
      </c>
      <c r="Y395" s="198">
        <v>2102.1499020000001</v>
      </c>
      <c r="Z395" s="349">
        <f t="shared" si="25"/>
        <v>-5.676040279191108E-3</v>
      </c>
      <c r="AA395" s="324"/>
      <c r="AB395" s="324"/>
      <c r="AC395" s="324"/>
      <c r="AD395" s="324"/>
      <c r="AE395" s="324"/>
      <c r="AF395" s="324"/>
    </row>
    <row r="396" spans="1:32">
      <c r="A396" s="324"/>
      <c r="B396" s="244"/>
      <c r="C396" s="294"/>
      <c r="D396" s="235"/>
      <c r="E396" s="294"/>
      <c r="F396" s="235"/>
      <c r="G396" s="324"/>
      <c r="H396" s="324"/>
      <c r="I396" s="324"/>
      <c r="J396" s="324"/>
      <c r="K396" s="324"/>
      <c r="L396" s="324"/>
      <c r="M396" s="294"/>
      <c r="N396" s="235"/>
      <c r="O396" s="324"/>
      <c r="P396" s="235"/>
      <c r="Q396" s="324"/>
      <c r="R396" s="324"/>
      <c r="S396" s="324"/>
      <c r="T396" s="324"/>
      <c r="U396" s="324"/>
      <c r="V396" s="377">
        <v>42207</v>
      </c>
      <c r="W396" s="198">
        <v>79.410004000000001</v>
      </c>
      <c r="X396" s="349">
        <f t="shared" si="24"/>
        <v>1.4305824315930193E-2</v>
      </c>
      <c r="Y396" s="198">
        <v>2114.1499020000001</v>
      </c>
      <c r="Z396" s="349">
        <f t="shared" si="25"/>
        <v>-2.3877100868345824E-3</v>
      </c>
      <c r="AA396" s="324"/>
      <c r="AB396" s="324"/>
      <c r="AC396" s="324"/>
      <c r="AD396" s="324"/>
      <c r="AE396" s="324"/>
      <c r="AF396" s="324"/>
    </row>
    <row r="397" spans="1:32">
      <c r="A397" s="324"/>
      <c r="B397" s="244"/>
      <c r="C397" s="294"/>
      <c r="D397" s="235"/>
      <c r="E397" s="294"/>
      <c r="F397" s="235"/>
      <c r="G397" s="324"/>
      <c r="H397" s="324"/>
      <c r="I397" s="324"/>
      <c r="J397" s="324"/>
      <c r="K397" s="324"/>
      <c r="L397" s="324"/>
      <c r="M397" s="294"/>
      <c r="N397" s="235"/>
      <c r="O397" s="324"/>
      <c r="P397" s="235"/>
      <c r="Q397" s="324"/>
      <c r="R397" s="324"/>
      <c r="S397" s="324"/>
      <c r="T397" s="324"/>
      <c r="U397" s="324"/>
      <c r="V397" s="377">
        <v>42206</v>
      </c>
      <c r="W397" s="198">
        <v>78.290001000000004</v>
      </c>
      <c r="X397" s="349">
        <f t="shared" si="24"/>
        <v>-1.1365083688216093E-2</v>
      </c>
      <c r="Y397" s="198">
        <v>2119.209961</v>
      </c>
      <c r="Z397" s="349">
        <f t="shared" si="25"/>
        <v>-4.2616891933443535E-3</v>
      </c>
      <c r="AA397" s="324"/>
      <c r="AB397" s="324"/>
      <c r="AC397" s="324"/>
      <c r="AD397" s="324"/>
      <c r="AE397" s="324"/>
      <c r="AF397" s="324"/>
    </row>
    <row r="398" spans="1:32">
      <c r="A398" s="324"/>
      <c r="B398" s="244"/>
      <c r="C398" s="294"/>
      <c r="D398" s="235"/>
      <c r="E398" s="294"/>
      <c r="F398" s="235"/>
      <c r="G398" s="324"/>
      <c r="H398" s="324"/>
      <c r="I398" s="324"/>
      <c r="J398" s="324"/>
      <c r="K398" s="324"/>
      <c r="L398" s="324"/>
      <c r="M398" s="294"/>
      <c r="N398" s="235"/>
      <c r="O398" s="324"/>
      <c r="P398" s="235"/>
      <c r="Q398" s="324"/>
      <c r="R398" s="324"/>
      <c r="S398" s="324"/>
      <c r="T398" s="324"/>
      <c r="U398" s="324"/>
      <c r="V398" s="377">
        <v>42205</v>
      </c>
      <c r="W398" s="198">
        <v>79.190002000000007</v>
      </c>
      <c r="X398" s="349">
        <f t="shared" si="24"/>
        <v>1.6443714051195268E-3</v>
      </c>
      <c r="Y398" s="198">
        <v>2128.280029</v>
      </c>
      <c r="Z398" s="349">
        <f t="shared" si="25"/>
        <v>7.7123353389474403E-4</v>
      </c>
      <c r="AA398" s="324"/>
      <c r="AB398" s="324"/>
      <c r="AC398" s="324"/>
      <c r="AD398" s="324"/>
      <c r="AE398" s="324"/>
      <c r="AF398" s="324"/>
    </row>
    <row r="399" spans="1:32">
      <c r="A399" s="324"/>
      <c r="B399" s="244"/>
      <c r="C399" s="294"/>
      <c r="D399" s="235"/>
      <c r="E399" s="294"/>
      <c r="F399" s="235"/>
      <c r="G399" s="324"/>
      <c r="H399" s="324"/>
      <c r="I399" s="324"/>
      <c r="J399" s="324"/>
      <c r="K399" s="324"/>
      <c r="L399" s="324"/>
      <c r="M399" s="294"/>
      <c r="N399" s="235"/>
      <c r="O399" s="324"/>
      <c r="P399" s="235"/>
      <c r="Q399" s="324"/>
      <c r="R399" s="324"/>
      <c r="S399" s="324"/>
      <c r="T399" s="324"/>
      <c r="U399" s="324"/>
      <c r="V399" s="377">
        <v>42202</v>
      </c>
      <c r="W399" s="198">
        <v>79.059997999999993</v>
      </c>
      <c r="X399" s="349">
        <f t="shared" si="24"/>
        <v>-1.898496185556342E-2</v>
      </c>
      <c r="Y399" s="198">
        <v>2126.639893</v>
      </c>
      <c r="Z399" s="349">
        <f t="shared" si="25"/>
        <v>1.1061832220924384E-3</v>
      </c>
      <c r="AA399" s="324"/>
      <c r="AB399" s="324"/>
      <c r="AC399" s="324"/>
      <c r="AD399" s="324"/>
      <c r="AE399" s="324"/>
      <c r="AF399" s="324"/>
    </row>
    <row r="400" spans="1:32">
      <c r="A400" s="324"/>
      <c r="B400" s="244"/>
      <c r="C400" s="294"/>
      <c r="D400" s="235"/>
      <c r="E400" s="294"/>
      <c r="F400" s="235"/>
      <c r="G400" s="324"/>
      <c r="H400" s="324"/>
      <c r="I400" s="324"/>
      <c r="J400" s="324"/>
      <c r="K400" s="324"/>
      <c r="L400" s="324"/>
      <c r="M400" s="294"/>
      <c r="N400" s="235"/>
      <c r="O400" s="324"/>
      <c r="P400" s="235"/>
      <c r="Q400" s="324"/>
      <c r="R400" s="324"/>
      <c r="S400" s="324"/>
      <c r="T400" s="324"/>
      <c r="U400" s="324"/>
      <c r="V400" s="377">
        <v>42201</v>
      </c>
      <c r="W400" s="198">
        <v>80.589995999999999</v>
      </c>
      <c r="X400" s="349">
        <f t="shared" si="24"/>
        <v>6.1173284923177196E-3</v>
      </c>
      <c r="Y400" s="198">
        <v>2124.290039</v>
      </c>
      <c r="Z400" s="349">
        <f t="shared" si="25"/>
        <v>8.0146805473277904E-3</v>
      </c>
      <c r="AA400" s="324"/>
      <c r="AB400" s="324"/>
      <c r="AC400" s="324"/>
      <c r="AD400" s="324"/>
      <c r="AE400" s="324"/>
      <c r="AF400" s="324"/>
    </row>
    <row r="401" spans="1:32">
      <c r="A401" s="324"/>
      <c r="B401" s="244"/>
      <c r="C401" s="294"/>
      <c r="D401" s="235"/>
      <c r="E401" s="294"/>
      <c r="F401" s="235"/>
      <c r="G401" s="324"/>
      <c r="H401" s="324"/>
      <c r="I401" s="324"/>
      <c r="J401" s="324"/>
      <c r="K401" s="324"/>
      <c r="L401" s="324"/>
      <c r="M401" s="294"/>
      <c r="N401" s="235"/>
      <c r="O401" s="324"/>
      <c r="P401" s="235"/>
      <c r="Q401" s="324"/>
      <c r="R401" s="324"/>
      <c r="S401" s="324"/>
      <c r="T401" s="324"/>
      <c r="U401" s="324"/>
      <c r="V401" s="377">
        <v>42200</v>
      </c>
      <c r="W401" s="198">
        <v>80.099997999999999</v>
      </c>
      <c r="X401" s="349">
        <f t="shared" si="24"/>
        <v>-7.3119839555836341E-3</v>
      </c>
      <c r="Y401" s="198">
        <v>2107.3999020000001</v>
      </c>
      <c r="Z401" s="349">
        <f t="shared" si="25"/>
        <v>-7.349861476158015E-4</v>
      </c>
      <c r="AA401" s="324"/>
      <c r="AB401" s="324"/>
      <c r="AC401" s="324"/>
      <c r="AD401" s="324"/>
      <c r="AE401" s="324"/>
      <c r="AF401" s="324"/>
    </row>
    <row r="402" spans="1:32">
      <c r="A402" s="324"/>
      <c r="B402" s="244"/>
      <c r="C402" s="294"/>
      <c r="D402" s="235"/>
      <c r="E402" s="294"/>
      <c r="F402" s="235"/>
      <c r="G402" s="324"/>
      <c r="H402" s="324"/>
      <c r="I402" s="324"/>
      <c r="J402" s="324"/>
      <c r="K402" s="324"/>
      <c r="L402" s="324"/>
      <c r="M402" s="294"/>
      <c r="N402" s="235"/>
      <c r="O402" s="324"/>
      <c r="P402" s="235"/>
      <c r="Q402" s="324"/>
      <c r="R402" s="324"/>
      <c r="S402" s="324"/>
      <c r="T402" s="324"/>
      <c r="U402" s="324"/>
      <c r="V402" s="377">
        <v>42199</v>
      </c>
      <c r="W402" s="198">
        <v>80.690002000000007</v>
      </c>
      <c r="X402" s="349">
        <f t="shared" si="24"/>
        <v>1.4203167777857573E-2</v>
      </c>
      <c r="Y402" s="198">
        <v>2108.9499510000001</v>
      </c>
      <c r="Z402" s="349">
        <f t="shared" si="25"/>
        <v>4.4531589653222792E-3</v>
      </c>
      <c r="AA402" s="324"/>
      <c r="AB402" s="324"/>
      <c r="AC402" s="324"/>
      <c r="AD402" s="324"/>
      <c r="AE402" s="324"/>
      <c r="AF402" s="324"/>
    </row>
    <row r="403" spans="1:32">
      <c r="A403" s="324"/>
      <c r="B403" s="244"/>
      <c r="C403" s="294"/>
      <c r="D403" s="235"/>
      <c r="E403" s="294"/>
      <c r="F403" s="235"/>
      <c r="G403" s="324"/>
      <c r="H403" s="324"/>
      <c r="I403" s="324"/>
      <c r="J403" s="324"/>
      <c r="K403" s="324"/>
      <c r="L403" s="324"/>
      <c r="M403" s="294"/>
      <c r="N403" s="235"/>
      <c r="O403" s="324"/>
      <c r="P403" s="235"/>
      <c r="Q403" s="324"/>
      <c r="R403" s="324"/>
      <c r="S403" s="324"/>
      <c r="T403" s="324"/>
      <c r="U403" s="324"/>
      <c r="V403" s="377">
        <v>42198</v>
      </c>
      <c r="W403" s="198">
        <v>79.559997999999993</v>
      </c>
      <c r="X403" s="349">
        <f t="shared" si="24"/>
        <v>1.2986974624560998E-2</v>
      </c>
      <c r="Y403" s="198">
        <v>2099.6000979999999</v>
      </c>
      <c r="Z403" s="349">
        <f t="shared" si="25"/>
        <v>1.1066049496427866E-2</v>
      </c>
      <c r="AA403" s="324"/>
      <c r="AB403" s="324"/>
      <c r="AC403" s="324"/>
      <c r="AD403" s="324"/>
      <c r="AE403" s="324"/>
      <c r="AF403" s="324"/>
    </row>
    <row r="404" spans="1:32">
      <c r="A404" s="324"/>
      <c r="B404" s="244"/>
      <c r="C404" s="294"/>
      <c r="D404" s="235"/>
      <c r="E404" s="294"/>
      <c r="F404" s="235"/>
      <c r="G404" s="324"/>
      <c r="H404" s="324"/>
      <c r="I404" s="324"/>
      <c r="J404" s="324"/>
      <c r="K404" s="324"/>
      <c r="L404" s="324"/>
      <c r="M404" s="294"/>
      <c r="N404" s="235"/>
      <c r="O404" s="324"/>
      <c r="P404" s="235"/>
      <c r="Q404" s="324"/>
      <c r="R404" s="324"/>
      <c r="S404" s="324"/>
      <c r="T404" s="324"/>
      <c r="U404" s="324"/>
      <c r="V404" s="377">
        <v>42195</v>
      </c>
      <c r="W404" s="198">
        <v>78.540001000000004</v>
      </c>
      <c r="X404" s="349">
        <f t="shared" si="24"/>
        <v>1.656742126411026E-2</v>
      </c>
      <c r="Y404" s="198">
        <v>2076.6201169999999</v>
      </c>
      <c r="Z404" s="349">
        <f t="shared" si="25"/>
        <v>1.2338484808258832E-2</v>
      </c>
      <c r="AA404" s="324"/>
      <c r="AB404" s="324"/>
      <c r="AC404" s="324"/>
      <c r="AD404" s="324"/>
      <c r="AE404" s="324"/>
      <c r="AF404" s="324"/>
    </row>
    <row r="405" spans="1:32">
      <c r="A405" s="324"/>
      <c r="B405" s="244"/>
      <c r="C405" s="294"/>
      <c r="D405" s="235"/>
      <c r="E405" s="294"/>
      <c r="F405" s="235"/>
      <c r="G405" s="324"/>
      <c r="H405" s="324"/>
      <c r="I405" s="324"/>
      <c r="J405" s="324"/>
      <c r="K405" s="324"/>
      <c r="L405" s="324"/>
      <c r="M405" s="294"/>
      <c r="N405" s="235"/>
      <c r="O405" s="324"/>
      <c r="P405" s="235"/>
      <c r="Q405" s="324"/>
      <c r="R405" s="324"/>
      <c r="S405" s="324"/>
      <c r="T405" s="324"/>
      <c r="U405" s="324"/>
      <c r="V405" s="377">
        <v>42194</v>
      </c>
      <c r="W405" s="198">
        <v>77.260002</v>
      </c>
      <c r="X405" s="349">
        <f t="shared" si="24"/>
        <v>1.6712778436972719E-2</v>
      </c>
      <c r="Y405" s="198">
        <v>2051.3100589999999</v>
      </c>
      <c r="Z405" s="349">
        <f t="shared" si="25"/>
        <v>2.2622026295469055E-3</v>
      </c>
      <c r="AA405" s="324"/>
      <c r="AB405" s="324"/>
      <c r="AC405" s="324"/>
      <c r="AD405" s="324"/>
      <c r="AE405" s="324"/>
      <c r="AF405" s="324"/>
    </row>
    <row r="406" spans="1:32">
      <c r="A406" s="324"/>
      <c r="B406" s="244"/>
      <c r="C406" s="294"/>
      <c r="D406" s="235"/>
      <c r="E406" s="294"/>
      <c r="F406" s="235"/>
      <c r="G406" s="324"/>
      <c r="H406" s="324"/>
      <c r="I406" s="324"/>
      <c r="J406" s="324"/>
      <c r="K406" s="324"/>
      <c r="L406" s="324"/>
      <c r="M406" s="294"/>
      <c r="N406" s="235"/>
      <c r="O406" s="324"/>
      <c r="P406" s="235"/>
      <c r="Q406" s="324"/>
      <c r="R406" s="324"/>
      <c r="S406" s="324"/>
      <c r="T406" s="324"/>
      <c r="U406" s="324"/>
      <c r="V406" s="377">
        <v>42193</v>
      </c>
      <c r="W406" s="198">
        <v>75.989998</v>
      </c>
      <c r="X406" s="349">
        <f t="shared" si="24"/>
        <v>-1.1319320695819313E-2</v>
      </c>
      <c r="Y406" s="198">
        <v>2046.6800539999999</v>
      </c>
      <c r="Z406" s="349">
        <f t="shared" si="25"/>
        <v>-1.6652748966799358E-2</v>
      </c>
      <c r="AA406" s="324"/>
      <c r="AB406" s="324"/>
      <c r="AC406" s="324"/>
      <c r="AD406" s="324"/>
      <c r="AE406" s="324"/>
      <c r="AF406" s="324"/>
    </row>
    <row r="407" spans="1:32">
      <c r="A407" s="324"/>
      <c r="B407" s="244"/>
      <c r="C407" s="294"/>
      <c r="D407" s="235"/>
      <c r="E407" s="294"/>
      <c r="F407" s="235"/>
      <c r="G407" s="324"/>
      <c r="H407" s="324"/>
      <c r="I407" s="324"/>
      <c r="J407" s="324"/>
      <c r="K407" s="324"/>
      <c r="L407" s="324"/>
      <c r="M407" s="294"/>
      <c r="N407" s="235"/>
      <c r="O407" s="324"/>
      <c r="P407" s="235"/>
      <c r="Q407" s="324"/>
      <c r="R407" s="324"/>
      <c r="S407" s="324"/>
      <c r="T407" s="324"/>
      <c r="U407" s="324"/>
      <c r="V407" s="377">
        <v>42192</v>
      </c>
      <c r="W407" s="198">
        <v>76.860000999999997</v>
      </c>
      <c r="X407" s="349">
        <f t="shared" si="24"/>
        <v>3.1323151997266763E-3</v>
      </c>
      <c r="Y407" s="198">
        <v>2081.3400879999999</v>
      </c>
      <c r="Z407" s="349">
        <f t="shared" si="25"/>
        <v>6.0809750474632995E-3</v>
      </c>
      <c r="AA407" s="324"/>
      <c r="AB407" s="324"/>
      <c r="AC407" s="324"/>
      <c r="AD407" s="324"/>
      <c r="AE407" s="324"/>
      <c r="AF407" s="324"/>
    </row>
    <row r="408" spans="1:32">
      <c r="A408" s="324"/>
      <c r="B408" s="244"/>
      <c r="C408" s="294"/>
      <c r="D408" s="235"/>
      <c r="E408" s="294"/>
      <c r="F408" s="235"/>
      <c r="G408" s="324"/>
      <c r="H408" s="324"/>
      <c r="I408" s="324"/>
      <c r="J408" s="324"/>
      <c r="K408" s="324"/>
      <c r="L408" s="324"/>
      <c r="M408" s="294"/>
      <c r="N408" s="235"/>
      <c r="O408" s="324"/>
      <c r="P408" s="235"/>
      <c r="Q408" s="324"/>
      <c r="R408" s="324"/>
      <c r="S408" s="324"/>
      <c r="T408" s="324"/>
      <c r="U408" s="324"/>
      <c r="V408" s="377">
        <v>42191</v>
      </c>
      <c r="W408" s="198">
        <v>76.620002999999997</v>
      </c>
      <c r="X408" s="349">
        <f t="shared" si="24"/>
        <v>-3.3818159488222532E-3</v>
      </c>
      <c r="Y408" s="198">
        <v>2068.76001</v>
      </c>
      <c r="Z408" s="349">
        <f t="shared" si="25"/>
        <v>-3.861756607829947E-3</v>
      </c>
      <c r="AA408" s="324"/>
      <c r="AB408" s="324"/>
      <c r="AC408" s="324"/>
      <c r="AD408" s="324"/>
      <c r="AE408" s="324"/>
      <c r="AF408" s="324"/>
    </row>
    <row r="409" spans="1:32">
      <c r="A409" s="324"/>
      <c r="B409" s="244"/>
      <c r="C409" s="294"/>
      <c r="D409" s="235"/>
      <c r="E409" s="294"/>
      <c r="F409" s="235"/>
      <c r="G409" s="324"/>
      <c r="H409" s="324"/>
      <c r="I409" s="324"/>
      <c r="J409" s="324"/>
      <c r="K409" s="324"/>
      <c r="L409" s="324"/>
      <c r="M409" s="294"/>
      <c r="N409" s="235"/>
      <c r="O409" s="324"/>
      <c r="P409" s="235"/>
      <c r="Q409" s="324"/>
      <c r="R409" s="324"/>
      <c r="S409" s="324"/>
      <c r="T409" s="324"/>
      <c r="U409" s="324"/>
      <c r="V409" s="377">
        <v>42187</v>
      </c>
      <c r="W409" s="198">
        <v>76.879997000000003</v>
      </c>
      <c r="X409" s="349">
        <f t="shared" si="24"/>
        <v>-8.2559342720305295E-3</v>
      </c>
      <c r="Y409" s="198">
        <v>2076.780029</v>
      </c>
      <c r="Z409" s="349">
        <f t="shared" si="25"/>
        <v>-3.080229438562343E-4</v>
      </c>
      <c r="AA409" s="324"/>
      <c r="AB409" s="324"/>
      <c r="AC409" s="324"/>
      <c r="AD409" s="324"/>
      <c r="AE409" s="324"/>
      <c r="AF409" s="324"/>
    </row>
    <row r="410" spans="1:32">
      <c r="A410" s="324"/>
      <c r="B410" s="244"/>
      <c r="C410" s="294"/>
      <c r="D410" s="235"/>
      <c r="E410" s="294"/>
      <c r="F410" s="235"/>
      <c r="G410" s="324"/>
      <c r="H410" s="324"/>
      <c r="I410" s="324"/>
      <c r="J410" s="324"/>
      <c r="K410" s="324"/>
      <c r="L410" s="324"/>
      <c r="M410" s="294"/>
      <c r="N410" s="235"/>
      <c r="O410" s="324"/>
      <c r="P410" s="235"/>
      <c r="Q410" s="324"/>
      <c r="R410" s="324"/>
      <c r="S410" s="324"/>
      <c r="T410" s="324"/>
      <c r="U410" s="324"/>
      <c r="V410" s="377">
        <v>42186</v>
      </c>
      <c r="W410" s="198">
        <v>77.519997000000004</v>
      </c>
      <c r="X410" s="349">
        <f t="shared" si="24"/>
        <v>2.0940300276570456E-2</v>
      </c>
      <c r="Y410" s="198">
        <v>2077.419922</v>
      </c>
      <c r="Z410" s="349">
        <f t="shared" si="25"/>
        <v>6.9360403748921495E-3</v>
      </c>
      <c r="AA410" s="324"/>
      <c r="AB410" s="324"/>
      <c r="AC410" s="324"/>
      <c r="AD410" s="324"/>
      <c r="AE410" s="324"/>
      <c r="AF410" s="324"/>
    </row>
    <row r="411" spans="1:32">
      <c r="A411" s="324"/>
      <c r="B411" s="244"/>
      <c r="C411" s="294"/>
      <c r="D411" s="235"/>
      <c r="E411" s="294"/>
      <c r="F411" s="235"/>
      <c r="G411" s="324"/>
      <c r="H411" s="324"/>
      <c r="I411" s="324"/>
      <c r="J411" s="324"/>
      <c r="K411" s="324"/>
      <c r="L411" s="324"/>
      <c r="M411" s="294"/>
      <c r="N411" s="235"/>
      <c r="O411" s="324"/>
      <c r="P411" s="235"/>
      <c r="Q411" s="324"/>
      <c r="R411" s="324"/>
      <c r="S411" s="324"/>
      <c r="T411" s="324"/>
      <c r="U411" s="324"/>
      <c r="V411" s="377">
        <v>42185</v>
      </c>
      <c r="W411" s="198">
        <v>75.930000000000007</v>
      </c>
      <c r="X411" s="349">
        <f t="shared" si="24"/>
        <v>6.3618690402333922E-3</v>
      </c>
      <c r="Y411" s="198">
        <v>2063.110107</v>
      </c>
      <c r="Z411" s="349">
        <f t="shared" si="25"/>
        <v>2.6584894755439237E-3</v>
      </c>
      <c r="AA411" s="324"/>
      <c r="AB411" s="324"/>
      <c r="AC411" s="324"/>
      <c r="AD411" s="324"/>
      <c r="AE411" s="324"/>
      <c r="AF411" s="324"/>
    </row>
    <row r="412" spans="1:32">
      <c r="A412" s="324"/>
      <c r="B412" s="244"/>
      <c r="C412" s="294"/>
      <c r="D412" s="235"/>
      <c r="E412" s="294"/>
      <c r="F412" s="235"/>
      <c r="G412" s="324"/>
      <c r="H412" s="324"/>
      <c r="I412" s="324"/>
      <c r="J412" s="324"/>
      <c r="K412" s="324"/>
      <c r="L412" s="324"/>
      <c r="M412" s="294"/>
      <c r="N412" s="235"/>
      <c r="O412" s="324"/>
      <c r="P412" s="235"/>
      <c r="Q412" s="324"/>
      <c r="R412" s="324"/>
      <c r="S412" s="324"/>
      <c r="T412" s="324"/>
      <c r="U412" s="324"/>
      <c r="V412" s="377">
        <v>42184</v>
      </c>
      <c r="W412" s="198">
        <v>75.449996999999996</v>
      </c>
      <c r="X412" s="349">
        <f t="shared" si="24"/>
        <v>-2.6200386182225643E-2</v>
      </c>
      <c r="Y412" s="198">
        <v>2057.639893</v>
      </c>
      <c r="Z412" s="349">
        <f t="shared" si="25"/>
        <v>-2.0866193609611283E-2</v>
      </c>
      <c r="AA412" s="324"/>
      <c r="AB412" s="324"/>
      <c r="AC412" s="324"/>
      <c r="AD412" s="324"/>
      <c r="AE412" s="324"/>
      <c r="AF412" s="324"/>
    </row>
    <row r="413" spans="1:32">
      <c r="A413" s="324"/>
      <c r="B413" s="244"/>
      <c r="C413" s="294"/>
      <c r="D413" s="235"/>
      <c r="E413" s="294"/>
      <c r="F413" s="235"/>
      <c r="G413" s="324"/>
      <c r="H413" s="324"/>
      <c r="I413" s="324"/>
      <c r="J413" s="324"/>
      <c r="K413" s="324"/>
      <c r="L413" s="324"/>
      <c r="M413" s="294"/>
      <c r="N413" s="235"/>
      <c r="O413" s="324"/>
      <c r="P413" s="235"/>
      <c r="Q413" s="324"/>
      <c r="R413" s="324"/>
      <c r="S413" s="324"/>
      <c r="T413" s="324"/>
      <c r="U413" s="324"/>
      <c r="V413" s="377">
        <v>42181</v>
      </c>
      <c r="W413" s="198">
        <v>77.480002999999996</v>
      </c>
      <c r="X413" s="349">
        <f t="shared" si="24"/>
        <v>-2.0728007303033147E-2</v>
      </c>
      <c r="Y413" s="198">
        <v>2101.48999</v>
      </c>
      <c r="Z413" s="349">
        <f t="shared" si="25"/>
        <v>-3.9007994871598228E-4</v>
      </c>
      <c r="AA413" s="324"/>
      <c r="AB413" s="324"/>
      <c r="AC413" s="324"/>
      <c r="AD413" s="324"/>
      <c r="AE413" s="324"/>
      <c r="AF413" s="324"/>
    </row>
    <row r="414" spans="1:32">
      <c r="A414" s="324"/>
      <c r="B414" s="244"/>
      <c r="C414" s="294"/>
      <c r="D414" s="235"/>
      <c r="E414" s="294"/>
      <c r="F414" s="235"/>
      <c r="G414" s="324"/>
      <c r="H414" s="324"/>
      <c r="I414" s="324"/>
      <c r="J414" s="324"/>
      <c r="K414" s="324"/>
      <c r="L414" s="324"/>
      <c r="M414" s="294"/>
      <c r="N414" s="235"/>
      <c r="O414" s="324"/>
      <c r="P414" s="235"/>
      <c r="Q414" s="324"/>
      <c r="R414" s="324"/>
      <c r="S414" s="324"/>
      <c r="T414" s="324"/>
      <c r="U414" s="324"/>
      <c r="V414" s="377">
        <v>42180</v>
      </c>
      <c r="W414" s="198">
        <v>79.120002999999997</v>
      </c>
      <c r="X414" s="349">
        <f t="shared" si="24"/>
        <v>7.6414419628669794E-3</v>
      </c>
      <c r="Y414" s="198">
        <v>2102.3100589999999</v>
      </c>
      <c r="Z414" s="349">
        <f t="shared" si="25"/>
        <v>-2.973574048915073E-3</v>
      </c>
      <c r="AA414" s="324"/>
      <c r="AB414" s="324"/>
      <c r="AC414" s="324"/>
      <c r="AD414" s="324"/>
      <c r="AE414" s="324"/>
      <c r="AF414" s="324"/>
    </row>
    <row r="415" spans="1:32">
      <c r="A415" s="324"/>
      <c r="B415" s="244"/>
      <c r="C415" s="294"/>
      <c r="D415" s="235"/>
      <c r="E415" s="294"/>
      <c r="F415" s="235"/>
      <c r="G415" s="324"/>
      <c r="H415" s="324"/>
      <c r="I415" s="324"/>
      <c r="J415" s="324"/>
      <c r="K415" s="324"/>
      <c r="L415" s="324"/>
      <c r="M415" s="294"/>
      <c r="N415" s="235"/>
      <c r="O415" s="324"/>
      <c r="P415" s="235"/>
      <c r="Q415" s="324"/>
      <c r="R415" s="324"/>
      <c r="S415" s="324"/>
      <c r="T415" s="324"/>
      <c r="U415" s="324"/>
      <c r="V415" s="377">
        <v>42179</v>
      </c>
      <c r="W415" s="198">
        <v>78.519997000000004</v>
      </c>
      <c r="X415" s="349">
        <f t="shared" si="24"/>
        <v>-1.3815699052410202E-2</v>
      </c>
      <c r="Y415" s="198">
        <v>2108.580078</v>
      </c>
      <c r="Z415" s="349">
        <f t="shared" si="25"/>
        <v>-7.3532969401711723E-3</v>
      </c>
      <c r="AA415" s="324"/>
      <c r="AB415" s="324"/>
      <c r="AC415" s="324"/>
      <c r="AD415" s="324"/>
      <c r="AE415" s="324"/>
      <c r="AF415" s="324"/>
    </row>
    <row r="416" spans="1:32">
      <c r="A416" s="324"/>
      <c r="B416" s="244"/>
      <c r="C416" s="294"/>
      <c r="D416" s="235"/>
      <c r="E416" s="294"/>
      <c r="F416" s="235"/>
      <c r="G416" s="324"/>
      <c r="H416" s="324"/>
      <c r="I416" s="324"/>
      <c r="J416" s="324"/>
      <c r="K416" s="324"/>
      <c r="L416" s="324"/>
      <c r="M416" s="294"/>
      <c r="N416" s="235"/>
      <c r="O416" s="324"/>
      <c r="P416" s="235"/>
      <c r="Q416" s="324"/>
      <c r="R416" s="324"/>
      <c r="S416" s="324"/>
      <c r="T416" s="324"/>
      <c r="U416" s="324"/>
      <c r="V416" s="377">
        <v>42178</v>
      </c>
      <c r="W416" s="198">
        <v>79.620002999999997</v>
      </c>
      <c r="X416" s="349">
        <f t="shared" si="24"/>
        <v>1.8875298617400116E-3</v>
      </c>
      <c r="Y416" s="198">
        <v>2124.1999510000001</v>
      </c>
      <c r="Z416" s="349">
        <f t="shared" si="25"/>
        <v>6.3586826091577286E-4</v>
      </c>
      <c r="AA416" s="324"/>
      <c r="AB416" s="324"/>
      <c r="AC416" s="324"/>
      <c r="AD416" s="324"/>
      <c r="AE416" s="324"/>
      <c r="AF416" s="324"/>
    </row>
    <row r="417" spans="1:32">
      <c r="A417" s="324"/>
      <c r="B417" s="244"/>
      <c r="C417" s="294"/>
      <c r="D417" s="235"/>
      <c r="E417" s="294"/>
      <c r="F417" s="235"/>
      <c r="G417" s="324"/>
      <c r="H417" s="324"/>
      <c r="I417" s="324"/>
      <c r="J417" s="324"/>
      <c r="K417" s="324"/>
      <c r="L417" s="324"/>
      <c r="M417" s="294"/>
      <c r="N417" s="235"/>
      <c r="O417" s="324"/>
      <c r="P417" s="235"/>
      <c r="Q417" s="324"/>
      <c r="R417" s="324"/>
      <c r="S417" s="324"/>
      <c r="T417" s="324"/>
      <c r="U417" s="324"/>
      <c r="V417" s="377">
        <v>42177</v>
      </c>
      <c r="W417" s="198">
        <v>79.470000999999996</v>
      </c>
      <c r="X417" s="349">
        <f t="shared" si="24"/>
        <v>2.1437325796822559E-3</v>
      </c>
      <c r="Y417" s="198">
        <v>2122.8500979999999</v>
      </c>
      <c r="Z417" s="349">
        <f t="shared" si="25"/>
        <v>6.094866829202239E-3</v>
      </c>
      <c r="AA417" s="324"/>
      <c r="AB417" s="324"/>
      <c r="AC417" s="324"/>
      <c r="AD417" s="324"/>
      <c r="AE417" s="324"/>
      <c r="AF417" s="324"/>
    </row>
    <row r="418" spans="1:32">
      <c r="A418" s="324"/>
      <c r="B418" s="244"/>
      <c r="C418" s="294"/>
      <c r="D418" s="235"/>
      <c r="E418" s="294"/>
      <c r="F418" s="235"/>
      <c r="G418" s="324"/>
      <c r="H418" s="324"/>
      <c r="I418" s="324"/>
      <c r="J418" s="324"/>
      <c r="K418" s="324"/>
      <c r="L418" s="324"/>
      <c r="M418" s="294"/>
      <c r="N418" s="235"/>
      <c r="O418" s="324"/>
      <c r="P418" s="235"/>
      <c r="Q418" s="324"/>
      <c r="R418" s="324"/>
      <c r="S418" s="324"/>
      <c r="T418" s="324"/>
      <c r="U418" s="324"/>
      <c r="V418" s="377">
        <v>42174</v>
      </c>
      <c r="W418" s="198">
        <v>79.300003000000004</v>
      </c>
      <c r="X418" s="349">
        <f t="shared" si="24"/>
        <v>1.0319849925336966E-2</v>
      </c>
      <c r="Y418" s="198">
        <v>2109.98999</v>
      </c>
      <c r="Z418" s="349">
        <f t="shared" si="25"/>
        <v>-5.3035017504078352E-3</v>
      </c>
      <c r="AA418" s="324"/>
      <c r="AB418" s="324"/>
      <c r="AC418" s="324"/>
      <c r="AD418" s="324"/>
      <c r="AE418" s="324"/>
      <c r="AF418" s="324"/>
    </row>
    <row r="419" spans="1:32">
      <c r="A419" s="324"/>
      <c r="B419" s="244"/>
      <c r="C419" s="294"/>
      <c r="D419" s="235"/>
      <c r="E419" s="294"/>
      <c r="F419" s="235"/>
      <c r="G419" s="324"/>
      <c r="H419" s="324"/>
      <c r="I419" s="324"/>
      <c r="J419" s="324"/>
      <c r="K419" s="324"/>
      <c r="L419" s="324"/>
      <c r="M419" s="294"/>
      <c r="N419" s="235"/>
      <c r="O419" s="324"/>
      <c r="P419" s="235"/>
      <c r="Q419" s="324"/>
      <c r="R419" s="324"/>
      <c r="S419" s="324"/>
      <c r="T419" s="324"/>
      <c r="U419" s="324"/>
      <c r="V419" s="377">
        <v>42173</v>
      </c>
      <c r="W419" s="198">
        <v>78.489998</v>
      </c>
      <c r="X419" s="349">
        <f t="shared" si="24"/>
        <v>2.9388703567883034E-3</v>
      </c>
      <c r="Y419" s="198">
        <v>2121.23999</v>
      </c>
      <c r="Z419" s="349">
        <f t="shared" si="25"/>
        <v>9.9027106626514705E-3</v>
      </c>
      <c r="AA419" s="324"/>
      <c r="AB419" s="324"/>
      <c r="AC419" s="324"/>
      <c r="AD419" s="324"/>
      <c r="AE419" s="324"/>
      <c r="AF419" s="324"/>
    </row>
    <row r="420" spans="1:32">
      <c r="A420" s="324"/>
      <c r="B420" s="244"/>
      <c r="C420" s="294"/>
      <c r="D420" s="235"/>
      <c r="E420" s="294"/>
      <c r="F420" s="235"/>
      <c r="G420" s="324"/>
      <c r="H420" s="324"/>
      <c r="I420" s="324"/>
      <c r="J420" s="324"/>
      <c r="K420" s="324"/>
      <c r="L420" s="324"/>
      <c r="M420" s="294"/>
      <c r="N420" s="235"/>
      <c r="O420" s="324"/>
      <c r="P420" s="235"/>
      <c r="Q420" s="324"/>
      <c r="R420" s="324"/>
      <c r="S420" s="324"/>
      <c r="T420" s="324"/>
      <c r="U420" s="324"/>
      <c r="V420" s="377">
        <v>42172</v>
      </c>
      <c r="W420" s="198">
        <v>78.260002</v>
      </c>
      <c r="X420" s="349">
        <f t="shared" si="24"/>
        <v>-3.1843076503806911E-3</v>
      </c>
      <c r="Y420" s="198">
        <v>2100.4399410000001</v>
      </c>
      <c r="Z420" s="349">
        <f t="shared" si="25"/>
        <v>1.9796411387709156E-3</v>
      </c>
      <c r="AA420" s="324"/>
      <c r="AB420" s="324"/>
      <c r="AC420" s="324"/>
      <c r="AD420" s="324"/>
      <c r="AE420" s="324"/>
      <c r="AF420" s="324"/>
    </row>
    <row r="421" spans="1:32">
      <c r="A421" s="324"/>
      <c r="B421" s="244"/>
      <c r="C421" s="294"/>
      <c r="D421" s="235"/>
      <c r="E421" s="294"/>
      <c r="F421" s="235"/>
      <c r="G421" s="324"/>
      <c r="H421" s="324"/>
      <c r="I421" s="324"/>
      <c r="J421" s="324"/>
      <c r="K421" s="324"/>
      <c r="L421" s="324"/>
      <c r="M421" s="294"/>
      <c r="N421" s="235"/>
      <c r="O421" s="324"/>
      <c r="P421" s="235"/>
      <c r="Q421" s="324"/>
      <c r="R421" s="324"/>
      <c r="S421" s="324"/>
      <c r="T421" s="324"/>
      <c r="U421" s="324"/>
      <c r="V421" s="377">
        <v>42171</v>
      </c>
      <c r="W421" s="198">
        <v>78.510002</v>
      </c>
      <c r="X421" s="349">
        <f t="shared" si="24"/>
        <v>-1.7800380984097641E-3</v>
      </c>
      <c r="Y421" s="198">
        <v>2096.290039</v>
      </c>
      <c r="Z421" s="349">
        <f t="shared" si="25"/>
        <v>5.6898564053051714E-3</v>
      </c>
      <c r="AA421" s="324"/>
      <c r="AB421" s="324"/>
      <c r="AC421" s="324"/>
      <c r="AD421" s="324"/>
      <c r="AE421" s="324"/>
      <c r="AF421" s="324"/>
    </row>
    <row r="422" spans="1:32">
      <c r="A422" s="324"/>
      <c r="B422" s="244"/>
      <c r="C422" s="294"/>
      <c r="D422" s="235"/>
      <c r="E422" s="294"/>
      <c r="F422" s="235"/>
      <c r="G422" s="324"/>
      <c r="H422" s="324"/>
      <c r="I422" s="324"/>
      <c r="J422" s="324"/>
      <c r="K422" s="324"/>
      <c r="L422" s="324"/>
      <c r="M422" s="294"/>
      <c r="N422" s="235"/>
      <c r="O422" s="324"/>
      <c r="P422" s="235"/>
      <c r="Q422" s="324"/>
      <c r="R422" s="324"/>
      <c r="S422" s="324"/>
      <c r="T422" s="324"/>
      <c r="U422" s="324"/>
      <c r="V422" s="377">
        <v>42170</v>
      </c>
      <c r="W422" s="198">
        <v>78.650002000000001</v>
      </c>
      <c r="X422" s="349">
        <f t="shared" si="24"/>
        <v>5.883105105944253E-3</v>
      </c>
      <c r="Y422" s="198">
        <v>2084.429932</v>
      </c>
      <c r="Z422" s="349">
        <f t="shared" si="25"/>
        <v>-4.6225721215145121E-3</v>
      </c>
      <c r="AA422" s="324"/>
      <c r="AB422" s="324"/>
      <c r="AC422" s="324"/>
      <c r="AD422" s="324"/>
      <c r="AE422" s="324"/>
      <c r="AF422" s="324"/>
    </row>
    <row r="423" spans="1:32">
      <c r="A423" s="324"/>
      <c r="B423" s="244"/>
      <c r="C423" s="294"/>
      <c r="D423" s="235"/>
      <c r="E423" s="294"/>
      <c r="F423" s="235"/>
      <c r="G423" s="324"/>
      <c r="H423" s="324"/>
      <c r="I423" s="324"/>
      <c r="J423" s="324"/>
      <c r="K423" s="324"/>
      <c r="L423" s="324"/>
      <c r="M423" s="294"/>
      <c r="N423" s="235"/>
      <c r="O423" s="324"/>
      <c r="P423" s="235"/>
      <c r="Q423" s="324"/>
      <c r="R423" s="324"/>
      <c r="S423" s="324"/>
      <c r="T423" s="324"/>
      <c r="U423" s="324"/>
      <c r="V423" s="377">
        <v>42167</v>
      </c>
      <c r="W423" s="198">
        <v>78.190002000000007</v>
      </c>
      <c r="X423" s="349">
        <f t="shared" si="24"/>
        <v>-4.583080665190975E-3</v>
      </c>
      <c r="Y423" s="198">
        <v>2094.110107</v>
      </c>
      <c r="Z423" s="349">
        <f t="shared" si="25"/>
        <v>-6.9942998831643566E-3</v>
      </c>
      <c r="AA423" s="324"/>
      <c r="AB423" s="324"/>
      <c r="AC423" s="324"/>
      <c r="AD423" s="324"/>
      <c r="AE423" s="324"/>
      <c r="AF423" s="324"/>
    </row>
    <row r="424" spans="1:32">
      <c r="A424" s="324"/>
      <c r="B424" s="244"/>
      <c r="C424" s="294"/>
      <c r="D424" s="235"/>
      <c r="E424" s="294"/>
      <c r="F424" s="235"/>
      <c r="G424" s="324"/>
      <c r="H424" s="324"/>
      <c r="I424" s="324"/>
      <c r="J424" s="324"/>
      <c r="K424" s="324"/>
      <c r="L424" s="324"/>
      <c r="M424" s="294"/>
      <c r="N424" s="235"/>
      <c r="O424" s="324"/>
      <c r="P424" s="235"/>
      <c r="Q424" s="324"/>
      <c r="R424" s="324"/>
      <c r="S424" s="324"/>
      <c r="T424" s="324"/>
      <c r="U424" s="324"/>
      <c r="V424" s="377">
        <v>42166</v>
      </c>
      <c r="W424" s="198">
        <v>78.550003000000004</v>
      </c>
      <c r="X424" s="349">
        <f t="shared" si="24"/>
        <v>1.7854737005242871E-3</v>
      </c>
      <c r="Y424" s="198">
        <v>2108.860107</v>
      </c>
      <c r="Z424" s="349">
        <f t="shared" si="25"/>
        <v>1.7386262992553636E-3</v>
      </c>
      <c r="AA424" s="324"/>
      <c r="AB424" s="324"/>
      <c r="AC424" s="324"/>
      <c r="AD424" s="324"/>
      <c r="AE424" s="324"/>
      <c r="AF424" s="324"/>
    </row>
    <row r="425" spans="1:32">
      <c r="A425" s="324"/>
      <c r="B425" s="244"/>
      <c r="C425" s="294"/>
      <c r="D425" s="235"/>
      <c r="E425" s="294"/>
      <c r="F425" s="235"/>
      <c r="G425" s="324"/>
      <c r="H425" s="324"/>
      <c r="I425" s="324"/>
      <c r="J425" s="324"/>
      <c r="K425" s="324"/>
      <c r="L425" s="324"/>
      <c r="M425" s="294"/>
      <c r="N425" s="235"/>
      <c r="O425" s="324"/>
      <c r="P425" s="235"/>
      <c r="Q425" s="324"/>
      <c r="R425" s="324"/>
      <c r="S425" s="324"/>
      <c r="T425" s="324"/>
      <c r="U425" s="324"/>
      <c r="V425" s="377">
        <v>42165</v>
      </c>
      <c r="W425" s="198">
        <v>78.410004000000001</v>
      </c>
      <c r="X425" s="349">
        <f t="shared" si="24"/>
        <v>1.344191494990632E-2</v>
      </c>
      <c r="Y425" s="198">
        <v>2105.1999510000001</v>
      </c>
      <c r="Z425" s="349">
        <f t="shared" si="25"/>
        <v>1.204242491174079E-2</v>
      </c>
      <c r="AA425" s="324"/>
      <c r="AB425" s="324"/>
      <c r="AC425" s="324"/>
      <c r="AD425" s="324"/>
      <c r="AE425" s="324"/>
      <c r="AF425" s="324"/>
    </row>
    <row r="426" spans="1:32">
      <c r="A426" s="324"/>
      <c r="B426" s="244"/>
      <c r="C426" s="294"/>
      <c r="D426" s="235"/>
      <c r="E426" s="294"/>
      <c r="F426" s="235"/>
      <c r="G426" s="324"/>
      <c r="H426" s="324"/>
      <c r="I426" s="324"/>
      <c r="J426" s="324"/>
      <c r="K426" s="324"/>
      <c r="L426" s="324"/>
      <c r="M426" s="294"/>
      <c r="N426" s="235"/>
      <c r="O426" s="324"/>
      <c r="P426" s="235"/>
      <c r="Q426" s="324"/>
      <c r="R426" s="324"/>
      <c r="S426" s="324"/>
      <c r="T426" s="324"/>
      <c r="U426" s="324"/>
      <c r="V426" s="377">
        <v>42164</v>
      </c>
      <c r="W426" s="198">
        <v>77.370002999999997</v>
      </c>
      <c r="X426" s="349">
        <f t="shared" si="24"/>
        <v>-1.1119568280152592E-2</v>
      </c>
      <c r="Y426" s="198">
        <v>2080.1499020000001</v>
      </c>
      <c r="Z426" s="349">
        <f t="shared" si="25"/>
        <v>4.1835298173786839E-4</v>
      </c>
      <c r="AA426" s="324"/>
      <c r="AB426" s="324"/>
      <c r="AC426" s="324"/>
      <c r="AD426" s="324"/>
      <c r="AE426" s="324"/>
      <c r="AF426" s="324"/>
    </row>
    <row r="427" spans="1:32">
      <c r="A427" s="324"/>
      <c r="B427" s="244"/>
      <c r="C427" s="294"/>
      <c r="D427" s="235"/>
      <c r="E427" s="294"/>
      <c r="F427" s="235"/>
      <c r="G427" s="324"/>
      <c r="H427" s="324"/>
      <c r="I427" s="324"/>
      <c r="J427" s="324"/>
      <c r="K427" s="324"/>
      <c r="L427" s="324"/>
      <c r="M427" s="294"/>
      <c r="N427" s="235"/>
      <c r="O427" s="324"/>
      <c r="P427" s="235"/>
      <c r="Q427" s="324"/>
      <c r="R427" s="324"/>
      <c r="S427" s="324"/>
      <c r="T427" s="324"/>
      <c r="U427" s="324"/>
      <c r="V427" s="377">
        <v>42163</v>
      </c>
      <c r="W427" s="198">
        <v>78.239998</v>
      </c>
      <c r="X427" s="349">
        <f t="shared" si="24"/>
        <v>4.3645185015528387E-3</v>
      </c>
      <c r="Y427" s="198">
        <v>2079.280029</v>
      </c>
      <c r="Z427" s="349">
        <f t="shared" si="25"/>
        <v>-6.4745098717947647E-3</v>
      </c>
      <c r="AA427" s="324"/>
      <c r="AB427" s="324"/>
      <c r="AC427" s="324"/>
      <c r="AD427" s="324"/>
      <c r="AE427" s="324"/>
      <c r="AF427" s="324"/>
    </row>
    <row r="428" spans="1:32">
      <c r="A428" s="324"/>
      <c r="B428" s="244"/>
      <c r="C428" s="294"/>
      <c r="D428" s="235"/>
      <c r="E428" s="294"/>
      <c r="F428" s="235"/>
      <c r="G428" s="324"/>
      <c r="H428" s="324"/>
      <c r="I428" s="324"/>
      <c r="J428" s="324"/>
      <c r="K428" s="324"/>
      <c r="L428" s="324"/>
      <c r="M428" s="294"/>
      <c r="N428" s="235"/>
      <c r="O428" s="324"/>
      <c r="P428" s="235"/>
      <c r="Q428" s="324"/>
      <c r="R428" s="324"/>
      <c r="S428" s="324"/>
      <c r="T428" s="324"/>
      <c r="U428" s="324"/>
      <c r="V428" s="377">
        <v>42160</v>
      </c>
      <c r="W428" s="198">
        <v>77.900002000000001</v>
      </c>
      <c r="X428" s="349">
        <f t="shared" si="24"/>
        <v>1.1294340014206705E-2</v>
      </c>
      <c r="Y428" s="198">
        <v>2092.830078</v>
      </c>
      <c r="Z428" s="349">
        <f t="shared" si="25"/>
        <v>-1.4361830452781499E-3</v>
      </c>
      <c r="AA428" s="324"/>
      <c r="AB428" s="324"/>
      <c r="AC428" s="324"/>
      <c r="AD428" s="324"/>
      <c r="AE428" s="324"/>
      <c r="AF428" s="324"/>
    </row>
    <row r="429" spans="1:32">
      <c r="A429" s="324"/>
      <c r="B429" s="244"/>
      <c r="C429" s="294"/>
      <c r="D429" s="235"/>
      <c r="E429" s="294"/>
      <c r="F429" s="235"/>
      <c r="G429" s="324"/>
      <c r="H429" s="324"/>
      <c r="I429" s="324"/>
      <c r="J429" s="324"/>
      <c r="K429" s="324"/>
      <c r="L429" s="324"/>
      <c r="M429" s="294"/>
      <c r="N429" s="235"/>
      <c r="O429" s="324"/>
      <c r="P429" s="235"/>
      <c r="Q429" s="324"/>
      <c r="R429" s="324"/>
      <c r="S429" s="324"/>
      <c r="T429" s="324"/>
      <c r="U429" s="324"/>
      <c r="V429" s="377">
        <v>42159</v>
      </c>
      <c r="W429" s="198">
        <v>77.029999000000004</v>
      </c>
      <c r="X429" s="349">
        <f t="shared" si="24"/>
        <v>-1.0278851078533768E-2</v>
      </c>
      <c r="Y429" s="198">
        <v>2095.8400879999999</v>
      </c>
      <c r="Z429" s="349">
        <f t="shared" si="25"/>
        <v>-8.6231673566271594E-3</v>
      </c>
      <c r="AA429" s="324"/>
      <c r="AB429" s="324"/>
      <c r="AC429" s="324"/>
      <c r="AD429" s="324"/>
      <c r="AE429" s="324"/>
      <c r="AF429" s="324"/>
    </row>
    <row r="430" spans="1:32">
      <c r="A430" s="324"/>
      <c r="B430" s="244"/>
      <c r="C430" s="294"/>
      <c r="D430" s="235"/>
      <c r="E430" s="294"/>
      <c r="F430" s="235"/>
      <c r="G430" s="324"/>
      <c r="H430" s="324"/>
      <c r="I430" s="324"/>
      <c r="J430" s="324"/>
      <c r="K430" s="324"/>
      <c r="L430" s="324"/>
      <c r="M430" s="294"/>
      <c r="N430" s="235"/>
      <c r="O430" s="324"/>
      <c r="P430" s="235"/>
      <c r="Q430" s="324"/>
      <c r="R430" s="324"/>
      <c r="S430" s="324"/>
      <c r="T430" s="324"/>
      <c r="U430" s="324"/>
      <c r="V430" s="377">
        <v>42158</v>
      </c>
      <c r="W430" s="198">
        <v>77.830001999999993</v>
      </c>
      <c r="X430" s="349">
        <f t="shared" si="24"/>
        <v>4.1284994419170662E-3</v>
      </c>
      <c r="Y430" s="198">
        <v>2114.070068</v>
      </c>
      <c r="Z430" s="349">
        <f t="shared" si="25"/>
        <v>2.1188707775647853E-3</v>
      </c>
      <c r="AA430" s="324"/>
      <c r="AB430" s="324"/>
      <c r="AC430" s="324"/>
      <c r="AD430" s="324"/>
      <c r="AE430" s="324"/>
      <c r="AF430" s="324"/>
    </row>
    <row r="431" spans="1:32">
      <c r="A431" s="324"/>
      <c r="B431" s="244"/>
      <c r="C431" s="294"/>
      <c r="D431" s="235"/>
      <c r="E431" s="294"/>
      <c r="F431" s="235"/>
      <c r="G431" s="324"/>
      <c r="H431" s="324"/>
      <c r="I431" s="324"/>
      <c r="J431" s="324"/>
      <c r="K431" s="324"/>
      <c r="L431" s="324"/>
      <c r="M431" s="294"/>
      <c r="N431" s="235"/>
      <c r="O431" s="324"/>
      <c r="P431" s="235"/>
      <c r="Q431" s="324"/>
      <c r="R431" s="324"/>
      <c r="S431" s="324"/>
      <c r="T431" s="324"/>
      <c r="U431" s="324"/>
      <c r="V431" s="377">
        <v>42157</v>
      </c>
      <c r="W431" s="198">
        <v>77.510002</v>
      </c>
      <c r="X431" s="349">
        <f t="shared" si="24"/>
        <v>1.0033933021473374E-2</v>
      </c>
      <c r="Y431" s="198">
        <v>2109.6000979999999</v>
      </c>
      <c r="Z431" s="349">
        <f t="shared" si="25"/>
        <v>-1.0085958054164568E-3</v>
      </c>
      <c r="AA431" s="324"/>
      <c r="AB431" s="324"/>
      <c r="AC431" s="324"/>
      <c r="AD431" s="324"/>
      <c r="AE431" s="324"/>
      <c r="AF431" s="324"/>
    </row>
    <row r="432" spans="1:32">
      <c r="A432" s="324"/>
      <c r="B432" s="244"/>
      <c r="C432" s="294"/>
      <c r="D432" s="235"/>
      <c r="E432" s="294"/>
      <c r="F432" s="235"/>
      <c r="G432" s="324"/>
      <c r="H432" s="324"/>
      <c r="I432" s="324"/>
      <c r="J432" s="324"/>
      <c r="K432" s="324"/>
      <c r="L432" s="324"/>
      <c r="M432" s="294"/>
      <c r="N432" s="235"/>
      <c r="O432" s="324"/>
      <c r="P432" s="235"/>
      <c r="Q432" s="324"/>
      <c r="R432" s="324"/>
      <c r="S432" s="324"/>
      <c r="T432" s="324"/>
      <c r="U432" s="324"/>
      <c r="V432" s="377">
        <v>42156</v>
      </c>
      <c r="W432" s="198">
        <v>76.739998</v>
      </c>
      <c r="X432" s="349">
        <f t="shared" si="24"/>
        <v>-6.8590529387493326E-3</v>
      </c>
      <c r="Y432" s="198">
        <v>2111.7299800000001</v>
      </c>
      <c r="Z432" s="349">
        <f t="shared" si="25"/>
        <v>2.0594608593389463E-3</v>
      </c>
      <c r="AA432" s="324"/>
      <c r="AB432" s="324"/>
      <c r="AC432" s="324"/>
      <c r="AD432" s="324"/>
      <c r="AE432" s="324"/>
      <c r="AF432" s="324"/>
    </row>
    <row r="433" spans="1:32">
      <c r="A433" s="324"/>
      <c r="B433" s="244"/>
      <c r="C433" s="294"/>
      <c r="D433" s="235"/>
      <c r="E433" s="294"/>
      <c r="F433" s="235"/>
      <c r="G433" s="324"/>
      <c r="H433" s="324"/>
      <c r="I433" s="324"/>
      <c r="J433" s="324"/>
      <c r="K433" s="324"/>
      <c r="L433" s="324"/>
      <c r="M433" s="294"/>
      <c r="N433" s="235"/>
      <c r="O433" s="324"/>
      <c r="P433" s="235"/>
      <c r="Q433" s="324"/>
      <c r="R433" s="324"/>
      <c r="S433" s="324"/>
      <c r="T433" s="324"/>
      <c r="U433" s="324"/>
      <c r="V433" s="377">
        <v>42153</v>
      </c>
      <c r="W433" s="198">
        <v>77.269997000000004</v>
      </c>
      <c r="X433" s="349">
        <f t="shared" si="24"/>
        <v>-6.5569813134094268E-3</v>
      </c>
      <c r="Y433" s="198">
        <v>2107.389893</v>
      </c>
      <c r="Z433" s="349">
        <f t="shared" si="25"/>
        <v>-6.3184689448647635E-3</v>
      </c>
      <c r="AA433" s="324"/>
      <c r="AB433" s="324"/>
      <c r="AC433" s="324"/>
      <c r="AD433" s="324"/>
      <c r="AE433" s="324"/>
      <c r="AF433" s="324"/>
    </row>
    <row r="434" spans="1:32">
      <c r="A434" s="324"/>
      <c r="B434" s="244"/>
      <c r="C434" s="294"/>
      <c r="D434" s="235"/>
      <c r="E434" s="294"/>
      <c r="F434" s="235"/>
      <c r="G434" s="324"/>
      <c r="H434" s="324"/>
      <c r="I434" s="324"/>
      <c r="J434" s="324"/>
      <c r="K434" s="324"/>
      <c r="L434" s="324"/>
      <c r="M434" s="294"/>
      <c r="N434" s="235"/>
      <c r="O434" s="324"/>
      <c r="P434" s="235"/>
      <c r="Q434" s="324"/>
      <c r="R434" s="324"/>
      <c r="S434" s="324"/>
      <c r="T434" s="324"/>
      <c r="U434" s="324"/>
      <c r="V434" s="377">
        <v>42152</v>
      </c>
      <c r="W434" s="198">
        <v>77.779999000000004</v>
      </c>
      <c r="X434" s="349">
        <f t="shared" si="24"/>
        <v>-8.9195205560834712E-3</v>
      </c>
      <c r="Y434" s="198">
        <v>2120.790039</v>
      </c>
      <c r="Z434" s="349">
        <f t="shared" si="25"/>
        <v>-1.2667607066396691E-3</v>
      </c>
      <c r="AA434" s="324"/>
      <c r="AB434" s="324"/>
      <c r="AC434" s="324"/>
      <c r="AD434" s="324"/>
      <c r="AE434" s="324"/>
      <c r="AF434" s="324"/>
    </row>
    <row r="435" spans="1:32">
      <c r="A435" s="324"/>
      <c r="B435" s="244"/>
      <c r="C435" s="294"/>
      <c r="D435" s="235"/>
      <c r="E435" s="294"/>
      <c r="F435" s="235"/>
      <c r="G435" s="324"/>
      <c r="H435" s="324"/>
      <c r="I435" s="324"/>
      <c r="J435" s="324"/>
      <c r="K435" s="324"/>
      <c r="L435" s="324"/>
      <c r="M435" s="294"/>
      <c r="N435" s="235"/>
      <c r="O435" s="324"/>
      <c r="P435" s="235"/>
      <c r="Q435" s="324"/>
      <c r="R435" s="324"/>
      <c r="S435" s="324"/>
      <c r="T435" s="324"/>
      <c r="U435" s="324"/>
      <c r="V435" s="377">
        <v>42151</v>
      </c>
      <c r="W435" s="198">
        <v>78.480002999999996</v>
      </c>
      <c r="X435" s="349">
        <f t="shared" si="24"/>
        <v>1.5528002271324892E-2</v>
      </c>
      <c r="Y435" s="198">
        <v>2123.4799800000001</v>
      </c>
      <c r="Z435" s="349">
        <f t="shared" si="25"/>
        <v>9.1626411220271375E-3</v>
      </c>
      <c r="AA435" s="324"/>
      <c r="AB435" s="324"/>
      <c r="AC435" s="324"/>
      <c r="AD435" s="324"/>
      <c r="AE435" s="324"/>
      <c r="AF435" s="324"/>
    </row>
    <row r="436" spans="1:32">
      <c r="A436" s="324"/>
      <c r="B436" s="244"/>
      <c r="C436" s="294"/>
      <c r="D436" s="235"/>
      <c r="E436" s="294"/>
      <c r="F436" s="235"/>
      <c r="G436" s="324"/>
      <c r="H436" s="324"/>
      <c r="I436" s="324"/>
      <c r="J436" s="324"/>
      <c r="K436" s="324"/>
      <c r="L436" s="324"/>
      <c r="M436" s="294"/>
      <c r="N436" s="235"/>
      <c r="O436" s="324"/>
      <c r="P436" s="235"/>
      <c r="Q436" s="324"/>
      <c r="R436" s="324"/>
      <c r="S436" s="324"/>
      <c r="T436" s="324"/>
      <c r="U436" s="324"/>
      <c r="V436" s="377">
        <v>42150</v>
      </c>
      <c r="W436" s="198">
        <v>77.279999000000004</v>
      </c>
      <c r="X436" s="349">
        <f t="shared" si="24"/>
        <v>-1.9413767781087721E-2</v>
      </c>
      <c r="Y436" s="198">
        <v>2104.1999510000001</v>
      </c>
      <c r="Z436" s="349">
        <f t="shared" si="25"/>
        <v>-1.028198046779627E-2</v>
      </c>
      <c r="AA436" s="324"/>
      <c r="AB436" s="324"/>
      <c r="AC436" s="324"/>
      <c r="AD436" s="324"/>
      <c r="AE436" s="324"/>
      <c r="AF436" s="324"/>
    </row>
    <row r="437" spans="1:32">
      <c r="A437" s="324"/>
      <c r="B437" s="244"/>
      <c r="C437" s="294"/>
      <c r="D437" s="235"/>
      <c r="E437" s="294"/>
      <c r="F437" s="235"/>
      <c r="G437" s="324"/>
      <c r="H437" s="324"/>
      <c r="I437" s="324"/>
      <c r="J437" s="324"/>
      <c r="K437" s="324"/>
      <c r="L437" s="324"/>
      <c r="M437" s="294"/>
      <c r="N437" s="235"/>
      <c r="O437" s="324"/>
      <c r="P437" s="235"/>
      <c r="Q437" s="324"/>
      <c r="R437" s="324"/>
      <c r="S437" s="324"/>
      <c r="T437" s="324"/>
      <c r="U437" s="324"/>
      <c r="V437" s="377">
        <v>42146</v>
      </c>
      <c r="W437" s="198">
        <v>78.809997999999993</v>
      </c>
      <c r="X437" s="349">
        <f t="shared" si="24"/>
        <v>-2.5376125196596711E-4</v>
      </c>
      <c r="Y437" s="198">
        <v>2126.0600589999999</v>
      </c>
      <c r="Z437" s="349">
        <f t="shared" si="25"/>
        <v>-2.2338859444231973E-3</v>
      </c>
      <c r="AA437" s="324"/>
      <c r="AB437" s="324"/>
      <c r="AC437" s="324"/>
      <c r="AD437" s="324"/>
      <c r="AE437" s="324"/>
      <c r="AF437" s="324"/>
    </row>
    <row r="438" spans="1:32">
      <c r="A438" s="324"/>
      <c r="B438" s="244"/>
      <c r="C438" s="294"/>
      <c r="D438" s="235"/>
      <c r="E438" s="294"/>
      <c r="F438" s="235"/>
      <c r="G438" s="324"/>
      <c r="H438" s="324"/>
      <c r="I438" s="324"/>
      <c r="J438" s="324"/>
      <c r="K438" s="324"/>
      <c r="L438" s="324"/>
      <c r="M438" s="294"/>
      <c r="N438" s="235"/>
      <c r="O438" s="324"/>
      <c r="P438" s="235"/>
      <c r="Q438" s="324"/>
      <c r="R438" s="324"/>
      <c r="S438" s="324"/>
      <c r="T438" s="324"/>
      <c r="U438" s="324"/>
      <c r="V438" s="377">
        <v>42145</v>
      </c>
      <c r="W438" s="198">
        <v>78.830001999999993</v>
      </c>
      <c r="X438" s="349">
        <f t="shared" si="24"/>
        <v>4.4597220517434977E-3</v>
      </c>
      <c r="Y438" s="198">
        <v>2130.820068</v>
      </c>
      <c r="Z438" s="349">
        <f t="shared" si="25"/>
        <v>2.3378741542858794E-3</v>
      </c>
      <c r="AA438" s="324"/>
      <c r="AB438" s="324"/>
      <c r="AC438" s="324"/>
      <c r="AD438" s="324"/>
      <c r="AE438" s="324"/>
      <c r="AF438" s="324"/>
    </row>
    <row r="439" spans="1:32">
      <c r="A439" s="324"/>
      <c r="B439" s="244"/>
      <c r="C439" s="294"/>
      <c r="D439" s="235"/>
      <c r="E439" s="294"/>
      <c r="F439" s="235"/>
      <c r="G439" s="324"/>
      <c r="H439" s="324"/>
      <c r="I439" s="324"/>
      <c r="J439" s="324"/>
      <c r="K439" s="324"/>
      <c r="L439" s="324"/>
      <c r="M439" s="294"/>
      <c r="N439" s="235"/>
      <c r="O439" s="324"/>
      <c r="P439" s="235"/>
      <c r="Q439" s="324"/>
      <c r="R439" s="324"/>
      <c r="S439" s="324"/>
      <c r="T439" s="324"/>
      <c r="U439" s="324"/>
      <c r="V439" s="377">
        <v>42144</v>
      </c>
      <c r="W439" s="198">
        <v>78.480002999999996</v>
      </c>
      <c r="X439" s="349">
        <f t="shared" si="24"/>
        <v>4.3512158222576147E-3</v>
      </c>
      <c r="Y439" s="198">
        <v>2125.8500979999999</v>
      </c>
      <c r="Z439" s="349">
        <f t="shared" si="25"/>
        <v>-9.3051603155314133E-4</v>
      </c>
      <c r="AA439" s="324"/>
      <c r="AB439" s="324"/>
      <c r="AC439" s="324"/>
      <c r="AD439" s="324"/>
      <c r="AE439" s="324"/>
      <c r="AF439" s="324"/>
    </row>
    <row r="440" spans="1:32">
      <c r="A440" s="324"/>
      <c r="B440" s="244"/>
      <c r="C440" s="294"/>
      <c r="D440" s="235"/>
      <c r="E440" s="294"/>
      <c r="F440" s="235"/>
      <c r="G440" s="324"/>
      <c r="H440" s="324"/>
      <c r="I440" s="324"/>
      <c r="J440" s="324"/>
      <c r="K440" s="324"/>
      <c r="L440" s="324"/>
      <c r="M440" s="294"/>
      <c r="N440" s="235"/>
      <c r="O440" s="324"/>
      <c r="P440" s="235"/>
      <c r="Q440" s="324"/>
      <c r="R440" s="324"/>
      <c r="S440" s="324"/>
      <c r="T440" s="324"/>
      <c r="U440" s="324"/>
      <c r="V440" s="377">
        <v>42143</v>
      </c>
      <c r="W440" s="198">
        <v>78.139999000000003</v>
      </c>
      <c r="X440" s="349">
        <f t="shared" si="24"/>
        <v>-4.4591541459843009E-3</v>
      </c>
      <c r="Y440" s="198">
        <v>2127.830078</v>
      </c>
      <c r="Z440" s="349">
        <f t="shared" si="25"/>
        <v>-6.43374521663298E-4</v>
      </c>
      <c r="AA440" s="324"/>
      <c r="AB440" s="324"/>
      <c r="AC440" s="324"/>
      <c r="AD440" s="324"/>
      <c r="AE440" s="324"/>
      <c r="AF440" s="324"/>
    </row>
    <row r="441" spans="1:32">
      <c r="A441" s="324"/>
      <c r="B441" s="244"/>
      <c r="C441" s="294"/>
      <c r="D441" s="235"/>
      <c r="E441" s="294"/>
      <c r="F441" s="235"/>
      <c r="G441" s="324"/>
      <c r="H441" s="324"/>
      <c r="I441" s="324"/>
      <c r="J441" s="324"/>
      <c r="K441" s="324"/>
      <c r="L441" s="324"/>
      <c r="M441" s="294"/>
      <c r="N441" s="235"/>
      <c r="O441" s="324"/>
      <c r="P441" s="235"/>
      <c r="Q441" s="324"/>
      <c r="R441" s="324"/>
      <c r="S441" s="324"/>
      <c r="T441" s="324"/>
      <c r="U441" s="324"/>
      <c r="V441" s="377">
        <v>42142</v>
      </c>
      <c r="W441" s="198">
        <v>78.489998</v>
      </c>
      <c r="X441" s="349">
        <f t="shared" si="24"/>
        <v>9.2580818795711117E-3</v>
      </c>
      <c r="Y441" s="198">
        <v>2129.1999510000001</v>
      </c>
      <c r="Z441" s="349">
        <f t="shared" si="25"/>
        <v>3.0479481898115779E-3</v>
      </c>
      <c r="AA441" s="324"/>
      <c r="AB441" s="324"/>
      <c r="AC441" s="324"/>
      <c r="AD441" s="324"/>
      <c r="AE441" s="324"/>
      <c r="AF441" s="324"/>
    </row>
    <row r="442" spans="1:32">
      <c r="A442" s="324"/>
      <c r="B442" s="244"/>
      <c r="C442" s="294"/>
      <c r="D442" s="235"/>
      <c r="E442" s="294"/>
      <c r="F442" s="235"/>
      <c r="G442" s="324"/>
      <c r="H442" s="324"/>
      <c r="I442" s="324"/>
      <c r="J442" s="324"/>
      <c r="K442" s="324"/>
      <c r="L442" s="324"/>
      <c r="M442" s="294"/>
      <c r="N442" s="235"/>
      <c r="O442" s="324"/>
      <c r="P442" s="235"/>
      <c r="Q442" s="324"/>
      <c r="R442" s="324"/>
      <c r="S442" s="324"/>
      <c r="T442" s="324"/>
      <c r="U442" s="324"/>
      <c r="V442" s="377">
        <v>42139</v>
      </c>
      <c r="W442" s="198">
        <v>77.769997000000004</v>
      </c>
      <c r="X442" s="349">
        <f t="shared" si="24"/>
        <v>-3.0765926656429743E-3</v>
      </c>
      <c r="Y442" s="198">
        <v>2122.7299800000001</v>
      </c>
      <c r="Z442" s="349">
        <f t="shared" si="25"/>
        <v>7.6841352349998893E-4</v>
      </c>
      <c r="AA442" s="324"/>
      <c r="AB442" s="324"/>
      <c r="AC442" s="324"/>
      <c r="AD442" s="324"/>
      <c r="AE442" s="324"/>
      <c r="AF442" s="324"/>
    </row>
    <row r="443" spans="1:32">
      <c r="A443" s="324"/>
      <c r="B443" s="244"/>
      <c r="C443" s="294"/>
      <c r="D443" s="235"/>
      <c r="E443" s="294"/>
      <c r="F443" s="235"/>
      <c r="G443" s="324"/>
      <c r="H443" s="324"/>
      <c r="I443" s="324"/>
      <c r="J443" s="324"/>
      <c r="K443" s="324"/>
      <c r="L443" s="324"/>
      <c r="M443" s="294"/>
      <c r="N443" s="235"/>
      <c r="O443" s="324"/>
      <c r="P443" s="235"/>
      <c r="Q443" s="324"/>
      <c r="R443" s="324"/>
      <c r="S443" s="324"/>
      <c r="T443" s="324"/>
      <c r="U443" s="324"/>
      <c r="V443" s="377">
        <v>42138</v>
      </c>
      <c r="W443" s="198">
        <v>78.010002</v>
      </c>
      <c r="X443" s="349">
        <f t="shared" si="24"/>
        <v>1.8540358717344718E-2</v>
      </c>
      <c r="Y443" s="198">
        <v>2121.1000979999999</v>
      </c>
      <c r="Z443" s="349">
        <f t="shared" si="25"/>
        <v>1.077928701516595E-2</v>
      </c>
      <c r="AA443" s="324"/>
      <c r="AB443" s="324"/>
      <c r="AC443" s="324"/>
      <c r="AD443" s="324"/>
      <c r="AE443" s="324"/>
      <c r="AF443" s="324"/>
    </row>
    <row r="444" spans="1:32">
      <c r="A444" s="324"/>
      <c r="B444" s="244"/>
      <c r="C444" s="294"/>
      <c r="D444" s="235"/>
      <c r="E444" s="294"/>
      <c r="F444" s="235"/>
      <c r="G444" s="324"/>
      <c r="H444" s="324"/>
      <c r="I444" s="324"/>
      <c r="J444" s="324"/>
      <c r="K444" s="324"/>
      <c r="L444" s="324"/>
      <c r="M444" s="294"/>
      <c r="N444" s="235"/>
      <c r="O444" s="324"/>
      <c r="P444" s="235"/>
      <c r="Q444" s="324"/>
      <c r="R444" s="324"/>
      <c r="S444" s="324"/>
      <c r="T444" s="324"/>
      <c r="U444" s="324"/>
      <c r="V444" s="377">
        <v>42137</v>
      </c>
      <c r="W444" s="198">
        <v>76.589995999999999</v>
      </c>
      <c r="X444" s="349">
        <f t="shared" si="24"/>
        <v>5.9101261611520517E-3</v>
      </c>
      <c r="Y444" s="198">
        <v>2098.4799800000001</v>
      </c>
      <c r="Z444" s="349">
        <f t="shared" si="25"/>
        <v>-3.0495491649840112E-4</v>
      </c>
      <c r="AA444" s="324"/>
      <c r="AB444" s="324"/>
      <c r="AC444" s="324"/>
      <c r="AD444" s="324"/>
      <c r="AE444" s="324"/>
      <c r="AF444" s="324"/>
    </row>
    <row r="445" spans="1:32">
      <c r="A445" s="324"/>
      <c r="B445" s="244"/>
      <c r="C445" s="294"/>
      <c r="D445" s="235"/>
      <c r="E445" s="294"/>
      <c r="F445" s="235"/>
      <c r="G445" s="324"/>
      <c r="H445" s="324"/>
      <c r="I445" s="324"/>
      <c r="J445" s="324"/>
      <c r="K445" s="324"/>
      <c r="L445" s="324"/>
      <c r="M445" s="294"/>
      <c r="N445" s="235"/>
      <c r="O445" s="324"/>
      <c r="P445" s="235"/>
      <c r="Q445" s="324"/>
      <c r="R445" s="324"/>
      <c r="S445" s="324"/>
      <c r="T445" s="324"/>
      <c r="U445" s="324"/>
      <c r="V445" s="377">
        <v>42136</v>
      </c>
      <c r="W445" s="198">
        <v>76.139999000000003</v>
      </c>
      <c r="X445" s="349">
        <f t="shared" si="24"/>
        <v>-3.1421577563036651E-3</v>
      </c>
      <c r="Y445" s="198">
        <v>2099.1201169999999</v>
      </c>
      <c r="Z445" s="349">
        <f t="shared" si="25"/>
        <v>-2.949637714718456E-3</v>
      </c>
      <c r="AA445" s="324"/>
      <c r="AB445" s="324"/>
      <c r="AC445" s="324"/>
      <c r="AD445" s="324"/>
      <c r="AE445" s="324"/>
      <c r="AF445" s="324"/>
    </row>
    <row r="446" spans="1:32">
      <c r="A446" s="324"/>
      <c r="B446" s="244"/>
      <c r="C446" s="294"/>
      <c r="D446" s="235"/>
      <c r="E446" s="294"/>
      <c r="F446" s="235"/>
      <c r="G446" s="324"/>
      <c r="H446" s="324"/>
      <c r="I446" s="324"/>
      <c r="J446" s="324"/>
      <c r="K446" s="324"/>
      <c r="L446" s="324"/>
      <c r="M446" s="294"/>
      <c r="N446" s="235"/>
      <c r="O446" s="324"/>
      <c r="P446" s="235"/>
      <c r="Q446" s="324"/>
      <c r="R446" s="324"/>
      <c r="S446" s="324"/>
      <c r="T446" s="324"/>
      <c r="U446" s="324"/>
      <c r="V446" s="377">
        <v>42135</v>
      </c>
      <c r="W446" s="198">
        <v>76.379997000000003</v>
      </c>
      <c r="X446" s="349">
        <f t="shared" si="24"/>
        <v>5.2644641248567048E-3</v>
      </c>
      <c r="Y446" s="198">
        <v>2105.330078</v>
      </c>
      <c r="Z446" s="349">
        <f t="shared" si="25"/>
        <v>-5.0895607491248107E-3</v>
      </c>
      <c r="AA446" s="324"/>
      <c r="AB446" s="324"/>
      <c r="AC446" s="324"/>
      <c r="AD446" s="324"/>
      <c r="AE446" s="324"/>
      <c r="AF446" s="324"/>
    </row>
    <row r="447" spans="1:32">
      <c r="A447" s="324"/>
      <c r="B447" s="244"/>
      <c r="C447" s="294"/>
      <c r="D447" s="235"/>
      <c r="E447" s="294"/>
      <c r="F447" s="235"/>
      <c r="G447" s="324"/>
      <c r="H447" s="324"/>
      <c r="I447" s="324"/>
      <c r="J447" s="324"/>
      <c r="K447" s="324"/>
      <c r="L447" s="324"/>
      <c r="M447" s="294"/>
      <c r="N447" s="235"/>
      <c r="O447" s="324"/>
      <c r="P447" s="235"/>
      <c r="Q447" s="324"/>
      <c r="R447" s="324"/>
      <c r="S447" s="324"/>
      <c r="T447" s="324"/>
      <c r="U447" s="324"/>
      <c r="V447" s="377">
        <v>42132</v>
      </c>
      <c r="W447" s="198">
        <v>75.980002999999996</v>
      </c>
      <c r="X447" s="349">
        <f t="shared" si="24"/>
        <v>1.6318900044973272E-2</v>
      </c>
      <c r="Y447" s="198">
        <v>2116.1000979999999</v>
      </c>
      <c r="Z447" s="349">
        <f t="shared" si="25"/>
        <v>1.3457901340996115E-2</v>
      </c>
      <c r="AA447" s="324"/>
      <c r="AB447" s="324"/>
      <c r="AC447" s="324"/>
      <c r="AD447" s="324"/>
      <c r="AE447" s="324"/>
      <c r="AF447" s="324"/>
    </row>
    <row r="448" spans="1:32">
      <c r="A448" s="324"/>
      <c r="B448" s="244"/>
      <c r="C448" s="294"/>
      <c r="D448" s="235"/>
      <c r="E448" s="294"/>
      <c r="F448" s="235"/>
      <c r="G448" s="324"/>
      <c r="H448" s="324"/>
      <c r="I448" s="324"/>
      <c r="J448" s="324"/>
      <c r="K448" s="324"/>
      <c r="L448" s="324"/>
      <c r="M448" s="294"/>
      <c r="N448" s="235"/>
      <c r="O448" s="324"/>
      <c r="P448" s="235"/>
      <c r="Q448" s="324"/>
      <c r="R448" s="324"/>
      <c r="S448" s="324"/>
      <c r="T448" s="324"/>
      <c r="U448" s="324"/>
      <c r="V448" s="377">
        <v>42131</v>
      </c>
      <c r="W448" s="198">
        <v>74.760002</v>
      </c>
      <c r="X448" s="349">
        <f t="shared" si="24"/>
        <v>1.3380602006685116E-4</v>
      </c>
      <c r="Y448" s="198">
        <v>2088</v>
      </c>
      <c r="Z448" s="349">
        <f t="shared" si="25"/>
        <v>3.7738136047080761E-3</v>
      </c>
      <c r="AA448" s="324"/>
      <c r="AB448" s="324"/>
      <c r="AC448" s="324"/>
      <c r="AD448" s="324"/>
      <c r="AE448" s="324"/>
      <c r="AF448" s="324"/>
    </row>
    <row r="449" spans="1:32">
      <c r="A449" s="324"/>
      <c r="B449" s="244"/>
      <c r="C449" s="294"/>
      <c r="D449" s="235"/>
      <c r="E449" s="294"/>
      <c r="F449" s="235"/>
      <c r="G449" s="324"/>
      <c r="H449" s="324"/>
      <c r="I449" s="324"/>
      <c r="J449" s="324"/>
      <c r="K449" s="324"/>
      <c r="L449" s="324"/>
      <c r="M449" s="294"/>
      <c r="N449" s="235"/>
      <c r="O449" s="324"/>
      <c r="P449" s="235"/>
      <c r="Q449" s="324"/>
      <c r="R449" s="324"/>
      <c r="S449" s="324"/>
      <c r="T449" s="324"/>
      <c r="U449" s="324"/>
      <c r="V449" s="377">
        <v>42130</v>
      </c>
      <c r="W449" s="198">
        <v>74.75</v>
      </c>
      <c r="X449" s="349">
        <f t="shared" si="24"/>
        <v>-3.3333333333332993E-3</v>
      </c>
      <c r="Y449" s="198">
        <v>2080.1499020000001</v>
      </c>
      <c r="Z449" s="349">
        <f t="shared" si="25"/>
        <v>-4.4557250073096188E-3</v>
      </c>
      <c r="AA449" s="324"/>
      <c r="AB449" s="324"/>
      <c r="AC449" s="324"/>
      <c r="AD449" s="324"/>
      <c r="AE449" s="324"/>
      <c r="AF449" s="324"/>
    </row>
    <row r="450" spans="1:32">
      <c r="A450" s="324"/>
      <c r="B450" s="244"/>
      <c r="C450" s="294"/>
      <c r="D450" s="235"/>
      <c r="E450" s="294"/>
      <c r="F450" s="235"/>
      <c r="G450" s="324"/>
      <c r="H450" s="324"/>
      <c r="I450" s="324"/>
      <c r="J450" s="324"/>
      <c r="K450" s="324"/>
      <c r="L450" s="324"/>
      <c r="M450" s="294"/>
      <c r="N450" s="235"/>
      <c r="O450" s="324"/>
      <c r="P450" s="235"/>
      <c r="Q450" s="324"/>
      <c r="R450" s="324"/>
      <c r="S450" s="324"/>
      <c r="T450" s="324"/>
      <c r="U450" s="324"/>
      <c r="V450" s="377">
        <v>42129</v>
      </c>
      <c r="W450" s="198">
        <v>75</v>
      </c>
      <c r="X450" s="349">
        <f t="shared" si="24"/>
        <v>2.9419765036369228E-3</v>
      </c>
      <c r="Y450" s="198">
        <v>2089.459961</v>
      </c>
      <c r="Z450" s="349">
        <f t="shared" si="25"/>
        <v>-1.1837383538524149E-2</v>
      </c>
      <c r="AA450" s="324"/>
      <c r="AB450" s="324"/>
      <c r="AC450" s="324"/>
      <c r="AD450" s="324"/>
      <c r="AE450" s="324"/>
      <c r="AF450" s="324"/>
    </row>
    <row r="451" spans="1:32">
      <c r="A451" s="324"/>
      <c r="B451" s="244"/>
      <c r="C451" s="294"/>
      <c r="D451" s="235"/>
      <c r="E451" s="294"/>
      <c r="F451" s="235"/>
      <c r="G451" s="324"/>
      <c r="H451" s="324"/>
      <c r="I451" s="324"/>
      <c r="J451" s="324"/>
      <c r="K451" s="324"/>
      <c r="L451" s="324"/>
      <c r="M451" s="294"/>
      <c r="N451" s="235"/>
      <c r="O451" s="324"/>
      <c r="P451" s="235"/>
      <c r="Q451" s="324"/>
      <c r="R451" s="324"/>
      <c r="S451" s="324"/>
      <c r="T451" s="324"/>
      <c r="U451" s="324"/>
      <c r="V451" s="377">
        <v>42128</v>
      </c>
      <c r="W451" s="198">
        <v>74.779999000000004</v>
      </c>
      <c r="X451" s="349">
        <f t="shared" si="24"/>
        <v>-7.6964170953234268E-3</v>
      </c>
      <c r="Y451" s="198">
        <v>2114.48999</v>
      </c>
      <c r="Z451" s="349">
        <f t="shared" si="25"/>
        <v>2.9407486092096757E-3</v>
      </c>
      <c r="AA451" s="324"/>
      <c r="AB451" s="324"/>
      <c r="AC451" s="324"/>
      <c r="AD451" s="324"/>
      <c r="AE451" s="324"/>
      <c r="AF451" s="324"/>
    </row>
    <row r="452" spans="1:32">
      <c r="A452" s="324"/>
      <c r="B452" s="244"/>
      <c r="C452" s="294"/>
      <c r="D452" s="235"/>
      <c r="E452" s="294"/>
      <c r="F452" s="235"/>
      <c r="G452" s="324"/>
      <c r="H452" s="324"/>
      <c r="I452" s="324"/>
      <c r="J452" s="324"/>
      <c r="K452" s="324"/>
      <c r="L452" s="324"/>
      <c r="M452" s="294"/>
      <c r="N452" s="235"/>
      <c r="O452" s="324"/>
      <c r="P452" s="235"/>
      <c r="Q452" s="324"/>
      <c r="R452" s="324"/>
      <c r="S452" s="324"/>
      <c r="T452" s="324"/>
      <c r="U452" s="324"/>
      <c r="V452" s="377">
        <v>42125</v>
      </c>
      <c r="W452" s="198">
        <v>75.360000999999997</v>
      </c>
      <c r="X452" s="349">
        <f t="shared" si="24"/>
        <v>1.3287137568771534E-3</v>
      </c>
      <c r="Y452" s="198">
        <v>2108.290039</v>
      </c>
      <c r="Z452" s="349">
        <f t="shared" si="25"/>
        <v>1.0923001515586117E-2</v>
      </c>
      <c r="AA452" s="324"/>
      <c r="AB452" s="324"/>
      <c r="AC452" s="324"/>
      <c r="AD452" s="324"/>
      <c r="AE452" s="324"/>
      <c r="AF452" s="324"/>
    </row>
    <row r="453" spans="1:32">
      <c r="A453" s="324"/>
      <c r="B453" s="244"/>
      <c r="C453" s="294"/>
      <c r="D453" s="235"/>
      <c r="E453" s="294"/>
      <c r="F453" s="235"/>
      <c r="G453" s="324"/>
      <c r="H453" s="324"/>
      <c r="I453" s="324"/>
      <c r="J453" s="324"/>
      <c r="K453" s="324"/>
      <c r="L453" s="324"/>
      <c r="M453" s="294"/>
      <c r="N453" s="235"/>
      <c r="O453" s="324"/>
      <c r="P453" s="235"/>
      <c r="Q453" s="324"/>
      <c r="R453" s="324"/>
      <c r="S453" s="324"/>
      <c r="T453" s="324"/>
      <c r="U453" s="324"/>
      <c r="V453" s="377">
        <v>42124</v>
      </c>
      <c r="W453" s="198">
        <v>75.260002</v>
      </c>
      <c r="X453" s="349">
        <f t="shared" si="24"/>
        <v>-1.5179220496708279E-2</v>
      </c>
      <c r="Y453" s="198">
        <v>2085.51001</v>
      </c>
      <c r="Z453" s="349">
        <f t="shared" si="25"/>
        <v>-1.0128906665100579E-2</v>
      </c>
      <c r="AA453" s="324"/>
      <c r="AB453" s="324"/>
      <c r="AC453" s="324"/>
      <c r="AD453" s="324"/>
      <c r="AE453" s="324"/>
      <c r="AF453" s="324"/>
    </row>
    <row r="454" spans="1:32">
      <c r="A454" s="324"/>
      <c r="B454" s="244"/>
      <c r="C454" s="294"/>
      <c r="D454" s="235"/>
      <c r="E454" s="294"/>
      <c r="F454" s="235"/>
      <c r="G454" s="324"/>
      <c r="H454" s="324"/>
      <c r="I454" s="324"/>
      <c r="J454" s="324"/>
      <c r="K454" s="324"/>
      <c r="L454" s="324"/>
      <c r="M454" s="294"/>
      <c r="N454" s="235"/>
      <c r="O454" s="324"/>
      <c r="P454" s="235"/>
      <c r="Q454" s="324"/>
      <c r="R454" s="324"/>
      <c r="S454" s="324"/>
      <c r="T454" s="324"/>
      <c r="U454" s="324"/>
      <c r="V454" s="377">
        <v>42123</v>
      </c>
      <c r="W454" s="198">
        <v>76.419998000000007</v>
      </c>
      <c r="X454" s="349">
        <f t="shared" si="24"/>
        <v>-1.8286311867456995E-3</v>
      </c>
      <c r="Y454" s="198">
        <v>2106.8500979999999</v>
      </c>
      <c r="Z454" s="349">
        <f t="shared" si="25"/>
        <v>-3.7403355286635964E-3</v>
      </c>
      <c r="AA454" s="324"/>
      <c r="AB454" s="324"/>
      <c r="AC454" s="324"/>
      <c r="AD454" s="324"/>
      <c r="AE454" s="324"/>
      <c r="AF454" s="324"/>
    </row>
    <row r="455" spans="1:32">
      <c r="A455" s="324"/>
      <c r="B455" s="244"/>
      <c r="C455" s="294"/>
      <c r="D455" s="235"/>
      <c r="E455" s="294"/>
      <c r="F455" s="235"/>
      <c r="G455" s="324"/>
      <c r="H455" s="324"/>
      <c r="I455" s="324"/>
      <c r="J455" s="324"/>
      <c r="K455" s="324"/>
      <c r="L455" s="324"/>
      <c r="M455" s="294"/>
      <c r="N455" s="235"/>
      <c r="O455" s="324"/>
      <c r="P455" s="235"/>
      <c r="Q455" s="324"/>
      <c r="R455" s="324"/>
      <c r="S455" s="324"/>
      <c r="T455" s="324"/>
      <c r="U455" s="324"/>
      <c r="V455" s="377">
        <v>42122</v>
      </c>
      <c r="W455" s="198">
        <v>76.559997999999993</v>
      </c>
      <c r="X455" s="349">
        <f t="shared" si="24"/>
        <v>-1.306255713725557E-4</v>
      </c>
      <c r="Y455" s="198">
        <v>2114.76001</v>
      </c>
      <c r="Z455" s="349">
        <f t="shared" si="25"/>
        <v>2.7692317470553451E-3</v>
      </c>
      <c r="AA455" s="324"/>
      <c r="AB455" s="324"/>
      <c r="AC455" s="324"/>
      <c r="AD455" s="324"/>
      <c r="AE455" s="324"/>
      <c r="AF455" s="324"/>
    </row>
    <row r="456" spans="1:32">
      <c r="A456" s="324"/>
      <c r="B456" s="244"/>
      <c r="C456" s="294"/>
      <c r="D456" s="235"/>
      <c r="E456" s="294"/>
      <c r="F456" s="235"/>
      <c r="G456" s="324"/>
      <c r="H456" s="324"/>
      <c r="I456" s="324"/>
      <c r="J456" s="324"/>
      <c r="K456" s="324"/>
      <c r="L456" s="324"/>
      <c r="M456" s="294"/>
      <c r="N456" s="235"/>
      <c r="O456" s="324"/>
      <c r="P456" s="235"/>
      <c r="Q456" s="324"/>
      <c r="R456" s="324"/>
      <c r="S456" s="324"/>
      <c r="T456" s="324"/>
      <c r="U456" s="324"/>
      <c r="V456" s="377">
        <v>42121</v>
      </c>
      <c r="W456" s="198">
        <v>76.569999999999993</v>
      </c>
      <c r="X456" s="349">
        <f t="shared" si="24"/>
        <v>-3.3841206980574912E-3</v>
      </c>
      <c r="Y456" s="198">
        <v>2108.919922</v>
      </c>
      <c r="Z456" s="349">
        <f t="shared" si="25"/>
        <v>-4.14131399984774E-3</v>
      </c>
      <c r="AA456" s="324"/>
      <c r="AB456" s="324"/>
      <c r="AC456" s="324"/>
      <c r="AD456" s="324"/>
      <c r="AE456" s="324"/>
      <c r="AF456" s="324"/>
    </row>
    <row r="457" spans="1:32">
      <c r="A457" s="324"/>
      <c r="B457" s="244"/>
      <c r="C457" s="294"/>
      <c r="D457" s="235"/>
      <c r="E457" s="294"/>
      <c r="F457" s="235"/>
      <c r="G457" s="324"/>
      <c r="H457" s="324"/>
      <c r="I457" s="324"/>
      <c r="J457" s="324"/>
      <c r="K457" s="324"/>
      <c r="L457" s="324"/>
      <c r="M457" s="294"/>
      <c r="N457" s="235"/>
      <c r="O457" s="324"/>
      <c r="P457" s="235"/>
      <c r="Q457" s="324"/>
      <c r="R457" s="324"/>
      <c r="S457" s="324"/>
      <c r="T457" s="324"/>
      <c r="U457" s="324"/>
      <c r="V457" s="377">
        <v>42118</v>
      </c>
      <c r="W457" s="198">
        <v>76.830001999999993</v>
      </c>
      <c r="X457" s="349">
        <f t="shared" ref="X457:X520" si="26">W457/W458-1</f>
        <v>-2.6019519219777631E-4</v>
      </c>
      <c r="Y457" s="198">
        <v>2117.6899410000001</v>
      </c>
      <c r="Z457" s="349">
        <f t="shared" ref="Z457:Z520" si="27">Y457/Y458-1</f>
        <v>2.2528002125912217E-3</v>
      </c>
      <c r="AA457" s="324"/>
      <c r="AB457" s="324"/>
      <c r="AC457" s="324"/>
      <c r="AD457" s="324"/>
      <c r="AE457" s="324"/>
      <c r="AF457" s="324"/>
    </row>
    <row r="458" spans="1:32">
      <c r="A458" s="324"/>
      <c r="B458" s="244"/>
      <c r="C458" s="294"/>
      <c r="D458" s="235"/>
      <c r="E458" s="294"/>
      <c r="F458" s="235"/>
      <c r="G458" s="324"/>
      <c r="H458" s="324"/>
      <c r="I458" s="324"/>
      <c r="J458" s="324"/>
      <c r="K458" s="324"/>
      <c r="L458" s="324"/>
      <c r="M458" s="294"/>
      <c r="N458" s="235"/>
      <c r="O458" s="324"/>
      <c r="P458" s="235"/>
      <c r="Q458" s="324"/>
      <c r="R458" s="324"/>
      <c r="S458" s="324"/>
      <c r="T458" s="324"/>
      <c r="U458" s="324"/>
      <c r="V458" s="377">
        <v>42117</v>
      </c>
      <c r="W458" s="198">
        <v>76.849997999999999</v>
      </c>
      <c r="X458" s="349">
        <f t="shared" si="26"/>
        <v>1.4387486420604834E-2</v>
      </c>
      <c r="Y458" s="198">
        <v>2112.929932</v>
      </c>
      <c r="Z458" s="349">
        <f t="shared" si="27"/>
        <v>2.3577160344365744E-3</v>
      </c>
      <c r="AA458" s="324"/>
      <c r="AB458" s="324"/>
      <c r="AC458" s="324"/>
      <c r="AD458" s="324"/>
      <c r="AE458" s="324"/>
      <c r="AF458" s="324"/>
    </row>
    <row r="459" spans="1:32">
      <c r="A459" s="324"/>
      <c r="B459" s="244"/>
      <c r="C459" s="294"/>
      <c r="D459" s="235"/>
      <c r="E459" s="294"/>
      <c r="F459" s="235"/>
      <c r="G459" s="324"/>
      <c r="H459" s="324"/>
      <c r="I459" s="324"/>
      <c r="J459" s="324"/>
      <c r="K459" s="324"/>
      <c r="L459" s="324"/>
      <c r="M459" s="294"/>
      <c r="N459" s="235"/>
      <c r="O459" s="324"/>
      <c r="P459" s="235"/>
      <c r="Q459" s="324"/>
      <c r="R459" s="324"/>
      <c r="S459" s="324"/>
      <c r="T459" s="324"/>
      <c r="U459" s="324"/>
      <c r="V459" s="377">
        <v>42116</v>
      </c>
      <c r="W459" s="198">
        <v>75.760002</v>
      </c>
      <c r="X459" s="349">
        <f t="shared" si="26"/>
        <v>7.1789549697027777E-3</v>
      </c>
      <c r="Y459" s="198">
        <v>2107.959961</v>
      </c>
      <c r="Z459" s="349">
        <f t="shared" si="27"/>
        <v>5.0874804159597442E-3</v>
      </c>
      <c r="AA459" s="324"/>
      <c r="AB459" s="324"/>
      <c r="AC459" s="324"/>
      <c r="AD459" s="324"/>
      <c r="AE459" s="324"/>
      <c r="AF459" s="324"/>
    </row>
    <row r="460" spans="1:32">
      <c r="A460" s="324"/>
      <c r="B460" s="244"/>
      <c r="C460" s="294"/>
      <c r="D460" s="235"/>
      <c r="E460" s="294"/>
      <c r="F460" s="235"/>
      <c r="G460" s="324"/>
      <c r="H460" s="324"/>
      <c r="I460" s="324"/>
      <c r="J460" s="324"/>
      <c r="K460" s="324"/>
      <c r="L460" s="324"/>
      <c r="M460" s="294"/>
      <c r="N460" s="235"/>
      <c r="O460" s="324"/>
      <c r="P460" s="235"/>
      <c r="Q460" s="324"/>
      <c r="R460" s="324"/>
      <c r="S460" s="324"/>
      <c r="T460" s="324"/>
      <c r="U460" s="324"/>
      <c r="V460" s="377">
        <v>42115</v>
      </c>
      <c r="W460" s="198">
        <v>75.220000999999996</v>
      </c>
      <c r="X460" s="349">
        <f t="shared" si="26"/>
        <v>1.0206849452146782E-2</v>
      </c>
      <c r="Y460" s="198">
        <v>2097.290039</v>
      </c>
      <c r="Z460" s="349">
        <f t="shared" si="27"/>
        <v>-1.4806051919155072E-3</v>
      </c>
      <c r="AA460" s="324"/>
      <c r="AB460" s="324"/>
      <c r="AC460" s="324"/>
      <c r="AD460" s="324"/>
      <c r="AE460" s="324"/>
      <c r="AF460" s="324"/>
    </row>
    <row r="461" spans="1:32">
      <c r="A461" s="324"/>
      <c r="B461" s="244"/>
      <c r="C461" s="294"/>
      <c r="D461" s="235"/>
      <c r="E461" s="294"/>
      <c r="F461" s="235"/>
      <c r="G461" s="324"/>
      <c r="H461" s="324"/>
      <c r="I461" s="324"/>
      <c r="J461" s="324"/>
      <c r="K461" s="324"/>
      <c r="L461" s="324"/>
      <c r="M461" s="294"/>
      <c r="N461" s="235"/>
      <c r="O461" s="324"/>
      <c r="P461" s="235"/>
      <c r="Q461" s="324"/>
      <c r="R461" s="324"/>
      <c r="S461" s="324"/>
      <c r="T461" s="324"/>
      <c r="U461" s="324"/>
      <c r="V461" s="377">
        <v>42114</v>
      </c>
      <c r="W461" s="198">
        <v>74.459998999999996</v>
      </c>
      <c r="X461" s="349">
        <f t="shared" si="26"/>
        <v>7.168930068984114E-3</v>
      </c>
      <c r="Y461" s="198">
        <v>2100.3999020000001</v>
      </c>
      <c r="Z461" s="349">
        <f t="shared" si="27"/>
        <v>9.2351313331806573E-3</v>
      </c>
      <c r="AA461" s="324"/>
      <c r="AB461" s="324"/>
      <c r="AC461" s="324"/>
      <c r="AD461" s="324"/>
      <c r="AE461" s="324"/>
      <c r="AF461" s="324"/>
    </row>
    <row r="462" spans="1:32">
      <c r="A462" s="324"/>
      <c r="B462" s="244"/>
      <c r="C462" s="294"/>
      <c r="D462" s="235"/>
      <c r="E462" s="294"/>
      <c r="F462" s="235"/>
      <c r="G462" s="324"/>
      <c r="H462" s="324"/>
      <c r="I462" s="324"/>
      <c r="J462" s="324"/>
      <c r="K462" s="324"/>
      <c r="L462" s="324"/>
      <c r="M462" s="294"/>
      <c r="N462" s="235"/>
      <c r="O462" s="324"/>
      <c r="P462" s="235"/>
      <c r="Q462" s="324"/>
      <c r="R462" s="324"/>
      <c r="S462" s="324"/>
      <c r="T462" s="324"/>
      <c r="U462" s="324"/>
      <c r="V462" s="377">
        <v>42111</v>
      </c>
      <c r="W462" s="198">
        <v>73.930000000000007</v>
      </c>
      <c r="X462" s="349">
        <f t="shared" si="26"/>
        <v>-1.1763106851038652E-2</v>
      </c>
      <c r="Y462" s="198">
        <v>2081.179932</v>
      </c>
      <c r="Z462" s="349">
        <f t="shared" si="27"/>
        <v>-1.1311245237798029E-2</v>
      </c>
      <c r="AA462" s="324"/>
      <c r="AB462" s="324"/>
      <c r="AC462" s="324"/>
      <c r="AD462" s="324"/>
      <c r="AE462" s="324"/>
      <c r="AF462" s="324"/>
    </row>
    <row r="463" spans="1:32">
      <c r="A463" s="324"/>
      <c r="B463" s="244"/>
      <c r="C463" s="294"/>
      <c r="D463" s="235"/>
      <c r="E463" s="294"/>
      <c r="F463" s="235"/>
      <c r="G463" s="324"/>
      <c r="H463" s="324"/>
      <c r="I463" s="324"/>
      <c r="J463" s="324"/>
      <c r="K463" s="324"/>
      <c r="L463" s="324"/>
      <c r="M463" s="294"/>
      <c r="N463" s="235"/>
      <c r="O463" s="324"/>
      <c r="P463" s="235"/>
      <c r="Q463" s="324"/>
      <c r="R463" s="324"/>
      <c r="S463" s="324"/>
      <c r="T463" s="324"/>
      <c r="U463" s="324"/>
      <c r="V463" s="377">
        <v>42110</v>
      </c>
      <c r="W463" s="198">
        <v>74.809997999999993</v>
      </c>
      <c r="X463" s="349">
        <f t="shared" si="26"/>
        <v>-1.4361053640025045E-2</v>
      </c>
      <c r="Y463" s="198">
        <v>2104.98999</v>
      </c>
      <c r="Z463" s="349">
        <f t="shared" si="27"/>
        <v>-7.7844381361602544E-4</v>
      </c>
      <c r="AA463" s="324"/>
      <c r="AB463" s="324"/>
      <c r="AC463" s="324"/>
      <c r="AD463" s="324"/>
      <c r="AE463" s="324"/>
      <c r="AF463" s="324"/>
    </row>
    <row r="464" spans="1:32">
      <c r="A464" s="324"/>
      <c r="B464" s="244"/>
      <c r="C464" s="294"/>
      <c r="D464" s="235"/>
      <c r="E464" s="294"/>
      <c r="F464" s="235"/>
      <c r="G464" s="324"/>
      <c r="H464" s="324"/>
      <c r="I464" s="324"/>
      <c r="J464" s="324"/>
      <c r="K464" s="324"/>
      <c r="L464" s="324"/>
      <c r="M464" s="294"/>
      <c r="N464" s="235"/>
      <c r="O464" s="324"/>
      <c r="P464" s="235"/>
      <c r="Q464" s="324"/>
      <c r="R464" s="324"/>
      <c r="S464" s="324"/>
      <c r="T464" s="324"/>
      <c r="U464" s="324"/>
      <c r="V464" s="377">
        <v>42109</v>
      </c>
      <c r="W464" s="198">
        <v>75.900002000000001</v>
      </c>
      <c r="X464" s="349">
        <f t="shared" si="26"/>
        <v>1.3080673066755644E-2</v>
      </c>
      <c r="Y464" s="198">
        <v>2106.6298830000001</v>
      </c>
      <c r="Z464" s="349">
        <f t="shared" si="27"/>
        <v>5.1481957339105655E-3</v>
      </c>
      <c r="AA464" s="324"/>
      <c r="AB464" s="324"/>
      <c r="AC464" s="324"/>
      <c r="AD464" s="324"/>
      <c r="AE464" s="324"/>
      <c r="AF464" s="324"/>
    </row>
    <row r="465" spans="1:32">
      <c r="A465" s="324"/>
      <c r="B465" s="244"/>
      <c r="C465" s="294"/>
      <c r="D465" s="235"/>
      <c r="E465" s="294"/>
      <c r="F465" s="235"/>
      <c r="G465" s="324"/>
      <c r="H465" s="324"/>
      <c r="I465" s="324"/>
      <c r="J465" s="324"/>
      <c r="K465" s="324"/>
      <c r="L465" s="324"/>
      <c r="M465" s="294"/>
      <c r="N465" s="235"/>
      <c r="O465" s="324"/>
      <c r="P465" s="235"/>
      <c r="Q465" s="324"/>
      <c r="R465" s="324"/>
      <c r="S465" s="324"/>
      <c r="T465" s="324"/>
      <c r="U465" s="324"/>
      <c r="V465" s="377">
        <v>42108</v>
      </c>
      <c r="W465" s="198">
        <v>74.919998000000007</v>
      </c>
      <c r="X465" s="349">
        <f t="shared" si="26"/>
        <v>-1.4660935821150245E-3</v>
      </c>
      <c r="Y465" s="198">
        <v>2095.8400879999999</v>
      </c>
      <c r="Z465" s="349">
        <f t="shared" si="27"/>
        <v>1.6297587545692771E-3</v>
      </c>
      <c r="AA465" s="324"/>
      <c r="AB465" s="324"/>
      <c r="AC465" s="324"/>
      <c r="AD465" s="324"/>
      <c r="AE465" s="324"/>
      <c r="AF465" s="324"/>
    </row>
    <row r="466" spans="1:32">
      <c r="A466" s="324"/>
      <c r="B466" s="244"/>
      <c r="C466" s="294"/>
      <c r="D466" s="235"/>
      <c r="E466" s="294"/>
      <c r="F466" s="235"/>
      <c r="G466" s="324"/>
      <c r="H466" s="324"/>
      <c r="I466" s="324"/>
      <c r="J466" s="324"/>
      <c r="K466" s="324"/>
      <c r="L466" s="324"/>
      <c r="M466" s="294"/>
      <c r="N466" s="235"/>
      <c r="O466" s="324"/>
      <c r="P466" s="235"/>
      <c r="Q466" s="324"/>
      <c r="R466" s="324"/>
      <c r="S466" s="324"/>
      <c r="T466" s="324"/>
      <c r="U466" s="324"/>
      <c r="V466" s="377">
        <v>42107</v>
      </c>
      <c r="W466" s="198">
        <v>75.029999000000004</v>
      </c>
      <c r="X466" s="349">
        <f t="shared" si="26"/>
        <v>-9.5049636963695505E-3</v>
      </c>
      <c r="Y466" s="198">
        <v>2092.429932</v>
      </c>
      <c r="Z466" s="349">
        <f t="shared" si="27"/>
        <v>-4.5812806150653529E-3</v>
      </c>
      <c r="AA466" s="324"/>
      <c r="AB466" s="324"/>
      <c r="AC466" s="324"/>
      <c r="AD466" s="324"/>
      <c r="AE466" s="324"/>
      <c r="AF466" s="324"/>
    </row>
    <row r="467" spans="1:32">
      <c r="A467" s="324"/>
      <c r="B467" s="244"/>
      <c r="C467" s="294"/>
      <c r="D467" s="235"/>
      <c r="E467" s="294"/>
      <c r="F467" s="235"/>
      <c r="G467" s="324"/>
      <c r="H467" s="324"/>
      <c r="I467" s="324"/>
      <c r="J467" s="324"/>
      <c r="K467" s="324"/>
      <c r="L467" s="324"/>
      <c r="M467" s="294"/>
      <c r="N467" s="235"/>
      <c r="O467" s="324"/>
      <c r="P467" s="235"/>
      <c r="Q467" s="324"/>
      <c r="R467" s="324"/>
      <c r="S467" s="324"/>
      <c r="T467" s="324"/>
      <c r="U467" s="324"/>
      <c r="V467" s="377">
        <v>42104</v>
      </c>
      <c r="W467" s="198">
        <v>75.75</v>
      </c>
      <c r="X467" s="349">
        <f t="shared" si="26"/>
        <v>3.5770666304824061E-3</v>
      </c>
      <c r="Y467" s="198">
        <v>2102.0600589999999</v>
      </c>
      <c r="Z467" s="349">
        <f t="shared" si="27"/>
        <v>5.2028650588638037E-3</v>
      </c>
      <c r="AA467" s="324"/>
      <c r="AB467" s="324"/>
      <c r="AC467" s="324"/>
      <c r="AD467" s="324"/>
      <c r="AE467" s="324"/>
      <c r="AF467" s="324"/>
    </row>
    <row r="468" spans="1:32">
      <c r="A468" s="324"/>
      <c r="B468" s="244"/>
      <c r="C468" s="294"/>
      <c r="D468" s="235"/>
      <c r="E468" s="294"/>
      <c r="F468" s="235"/>
      <c r="G468" s="324"/>
      <c r="H468" s="324"/>
      <c r="I468" s="324"/>
      <c r="J468" s="324"/>
      <c r="K468" s="324"/>
      <c r="L468" s="324"/>
      <c r="M468" s="294"/>
      <c r="N468" s="235"/>
      <c r="O468" s="324"/>
      <c r="P468" s="235"/>
      <c r="Q468" s="324"/>
      <c r="R468" s="324"/>
      <c r="S468" s="324"/>
      <c r="T468" s="324"/>
      <c r="U468" s="324"/>
      <c r="V468" s="377">
        <v>42103</v>
      </c>
      <c r="W468" s="198">
        <v>75.480002999999996</v>
      </c>
      <c r="X468" s="349">
        <f t="shared" si="26"/>
        <v>5.8635660199417572E-3</v>
      </c>
      <c r="Y468" s="198">
        <v>2091.179932</v>
      </c>
      <c r="Z468" s="349">
        <f t="shared" si="27"/>
        <v>4.4574813568534211E-3</v>
      </c>
      <c r="AA468" s="324"/>
      <c r="AB468" s="324"/>
      <c r="AC468" s="324"/>
      <c r="AD468" s="324"/>
      <c r="AE468" s="324"/>
      <c r="AF468" s="324"/>
    </row>
    <row r="469" spans="1:32">
      <c r="A469" s="324"/>
      <c r="B469" s="244"/>
      <c r="C469" s="294"/>
      <c r="D469" s="235"/>
      <c r="E469" s="294"/>
      <c r="F469" s="235"/>
      <c r="G469" s="324"/>
      <c r="H469" s="324"/>
      <c r="I469" s="324"/>
      <c r="J469" s="324"/>
      <c r="K469" s="324"/>
      <c r="L469" s="324"/>
      <c r="M469" s="294"/>
      <c r="N469" s="235"/>
      <c r="O469" s="324"/>
      <c r="P469" s="235"/>
      <c r="Q469" s="324"/>
      <c r="R469" s="324"/>
      <c r="S469" s="324"/>
      <c r="T469" s="324"/>
      <c r="U469" s="324"/>
      <c r="V469" s="377">
        <v>42102</v>
      </c>
      <c r="W469" s="198">
        <v>75.040001000000004</v>
      </c>
      <c r="X469" s="349">
        <f t="shared" si="26"/>
        <v>-4.5104273485179203E-3</v>
      </c>
      <c r="Y469" s="198">
        <v>2081.8999020000001</v>
      </c>
      <c r="Z469" s="349">
        <f t="shared" si="27"/>
        <v>2.6825330225748178E-3</v>
      </c>
      <c r="AA469" s="324"/>
      <c r="AB469" s="324"/>
      <c r="AC469" s="324"/>
      <c r="AD469" s="324"/>
      <c r="AE469" s="324"/>
      <c r="AF469" s="324"/>
    </row>
    <row r="470" spans="1:32">
      <c r="A470" s="324"/>
      <c r="B470" s="244"/>
      <c r="C470" s="294"/>
      <c r="D470" s="235"/>
      <c r="E470" s="294"/>
      <c r="F470" s="235"/>
      <c r="G470" s="324"/>
      <c r="H470" s="324"/>
      <c r="I470" s="324"/>
      <c r="J470" s="324"/>
      <c r="K470" s="324"/>
      <c r="L470" s="324"/>
      <c r="M470" s="294"/>
      <c r="N470" s="235"/>
      <c r="O470" s="324"/>
      <c r="P470" s="235"/>
      <c r="Q470" s="324"/>
      <c r="R470" s="324"/>
      <c r="S470" s="324"/>
      <c r="T470" s="324"/>
      <c r="U470" s="324"/>
      <c r="V470" s="377">
        <v>42101</v>
      </c>
      <c r="W470" s="198">
        <v>75.379997000000003</v>
      </c>
      <c r="X470" s="349">
        <f t="shared" si="26"/>
        <v>1.3259917211372318E-4</v>
      </c>
      <c r="Y470" s="198">
        <v>2076.330078</v>
      </c>
      <c r="Z470" s="349">
        <f t="shared" si="27"/>
        <v>-2.0619040280095424E-3</v>
      </c>
      <c r="AA470" s="324"/>
      <c r="AB470" s="324"/>
      <c r="AC470" s="324"/>
      <c r="AD470" s="324"/>
      <c r="AE470" s="324"/>
      <c r="AF470" s="324"/>
    </row>
    <row r="471" spans="1:32">
      <c r="A471" s="324"/>
      <c r="B471" s="244"/>
      <c r="C471" s="294"/>
      <c r="D471" s="235"/>
      <c r="E471" s="294"/>
      <c r="F471" s="235"/>
      <c r="G471" s="324"/>
      <c r="H471" s="324"/>
      <c r="I471" s="324"/>
      <c r="J471" s="324"/>
      <c r="K471" s="324"/>
      <c r="L471" s="324"/>
      <c r="M471" s="294"/>
      <c r="N471" s="235"/>
      <c r="O471" s="324"/>
      <c r="P471" s="235"/>
      <c r="Q471" s="324"/>
      <c r="R471" s="324"/>
      <c r="S471" s="324"/>
      <c r="T471" s="324"/>
      <c r="U471" s="324"/>
      <c r="V471" s="377">
        <v>42100</v>
      </c>
      <c r="W471" s="198">
        <v>75.370002999999997</v>
      </c>
      <c r="X471" s="349">
        <f t="shared" si="26"/>
        <v>3.59527306512053E-3</v>
      </c>
      <c r="Y471" s="198">
        <v>2080.6201169999999</v>
      </c>
      <c r="Z471" s="349">
        <f t="shared" si="27"/>
        <v>6.6088150025853665E-3</v>
      </c>
      <c r="AA471" s="324"/>
      <c r="AB471" s="324"/>
      <c r="AC471" s="324"/>
      <c r="AD471" s="324"/>
      <c r="AE471" s="324"/>
      <c r="AF471" s="324"/>
    </row>
    <row r="472" spans="1:32">
      <c r="A472" s="324"/>
      <c r="B472" s="244"/>
      <c r="C472" s="294"/>
      <c r="D472" s="235"/>
      <c r="E472" s="294"/>
      <c r="F472" s="235"/>
      <c r="G472" s="324"/>
      <c r="H472" s="324"/>
      <c r="I472" s="324"/>
      <c r="J472" s="324"/>
      <c r="K472" s="324"/>
      <c r="L472" s="324"/>
      <c r="M472" s="294"/>
      <c r="N472" s="235"/>
      <c r="O472" s="324"/>
      <c r="P472" s="235"/>
      <c r="Q472" s="324"/>
      <c r="R472" s="324"/>
      <c r="S472" s="324"/>
      <c r="T472" s="324"/>
      <c r="U472" s="324"/>
      <c r="V472" s="377">
        <v>42096</v>
      </c>
      <c r="W472" s="198">
        <v>75.099997999999999</v>
      </c>
      <c r="X472" s="349">
        <f t="shared" si="26"/>
        <v>-3.8466773291773171E-3</v>
      </c>
      <c r="Y472" s="198">
        <v>2066.959961</v>
      </c>
      <c r="Z472" s="349">
        <f t="shared" si="27"/>
        <v>3.5296671869311513E-3</v>
      </c>
      <c r="AA472" s="324"/>
      <c r="AB472" s="324"/>
      <c r="AC472" s="324"/>
      <c r="AD472" s="324"/>
      <c r="AE472" s="324"/>
      <c r="AF472" s="324"/>
    </row>
    <row r="473" spans="1:32">
      <c r="A473" s="324"/>
      <c r="B473" s="244"/>
      <c r="C473" s="294"/>
      <c r="D473" s="235"/>
      <c r="E473" s="294"/>
      <c r="F473" s="235"/>
      <c r="G473" s="324"/>
      <c r="H473" s="324"/>
      <c r="I473" s="324"/>
      <c r="J473" s="324"/>
      <c r="K473" s="324"/>
      <c r="L473" s="324"/>
      <c r="M473" s="294"/>
      <c r="N473" s="235"/>
      <c r="O473" s="324"/>
      <c r="P473" s="235"/>
      <c r="Q473" s="324"/>
      <c r="R473" s="324"/>
      <c r="S473" s="324"/>
      <c r="T473" s="324"/>
      <c r="U473" s="324"/>
      <c r="V473" s="377">
        <v>42095</v>
      </c>
      <c r="W473" s="198">
        <v>75.389999000000003</v>
      </c>
      <c r="X473" s="349">
        <f t="shared" si="26"/>
        <v>-4.7524884488447938E-3</v>
      </c>
      <c r="Y473" s="198">
        <v>2059.6899410000001</v>
      </c>
      <c r="Z473" s="349">
        <f t="shared" si="27"/>
        <v>-3.9653716707825915E-3</v>
      </c>
      <c r="AA473" s="324"/>
      <c r="AB473" s="324"/>
      <c r="AC473" s="324"/>
      <c r="AD473" s="324"/>
      <c r="AE473" s="324"/>
      <c r="AF473" s="324"/>
    </row>
    <row r="474" spans="1:32">
      <c r="A474" s="324"/>
      <c r="B474" s="244"/>
      <c r="C474" s="294"/>
      <c r="D474" s="235"/>
      <c r="E474" s="294"/>
      <c r="F474" s="235"/>
      <c r="G474" s="324"/>
      <c r="H474" s="324"/>
      <c r="I474" s="324"/>
      <c r="J474" s="324"/>
      <c r="K474" s="324"/>
      <c r="L474" s="324"/>
      <c r="M474" s="294"/>
      <c r="N474" s="235"/>
      <c r="O474" s="324"/>
      <c r="P474" s="235"/>
      <c r="Q474" s="324"/>
      <c r="R474" s="324"/>
      <c r="S474" s="324"/>
      <c r="T474" s="324"/>
      <c r="U474" s="324"/>
      <c r="V474" s="377">
        <v>42094</v>
      </c>
      <c r="W474" s="198">
        <v>75.75</v>
      </c>
      <c r="X474" s="349">
        <f t="shared" si="26"/>
        <v>-1.2257164890933314E-2</v>
      </c>
      <c r="Y474" s="198">
        <v>2067.889893</v>
      </c>
      <c r="Z474" s="349">
        <f t="shared" si="27"/>
        <v>-8.7957747373061945E-3</v>
      </c>
      <c r="AA474" s="324"/>
      <c r="AB474" s="324"/>
      <c r="AC474" s="324"/>
      <c r="AD474" s="324"/>
      <c r="AE474" s="324"/>
      <c r="AF474" s="324"/>
    </row>
    <row r="475" spans="1:32">
      <c r="A475" s="324"/>
      <c r="B475" s="244"/>
      <c r="C475" s="294"/>
      <c r="D475" s="235"/>
      <c r="E475" s="294"/>
      <c r="F475" s="235"/>
      <c r="G475" s="324"/>
      <c r="H475" s="324"/>
      <c r="I475" s="324"/>
      <c r="J475" s="324"/>
      <c r="K475" s="324"/>
      <c r="L475" s="324"/>
      <c r="M475" s="294"/>
      <c r="N475" s="235"/>
      <c r="O475" s="324"/>
      <c r="P475" s="235"/>
      <c r="Q475" s="324"/>
      <c r="R475" s="324"/>
      <c r="S475" s="324"/>
      <c r="T475" s="324"/>
      <c r="U475" s="324"/>
      <c r="V475" s="377">
        <v>42093</v>
      </c>
      <c r="W475" s="198">
        <v>76.690002000000007</v>
      </c>
      <c r="X475" s="349">
        <f t="shared" si="26"/>
        <v>2.2217068304382082E-3</v>
      </c>
      <c r="Y475" s="198">
        <v>2086.23999</v>
      </c>
      <c r="Z475" s="349">
        <f t="shared" si="27"/>
        <v>1.2236644843459654E-2</v>
      </c>
      <c r="AA475" s="324"/>
      <c r="AB475" s="324"/>
      <c r="AC475" s="324"/>
      <c r="AD475" s="324"/>
      <c r="AE475" s="324"/>
      <c r="AF475" s="324"/>
    </row>
    <row r="476" spans="1:32">
      <c r="A476" s="324"/>
      <c r="B476" s="244"/>
      <c r="C476" s="294"/>
      <c r="D476" s="235"/>
      <c r="E476" s="294"/>
      <c r="F476" s="235"/>
      <c r="G476" s="324"/>
      <c r="H476" s="324"/>
      <c r="I476" s="324"/>
      <c r="J476" s="324"/>
      <c r="K476" s="324"/>
      <c r="L476" s="324"/>
      <c r="M476" s="294"/>
      <c r="N476" s="235"/>
      <c r="O476" s="324"/>
      <c r="P476" s="235"/>
      <c r="Q476" s="324"/>
      <c r="R476" s="324"/>
      <c r="S476" s="324"/>
      <c r="T476" s="324"/>
      <c r="U476" s="324"/>
      <c r="V476" s="377">
        <v>42090</v>
      </c>
      <c r="W476" s="198">
        <v>76.519997000000004</v>
      </c>
      <c r="X476" s="349">
        <f t="shared" si="26"/>
        <v>1.5392728033535974E-2</v>
      </c>
      <c r="Y476" s="198">
        <v>2061.0200199999999</v>
      </c>
      <c r="Z476" s="349">
        <f t="shared" si="27"/>
        <v>2.3685617450666108E-3</v>
      </c>
      <c r="AA476" s="324"/>
      <c r="AB476" s="324"/>
      <c r="AC476" s="324"/>
      <c r="AD476" s="324"/>
      <c r="AE476" s="324"/>
      <c r="AF476" s="324"/>
    </row>
    <row r="477" spans="1:32">
      <c r="A477" s="324"/>
      <c r="B477" s="244"/>
      <c r="C477" s="294"/>
      <c r="D477" s="235"/>
      <c r="E477" s="294"/>
      <c r="F477" s="235"/>
      <c r="G477" s="324"/>
      <c r="H477" s="324"/>
      <c r="I477" s="324"/>
      <c r="J477" s="324"/>
      <c r="K477" s="324"/>
      <c r="L477" s="324"/>
      <c r="M477" s="294"/>
      <c r="N477" s="235"/>
      <c r="O477" s="324"/>
      <c r="P477" s="235"/>
      <c r="Q477" s="324"/>
      <c r="R477" s="324"/>
      <c r="S477" s="324"/>
      <c r="T477" s="324"/>
      <c r="U477" s="324"/>
      <c r="V477" s="377">
        <v>42089</v>
      </c>
      <c r="W477" s="198">
        <v>75.360000999999997</v>
      </c>
      <c r="X477" s="349">
        <f t="shared" si="26"/>
        <v>0.10094966110809334</v>
      </c>
      <c r="Y477" s="198">
        <v>2056.1499020000001</v>
      </c>
      <c r="Z477" s="349">
        <f t="shared" si="27"/>
        <v>-2.3775002467200101E-3</v>
      </c>
      <c r="AA477" s="324"/>
      <c r="AB477" s="324"/>
      <c r="AC477" s="324"/>
      <c r="AD477" s="324"/>
      <c r="AE477" s="324"/>
      <c r="AF477" s="324"/>
    </row>
    <row r="478" spans="1:32">
      <c r="A478" s="324"/>
      <c r="B478" s="244"/>
      <c r="C478" s="294"/>
      <c r="D478" s="235"/>
      <c r="E478" s="294"/>
      <c r="F478" s="235"/>
      <c r="G478" s="324"/>
      <c r="H478" s="324"/>
      <c r="I478" s="324"/>
      <c r="J478" s="324"/>
      <c r="K478" s="324"/>
      <c r="L478" s="324"/>
      <c r="M478" s="294"/>
      <c r="N478" s="235"/>
      <c r="O478" s="324"/>
      <c r="P478" s="235"/>
      <c r="Q478" s="324"/>
      <c r="R478" s="324"/>
      <c r="S478" s="324"/>
      <c r="T478" s="324"/>
      <c r="U478" s="324"/>
      <c r="V478" s="377">
        <v>42088</v>
      </c>
      <c r="W478" s="198">
        <v>68.449996999999996</v>
      </c>
      <c r="X478" s="349">
        <f t="shared" si="26"/>
        <v>-1.3688832458535138E-2</v>
      </c>
      <c r="Y478" s="198">
        <v>2061.0500489999999</v>
      </c>
      <c r="Z478" s="349">
        <f t="shared" si="27"/>
        <v>-1.4558905570164926E-2</v>
      </c>
      <c r="AA478" s="324"/>
      <c r="AB478" s="324"/>
      <c r="AC478" s="324"/>
      <c r="AD478" s="324"/>
      <c r="AE478" s="324"/>
      <c r="AF478" s="324"/>
    </row>
    <row r="479" spans="1:32">
      <c r="A479" s="324"/>
      <c r="B479" s="244"/>
      <c r="C479" s="294"/>
      <c r="D479" s="235"/>
      <c r="E479" s="294"/>
      <c r="F479" s="235"/>
      <c r="G479" s="324"/>
      <c r="H479" s="324"/>
      <c r="I479" s="324"/>
      <c r="J479" s="324"/>
      <c r="K479" s="324"/>
      <c r="L479" s="324"/>
      <c r="M479" s="294"/>
      <c r="N479" s="235"/>
      <c r="O479" s="324"/>
      <c r="P479" s="235"/>
      <c r="Q479" s="324"/>
      <c r="R479" s="324"/>
      <c r="S479" s="324"/>
      <c r="T479" s="324"/>
      <c r="U479" s="324"/>
      <c r="V479" s="377">
        <v>42087</v>
      </c>
      <c r="W479" s="198">
        <v>69.400002000000001</v>
      </c>
      <c r="X479" s="349">
        <f t="shared" si="26"/>
        <v>-1.0076147832500659E-3</v>
      </c>
      <c r="Y479" s="198">
        <v>2091.5</v>
      </c>
      <c r="Z479" s="349">
        <f t="shared" si="27"/>
        <v>-6.1394220159830537E-3</v>
      </c>
      <c r="AA479" s="324"/>
      <c r="AB479" s="324"/>
      <c r="AC479" s="324"/>
      <c r="AD479" s="324"/>
      <c r="AE479" s="324"/>
      <c r="AF479" s="324"/>
    </row>
    <row r="480" spans="1:32">
      <c r="A480" s="324"/>
      <c r="B480" s="244"/>
      <c r="C480" s="294"/>
      <c r="D480" s="235"/>
      <c r="E480" s="294"/>
      <c r="F480" s="235"/>
      <c r="G480" s="324"/>
      <c r="H480" s="324"/>
      <c r="I480" s="324"/>
      <c r="J480" s="324"/>
      <c r="K480" s="324"/>
      <c r="L480" s="324"/>
      <c r="M480" s="294"/>
      <c r="N480" s="235"/>
      <c r="O480" s="324"/>
      <c r="P480" s="235"/>
      <c r="Q480" s="324"/>
      <c r="R480" s="324"/>
      <c r="S480" s="324"/>
      <c r="T480" s="324"/>
      <c r="U480" s="324"/>
      <c r="V480" s="377">
        <v>42086</v>
      </c>
      <c r="W480" s="198">
        <v>69.470000999999996</v>
      </c>
      <c r="X480" s="349">
        <f t="shared" si="26"/>
        <v>-4.316402877698744E-4</v>
      </c>
      <c r="Y480" s="198">
        <v>2104.419922</v>
      </c>
      <c r="Z480" s="349">
        <f t="shared" si="27"/>
        <v>-1.7457311460168379E-3</v>
      </c>
      <c r="AA480" s="324"/>
      <c r="AB480" s="324"/>
      <c r="AC480" s="324"/>
      <c r="AD480" s="324"/>
      <c r="AE480" s="324"/>
      <c r="AF480" s="324"/>
    </row>
    <row r="481" spans="1:32">
      <c r="A481" s="324"/>
      <c r="B481" s="244"/>
      <c r="C481" s="294"/>
      <c r="D481" s="235"/>
      <c r="E481" s="294"/>
      <c r="F481" s="235"/>
      <c r="G481" s="324"/>
      <c r="H481" s="324"/>
      <c r="I481" s="324"/>
      <c r="J481" s="324"/>
      <c r="K481" s="324"/>
      <c r="L481" s="324"/>
      <c r="M481" s="294"/>
      <c r="N481" s="235"/>
      <c r="O481" s="324"/>
      <c r="P481" s="235"/>
      <c r="Q481" s="324"/>
      <c r="R481" s="324"/>
      <c r="S481" s="324"/>
      <c r="T481" s="324"/>
      <c r="U481" s="324"/>
      <c r="V481" s="377">
        <v>42083</v>
      </c>
      <c r="W481" s="198">
        <v>69.5</v>
      </c>
      <c r="X481" s="349">
        <f t="shared" si="26"/>
        <v>4.6256143394043381E-3</v>
      </c>
      <c r="Y481" s="198">
        <v>2108.1000979999999</v>
      </c>
      <c r="Z481" s="349">
        <f t="shared" si="27"/>
        <v>9.0127546079468157E-3</v>
      </c>
      <c r="AA481" s="324"/>
      <c r="AB481" s="324"/>
      <c r="AC481" s="324"/>
      <c r="AD481" s="324"/>
      <c r="AE481" s="324"/>
      <c r="AF481" s="324"/>
    </row>
    <row r="482" spans="1:32">
      <c r="A482" s="324"/>
      <c r="B482" s="244"/>
      <c r="C482" s="294"/>
      <c r="D482" s="235"/>
      <c r="E482" s="294"/>
      <c r="F482" s="235"/>
      <c r="G482" s="324"/>
      <c r="H482" s="324"/>
      <c r="I482" s="324"/>
      <c r="J482" s="324"/>
      <c r="K482" s="324"/>
      <c r="L482" s="324"/>
      <c r="M482" s="294"/>
      <c r="N482" s="235"/>
      <c r="O482" s="324"/>
      <c r="P482" s="235"/>
      <c r="Q482" s="324"/>
      <c r="R482" s="324"/>
      <c r="S482" s="324"/>
      <c r="T482" s="324"/>
      <c r="U482" s="324"/>
      <c r="V482" s="377">
        <v>42082</v>
      </c>
      <c r="W482" s="198">
        <v>69.180000000000007</v>
      </c>
      <c r="X482" s="349">
        <f t="shared" si="26"/>
        <v>3.1459669002534829E-2</v>
      </c>
      <c r="Y482" s="198">
        <v>2089.2700199999999</v>
      </c>
      <c r="Z482" s="349">
        <f t="shared" si="27"/>
        <v>-4.8725791855204204E-3</v>
      </c>
      <c r="AA482" s="324"/>
      <c r="AB482" s="324"/>
      <c r="AC482" s="324"/>
      <c r="AD482" s="324"/>
      <c r="AE482" s="324"/>
      <c r="AF482" s="324"/>
    </row>
    <row r="483" spans="1:32">
      <c r="A483" s="324"/>
      <c r="B483" s="244"/>
      <c r="C483" s="294"/>
      <c r="D483" s="235"/>
      <c r="E483" s="294"/>
      <c r="F483" s="235"/>
      <c r="G483" s="324"/>
      <c r="H483" s="324"/>
      <c r="I483" s="324"/>
      <c r="J483" s="324"/>
      <c r="K483" s="324"/>
      <c r="L483" s="324"/>
      <c r="M483" s="294"/>
      <c r="N483" s="235"/>
      <c r="O483" s="324"/>
      <c r="P483" s="235"/>
      <c r="Q483" s="324"/>
      <c r="R483" s="324"/>
      <c r="S483" s="324"/>
      <c r="T483" s="324"/>
      <c r="U483" s="324"/>
      <c r="V483" s="377">
        <v>42081</v>
      </c>
      <c r="W483" s="198">
        <v>67.069999999999993</v>
      </c>
      <c r="X483" s="349">
        <f t="shared" si="26"/>
        <v>-2.9804741678629565E-4</v>
      </c>
      <c r="Y483" s="198">
        <v>2099.5</v>
      </c>
      <c r="Z483" s="349">
        <f t="shared" si="27"/>
        <v>1.2158421547431297E-2</v>
      </c>
      <c r="AA483" s="324"/>
      <c r="AB483" s="324"/>
      <c r="AC483" s="324"/>
      <c r="AD483" s="324"/>
      <c r="AE483" s="324"/>
      <c r="AF483" s="324"/>
    </row>
    <row r="484" spans="1:32">
      <c r="A484" s="324"/>
      <c r="B484" s="244"/>
      <c r="C484" s="294"/>
      <c r="D484" s="235"/>
      <c r="E484" s="294"/>
      <c r="F484" s="235"/>
      <c r="G484" s="324"/>
      <c r="H484" s="324"/>
      <c r="I484" s="324"/>
      <c r="J484" s="324"/>
      <c r="K484" s="324"/>
      <c r="L484" s="324"/>
      <c r="M484" s="294"/>
      <c r="N484" s="235"/>
      <c r="O484" s="324"/>
      <c r="P484" s="235"/>
      <c r="Q484" s="324"/>
      <c r="R484" s="324"/>
      <c r="S484" s="324"/>
      <c r="T484" s="324"/>
      <c r="U484" s="324"/>
      <c r="V484" s="377">
        <v>42080</v>
      </c>
      <c r="W484" s="198">
        <v>67.089995999999999</v>
      </c>
      <c r="X484" s="349">
        <f t="shared" si="26"/>
        <v>-3.1204604849721651E-3</v>
      </c>
      <c r="Y484" s="198">
        <v>2074.280029</v>
      </c>
      <c r="Z484" s="349">
        <f t="shared" si="27"/>
        <v>-3.3201736486770939E-3</v>
      </c>
      <c r="AA484" s="324"/>
      <c r="AB484" s="324"/>
      <c r="AC484" s="324"/>
      <c r="AD484" s="324"/>
      <c r="AE484" s="324"/>
      <c r="AF484" s="324"/>
    </row>
    <row r="485" spans="1:32">
      <c r="A485" s="324"/>
      <c r="B485" s="244"/>
      <c r="C485" s="294"/>
      <c r="D485" s="235"/>
      <c r="E485" s="294"/>
      <c r="F485" s="235"/>
      <c r="G485" s="324"/>
      <c r="H485" s="324"/>
      <c r="I485" s="324"/>
      <c r="J485" s="324"/>
      <c r="K485" s="324"/>
      <c r="L485" s="324"/>
      <c r="M485" s="294"/>
      <c r="N485" s="235"/>
      <c r="O485" s="324"/>
      <c r="P485" s="235"/>
      <c r="Q485" s="324"/>
      <c r="R485" s="324"/>
      <c r="S485" s="324"/>
      <c r="T485" s="324"/>
      <c r="U485" s="324"/>
      <c r="V485" s="377">
        <v>42079</v>
      </c>
      <c r="W485" s="198">
        <v>67.300003000000004</v>
      </c>
      <c r="X485" s="349">
        <f t="shared" si="26"/>
        <v>1.7384746261988049E-2</v>
      </c>
      <c r="Y485" s="198">
        <v>2081.1899410000001</v>
      </c>
      <c r="Z485" s="349">
        <f t="shared" si="27"/>
        <v>1.3533671143615367E-2</v>
      </c>
      <c r="AA485" s="324"/>
      <c r="AB485" s="324"/>
      <c r="AC485" s="324"/>
      <c r="AD485" s="324"/>
      <c r="AE485" s="324"/>
      <c r="AF485" s="324"/>
    </row>
    <row r="486" spans="1:32">
      <c r="A486" s="324"/>
      <c r="B486" s="244"/>
      <c r="C486" s="294"/>
      <c r="D486" s="235"/>
      <c r="E486" s="294"/>
      <c r="F486" s="235"/>
      <c r="G486" s="324"/>
      <c r="H486" s="324"/>
      <c r="I486" s="324"/>
      <c r="J486" s="324"/>
      <c r="K486" s="324"/>
      <c r="L486" s="324"/>
      <c r="M486" s="294"/>
      <c r="N486" s="235"/>
      <c r="O486" s="324"/>
      <c r="P486" s="235"/>
      <c r="Q486" s="324"/>
      <c r="R486" s="324"/>
      <c r="S486" s="324"/>
      <c r="T486" s="324"/>
      <c r="U486" s="324"/>
      <c r="V486" s="377">
        <v>42076</v>
      </c>
      <c r="W486" s="198">
        <v>66.150002000000001</v>
      </c>
      <c r="X486" s="349">
        <f t="shared" si="26"/>
        <v>-2.8639434949618847E-3</v>
      </c>
      <c r="Y486" s="198">
        <v>2053.3999020000001</v>
      </c>
      <c r="Z486" s="349">
        <f t="shared" si="27"/>
        <v>-6.074711051894166E-3</v>
      </c>
      <c r="AA486" s="324"/>
      <c r="AB486" s="324"/>
      <c r="AC486" s="324"/>
      <c r="AD486" s="324"/>
      <c r="AE486" s="324"/>
      <c r="AF486" s="324"/>
    </row>
    <row r="487" spans="1:32">
      <c r="A487" s="324"/>
      <c r="B487" s="244"/>
      <c r="C487" s="294"/>
      <c r="D487" s="235"/>
      <c r="E487" s="294"/>
      <c r="F487" s="235"/>
      <c r="G487" s="324"/>
      <c r="H487" s="324"/>
      <c r="I487" s="324"/>
      <c r="J487" s="324"/>
      <c r="K487" s="324"/>
      <c r="L487" s="324"/>
      <c r="M487" s="294"/>
      <c r="N487" s="235"/>
      <c r="O487" s="324"/>
      <c r="P487" s="235"/>
      <c r="Q487" s="324"/>
      <c r="R487" s="324"/>
      <c r="S487" s="324"/>
      <c r="T487" s="324"/>
      <c r="U487" s="324"/>
      <c r="V487" s="377">
        <v>42075</v>
      </c>
      <c r="W487" s="198">
        <v>66.339995999999999</v>
      </c>
      <c r="X487" s="349">
        <f t="shared" si="26"/>
        <v>1.8734535377708861E-2</v>
      </c>
      <c r="Y487" s="198">
        <v>2065.9499510000001</v>
      </c>
      <c r="Z487" s="349">
        <f t="shared" si="27"/>
        <v>1.2601439598289632E-2</v>
      </c>
      <c r="AA487" s="324"/>
      <c r="AB487" s="324"/>
      <c r="AC487" s="324"/>
      <c r="AD487" s="324"/>
      <c r="AE487" s="324"/>
      <c r="AF487" s="324"/>
    </row>
    <row r="488" spans="1:32">
      <c r="A488" s="324"/>
      <c r="B488" s="244"/>
      <c r="C488" s="294"/>
      <c r="D488" s="235"/>
      <c r="E488" s="294"/>
      <c r="F488" s="235"/>
      <c r="G488" s="324"/>
      <c r="H488" s="324"/>
      <c r="I488" s="324"/>
      <c r="J488" s="324"/>
      <c r="K488" s="324"/>
      <c r="L488" s="324"/>
      <c r="M488" s="294"/>
      <c r="N488" s="235"/>
      <c r="O488" s="324"/>
      <c r="P488" s="235"/>
      <c r="Q488" s="324"/>
      <c r="R488" s="324"/>
      <c r="S488" s="324"/>
      <c r="T488" s="324"/>
      <c r="U488" s="324"/>
      <c r="V488" s="377">
        <v>42074</v>
      </c>
      <c r="W488" s="198">
        <v>65.120002999999997</v>
      </c>
      <c r="X488" s="349">
        <f t="shared" si="26"/>
        <v>-1.5344695931751584E-4</v>
      </c>
      <c r="Y488" s="198">
        <v>2040.23999</v>
      </c>
      <c r="Z488" s="349">
        <f t="shared" si="27"/>
        <v>-1.9176796017918996E-3</v>
      </c>
      <c r="AA488" s="324"/>
      <c r="AB488" s="324"/>
      <c r="AC488" s="324"/>
      <c r="AD488" s="324"/>
      <c r="AE488" s="324"/>
      <c r="AF488" s="324"/>
    </row>
    <row r="489" spans="1:32">
      <c r="A489" s="324"/>
      <c r="B489" s="244"/>
      <c r="C489" s="294"/>
      <c r="D489" s="235"/>
      <c r="E489" s="294"/>
      <c r="F489" s="235"/>
      <c r="G489" s="324"/>
      <c r="H489" s="324"/>
      <c r="I489" s="324"/>
      <c r="J489" s="324"/>
      <c r="K489" s="324"/>
      <c r="L489" s="324"/>
      <c r="M489" s="294"/>
      <c r="N489" s="235"/>
      <c r="O489" s="324"/>
      <c r="P489" s="235"/>
      <c r="Q489" s="324"/>
      <c r="R489" s="324"/>
      <c r="S489" s="324"/>
      <c r="T489" s="324"/>
      <c r="U489" s="324"/>
      <c r="V489" s="377">
        <v>42073</v>
      </c>
      <c r="W489" s="198">
        <v>65.129997000000003</v>
      </c>
      <c r="X489" s="349">
        <f t="shared" si="26"/>
        <v>-2.5437751745091775E-2</v>
      </c>
      <c r="Y489" s="198">
        <v>2044.160034</v>
      </c>
      <c r="Z489" s="349">
        <f t="shared" si="27"/>
        <v>-1.6961330342146863E-2</v>
      </c>
      <c r="AA489" s="324"/>
      <c r="AB489" s="324"/>
      <c r="AC489" s="324"/>
      <c r="AD489" s="324"/>
      <c r="AE489" s="324"/>
      <c r="AF489" s="324"/>
    </row>
    <row r="490" spans="1:32">
      <c r="A490" s="324"/>
      <c r="B490" s="244"/>
      <c r="C490" s="294"/>
      <c r="D490" s="235"/>
      <c r="E490" s="294"/>
      <c r="F490" s="235"/>
      <c r="G490" s="324"/>
      <c r="H490" s="324"/>
      <c r="I490" s="324"/>
      <c r="J490" s="324"/>
      <c r="K490" s="324"/>
      <c r="L490" s="324"/>
      <c r="M490" s="294"/>
      <c r="N490" s="235"/>
      <c r="O490" s="324"/>
      <c r="P490" s="235"/>
      <c r="Q490" s="324"/>
      <c r="R490" s="324"/>
      <c r="S490" s="324"/>
      <c r="T490" s="324"/>
      <c r="U490" s="324"/>
      <c r="V490" s="377">
        <v>42072</v>
      </c>
      <c r="W490" s="198">
        <v>66.830001999999993</v>
      </c>
      <c r="X490" s="349">
        <f t="shared" si="26"/>
        <v>3.7548812329564196E-3</v>
      </c>
      <c r="Y490" s="198">
        <v>2079.429932</v>
      </c>
      <c r="Z490" s="349">
        <f t="shared" si="27"/>
        <v>3.9444212511012822E-3</v>
      </c>
      <c r="AA490" s="324"/>
      <c r="AB490" s="324"/>
      <c r="AC490" s="324"/>
      <c r="AD490" s="324"/>
      <c r="AE490" s="324"/>
      <c r="AF490" s="324"/>
    </row>
    <row r="491" spans="1:32">
      <c r="A491" s="324"/>
      <c r="B491" s="244"/>
      <c r="C491" s="294"/>
      <c r="D491" s="235"/>
      <c r="E491" s="294"/>
      <c r="F491" s="235"/>
      <c r="G491" s="324"/>
      <c r="H491" s="324"/>
      <c r="I491" s="324"/>
      <c r="J491" s="324"/>
      <c r="K491" s="324"/>
      <c r="L491" s="324"/>
      <c r="M491" s="294"/>
      <c r="N491" s="235"/>
      <c r="O491" s="324"/>
      <c r="P491" s="235"/>
      <c r="Q491" s="324"/>
      <c r="R491" s="324"/>
      <c r="S491" s="324"/>
      <c r="T491" s="324"/>
      <c r="U491" s="324"/>
      <c r="V491" s="377">
        <v>42069</v>
      </c>
      <c r="W491" s="198">
        <v>66.580001999999993</v>
      </c>
      <c r="X491" s="349">
        <f t="shared" si="26"/>
        <v>-2.059430624032188E-2</v>
      </c>
      <c r="Y491" s="198">
        <v>2071.26001</v>
      </c>
      <c r="Z491" s="349">
        <f t="shared" si="27"/>
        <v>-1.4173946449004382E-2</v>
      </c>
      <c r="AA491" s="324"/>
      <c r="AB491" s="324"/>
      <c r="AC491" s="324"/>
      <c r="AD491" s="324"/>
      <c r="AE491" s="324"/>
      <c r="AF491" s="324"/>
    </row>
    <row r="492" spans="1:32">
      <c r="A492" s="324"/>
      <c r="B492" s="244"/>
      <c r="C492" s="294"/>
      <c r="D492" s="235"/>
      <c r="E492" s="294"/>
      <c r="F492" s="235"/>
      <c r="G492" s="324"/>
      <c r="H492" s="324"/>
      <c r="I492" s="324"/>
      <c r="J492" s="324"/>
      <c r="K492" s="324"/>
      <c r="L492" s="324"/>
      <c r="M492" s="294"/>
      <c r="N492" s="235"/>
      <c r="O492" s="324"/>
      <c r="P492" s="235"/>
      <c r="Q492" s="324"/>
      <c r="R492" s="324"/>
      <c r="S492" s="324"/>
      <c r="T492" s="324"/>
      <c r="U492" s="324"/>
      <c r="V492" s="377">
        <v>42068</v>
      </c>
      <c r="W492" s="198">
        <v>67.980002999999996</v>
      </c>
      <c r="X492" s="349">
        <f t="shared" si="26"/>
        <v>1.1757716572176724E-2</v>
      </c>
      <c r="Y492" s="198">
        <v>2101.040039</v>
      </c>
      <c r="Z492" s="349">
        <f t="shared" si="27"/>
        <v>1.1960800966932528E-3</v>
      </c>
      <c r="AA492" s="324"/>
      <c r="AB492" s="324"/>
      <c r="AC492" s="324"/>
      <c r="AD492" s="324"/>
      <c r="AE492" s="324"/>
      <c r="AF492" s="324"/>
    </row>
    <row r="493" spans="1:32">
      <c r="A493" s="324"/>
      <c r="B493" s="244"/>
      <c r="C493" s="294"/>
      <c r="D493" s="235"/>
      <c r="E493" s="294"/>
      <c r="F493" s="235"/>
      <c r="G493" s="324"/>
      <c r="H493" s="324"/>
      <c r="I493" s="324"/>
      <c r="J493" s="324"/>
      <c r="K493" s="324"/>
      <c r="L493" s="324"/>
      <c r="M493" s="294"/>
      <c r="N493" s="235"/>
      <c r="O493" s="324"/>
      <c r="P493" s="235"/>
      <c r="Q493" s="324"/>
      <c r="R493" s="324"/>
      <c r="S493" s="324"/>
      <c r="T493" s="324"/>
      <c r="U493" s="324"/>
      <c r="V493" s="377">
        <v>42067</v>
      </c>
      <c r="W493" s="198">
        <v>67.190002000000007</v>
      </c>
      <c r="X493" s="349">
        <f t="shared" si="26"/>
        <v>-1.9124058394160537E-2</v>
      </c>
      <c r="Y493" s="198">
        <v>2098.530029</v>
      </c>
      <c r="Z493" s="349">
        <f t="shared" si="27"/>
        <v>-4.3885034836337322E-3</v>
      </c>
      <c r="AA493" s="324"/>
      <c r="AB493" s="324"/>
      <c r="AC493" s="324"/>
      <c r="AD493" s="324"/>
      <c r="AE493" s="324"/>
      <c r="AF493" s="324"/>
    </row>
    <row r="494" spans="1:32">
      <c r="A494" s="324"/>
      <c r="B494" s="244"/>
      <c r="C494" s="294"/>
      <c r="D494" s="235"/>
      <c r="E494" s="294"/>
      <c r="F494" s="235"/>
      <c r="G494" s="324"/>
      <c r="H494" s="324"/>
      <c r="I494" s="324"/>
      <c r="J494" s="324"/>
      <c r="K494" s="324"/>
      <c r="L494" s="324"/>
      <c r="M494" s="294"/>
      <c r="N494" s="235"/>
      <c r="O494" s="324"/>
      <c r="P494" s="235"/>
      <c r="Q494" s="324"/>
      <c r="R494" s="324"/>
      <c r="S494" s="324"/>
      <c r="T494" s="324"/>
      <c r="U494" s="324"/>
      <c r="V494" s="377">
        <v>42066</v>
      </c>
      <c r="W494" s="198">
        <v>68.5</v>
      </c>
      <c r="X494" s="349">
        <f t="shared" si="26"/>
        <v>-1.665236769150924E-2</v>
      </c>
      <c r="Y494" s="198">
        <v>2107.780029</v>
      </c>
      <c r="Z494" s="349">
        <f t="shared" si="27"/>
        <v>-4.5385424912860461E-3</v>
      </c>
      <c r="AA494" s="324"/>
      <c r="AB494" s="324"/>
      <c r="AC494" s="324"/>
      <c r="AD494" s="324"/>
      <c r="AE494" s="324"/>
      <c r="AF494" s="324"/>
    </row>
    <row r="495" spans="1:32">
      <c r="A495" s="324"/>
      <c r="B495" s="244"/>
      <c r="C495" s="294"/>
      <c r="D495" s="235"/>
      <c r="E495" s="294"/>
      <c r="F495" s="235"/>
      <c r="G495" s="324"/>
      <c r="H495" s="324"/>
      <c r="I495" s="324"/>
      <c r="J495" s="324"/>
      <c r="K495" s="324"/>
      <c r="L495" s="324"/>
      <c r="M495" s="294"/>
      <c r="N495" s="235"/>
      <c r="O495" s="324"/>
      <c r="P495" s="235"/>
      <c r="Q495" s="324"/>
      <c r="R495" s="324"/>
      <c r="S495" s="324"/>
      <c r="T495" s="324"/>
      <c r="U495" s="324"/>
      <c r="V495" s="377">
        <v>42065</v>
      </c>
      <c r="W495" s="198">
        <v>69.660004000000001</v>
      </c>
      <c r="X495" s="349">
        <f t="shared" si="26"/>
        <v>7.8125141285079192E-3</v>
      </c>
      <c r="Y495" s="198">
        <v>2117.389893</v>
      </c>
      <c r="Z495" s="349">
        <f t="shared" si="27"/>
        <v>6.1249194583037347E-3</v>
      </c>
      <c r="AA495" s="324"/>
      <c r="AB495" s="324"/>
      <c r="AC495" s="324"/>
      <c r="AD495" s="324"/>
      <c r="AE495" s="324"/>
      <c r="AF495" s="324"/>
    </row>
    <row r="496" spans="1:32">
      <c r="A496" s="324"/>
      <c r="B496" s="244"/>
      <c r="C496" s="294"/>
      <c r="D496" s="235"/>
      <c r="E496" s="294"/>
      <c r="F496" s="235"/>
      <c r="G496" s="324"/>
      <c r="H496" s="324"/>
      <c r="I496" s="324"/>
      <c r="J496" s="324"/>
      <c r="K496" s="324"/>
      <c r="L496" s="324"/>
      <c r="M496" s="294"/>
      <c r="N496" s="235"/>
      <c r="O496" s="324"/>
      <c r="P496" s="235"/>
      <c r="Q496" s="324"/>
      <c r="R496" s="324"/>
      <c r="S496" s="324"/>
      <c r="T496" s="324"/>
      <c r="U496" s="324"/>
      <c r="V496" s="377">
        <v>42062</v>
      </c>
      <c r="W496" s="198">
        <v>69.120002999999997</v>
      </c>
      <c r="X496" s="349">
        <f t="shared" si="26"/>
        <v>-4.0345676070729919E-3</v>
      </c>
      <c r="Y496" s="198">
        <v>2104.5</v>
      </c>
      <c r="Z496" s="349">
        <f t="shared" si="27"/>
        <v>-2.9563044380468417E-3</v>
      </c>
      <c r="AA496" s="324"/>
      <c r="AB496" s="324"/>
      <c r="AC496" s="324"/>
      <c r="AD496" s="324"/>
      <c r="AE496" s="324"/>
      <c r="AF496" s="324"/>
    </row>
    <row r="497" spans="1:32">
      <c r="A497" s="324"/>
      <c r="B497" s="244"/>
      <c r="C497" s="294"/>
      <c r="D497" s="235"/>
      <c r="E497" s="294"/>
      <c r="F497" s="235"/>
      <c r="G497" s="324"/>
      <c r="H497" s="324"/>
      <c r="I497" s="324"/>
      <c r="J497" s="324"/>
      <c r="K497" s="324"/>
      <c r="L497" s="324"/>
      <c r="M497" s="294"/>
      <c r="N497" s="235"/>
      <c r="O497" s="324"/>
      <c r="P497" s="235"/>
      <c r="Q497" s="324"/>
      <c r="R497" s="324"/>
      <c r="S497" s="324"/>
      <c r="T497" s="324"/>
      <c r="U497" s="324"/>
      <c r="V497" s="377">
        <v>42061</v>
      </c>
      <c r="W497" s="198">
        <v>69.400002000000001</v>
      </c>
      <c r="X497" s="349">
        <f t="shared" si="26"/>
        <v>-5.1605503107640116E-3</v>
      </c>
      <c r="Y497" s="198">
        <v>2110.73999</v>
      </c>
      <c r="Z497" s="349">
        <f t="shared" si="27"/>
        <v>-1.4760281390748808E-3</v>
      </c>
      <c r="AA497" s="324"/>
      <c r="AB497" s="324"/>
      <c r="AC497" s="324"/>
      <c r="AD497" s="324"/>
      <c r="AE497" s="324"/>
      <c r="AF497" s="324"/>
    </row>
    <row r="498" spans="1:32">
      <c r="A498" s="324"/>
      <c r="B498" s="244"/>
      <c r="C498" s="294"/>
      <c r="D498" s="235"/>
      <c r="E498" s="294"/>
      <c r="F498" s="235"/>
      <c r="G498" s="324"/>
      <c r="H498" s="324"/>
      <c r="I498" s="324"/>
      <c r="J498" s="324"/>
      <c r="K498" s="324"/>
      <c r="L498" s="324"/>
      <c r="M498" s="294"/>
      <c r="N498" s="235"/>
      <c r="O498" s="324"/>
      <c r="P498" s="235"/>
      <c r="Q498" s="324"/>
      <c r="R498" s="324"/>
      <c r="S498" s="324"/>
      <c r="T498" s="324"/>
      <c r="U498" s="324"/>
      <c r="V498" s="377">
        <v>42060</v>
      </c>
      <c r="W498" s="198">
        <v>69.760002</v>
      </c>
      <c r="X498" s="349">
        <f t="shared" si="26"/>
        <v>1.2628872298285243E-2</v>
      </c>
      <c r="Y498" s="198">
        <v>2113.860107</v>
      </c>
      <c r="Z498" s="349">
        <f t="shared" si="27"/>
        <v>-7.6572362551974305E-4</v>
      </c>
      <c r="AA498" s="324"/>
      <c r="AB498" s="324"/>
      <c r="AC498" s="324"/>
      <c r="AD498" s="324"/>
      <c r="AE498" s="324"/>
      <c r="AF498" s="324"/>
    </row>
    <row r="499" spans="1:32">
      <c r="A499" s="324"/>
      <c r="B499" s="244"/>
      <c r="C499" s="294"/>
      <c r="D499" s="235"/>
      <c r="E499" s="294"/>
      <c r="F499" s="235"/>
      <c r="G499" s="324"/>
      <c r="H499" s="324"/>
      <c r="I499" s="324"/>
      <c r="J499" s="324"/>
      <c r="K499" s="324"/>
      <c r="L499" s="324"/>
      <c r="M499" s="294"/>
      <c r="N499" s="235"/>
      <c r="O499" s="324"/>
      <c r="P499" s="235"/>
      <c r="Q499" s="324"/>
      <c r="R499" s="324"/>
      <c r="S499" s="324"/>
      <c r="T499" s="324"/>
      <c r="U499" s="324"/>
      <c r="V499" s="377">
        <v>42059</v>
      </c>
      <c r="W499" s="198">
        <v>68.889999000000003</v>
      </c>
      <c r="X499" s="349">
        <f t="shared" si="26"/>
        <v>5.1064778945655309E-3</v>
      </c>
      <c r="Y499" s="198">
        <v>2115.4799800000001</v>
      </c>
      <c r="Z499" s="349">
        <f t="shared" si="27"/>
        <v>2.7587707226623959E-3</v>
      </c>
      <c r="AA499" s="324"/>
      <c r="AB499" s="324"/>
      <c r="AC499" s="324"/>
      <c r="AD499" s="324"/>
      <c r="AE499" s="324"/>
      <c r="AF499" s="324"/>
    </row>
    <row r="500" spans="1:32">
      <c r="A500" s="324"/>
      <c r="B500" s="244"/>
      <c r="C500" s="294"/>
      <c r="D500" s="235"/>
      <c r="E500" s="294"/>
      <c r="F500" s="235"/>
      <c r="G500" s="324"/>
      <c r="H500" s="324"/>
      <c r="I500" s="324"/>
      <c r="J500" s="324"/>
      <c r="K500" s="324"/>
      <c r="L500" s="324"/>
      <c r="M500" s="294"/>
      <c r="N500" s="235"/>
      <c r="O500" s="324"/>
      <c r="P500" s="235"/>
      <c r="Q500" s="324"/>
      <c r="R500" s="324"/>
      <c r="S500" s="324"/>
      <c r="T500" s="324"/>
      <c r="U500" s="324"/>
      <c r="V500" s="377">
        <v>42058</v>
      </c>
      <c r="W500" s="198">
        <v>68.540001000000004</v>
      </c>
      <c r="X500" s="349">
        <f t="shared" si="26"/>
        <v>-2.7249475266100887E-2</v>
      </c>
      <c r="Y500" s="198">
        <v>2109.6599120000001</v>
      </c>
      <c r="Z500" s="349">
        <f t="shared" si="27"/>
        <v>-3.0333932859605284E-4</v>
      </c>
      <c r="AA500" s="324"/>
      <c r="AB500" s="324"/>
      <c r="AC500" s="324"/>
      <c r="AD500" s="324"/>
      <c r="AE500" s="324"/>
      <c r="AF500" s="324"/>
    </row>
    <row r="501" spans="1:32">
      <c r="A501" s="324"/>
      <c r="B501" s="244"/>
      <c r="C501" s="294"/>
      <c r="D501" s="235"/>
      <c r="E501" s="294"/>
      <c r="F501" s="235"/>
      <c r="G501" s="324"/>
      <c r="H501" s="324"/>
      <c r="I501" s="324"/>
      <c r="J501" s="324"/>
      <c r="K501" s="324"/>
      <c r="L501" s="324"/>
      <c r="M501" s="294"/>
      <c r="N501" s="235"/>
      <c r="O501" s="324"/>
      <c r="P501" s="235"/>
      <c r="Q501" s="324"/>
      <c r="R501" s="324"/>
      <c r="S501" s="324"/>
      <c r="T501" s="324"/>
      <c r="U501" s="324"/>
      <c r="V501" s="377">
        <v>42055</v>
      </c>
      <c r="W501" s="198">
        <v>70.459998999999996</v>
      </c>
      <c r="X501" s="349">
        <f t="shared" si="26"/>
        <v>1.4250726727353946E-2</v>
      </c>
      <c r="Y501" s="198">
        <v>2110.3000489999999</v>
      </c>
      <c r="Z501" s="349">
        <f t="shared" si="27"/>
        <v>6.1265337911273754E-3</v>
      </c>
      <c r="AA501" s="324"/>
      <c r="AB501" s="324"/>
      <c r="AC501" s="324"/>
      <c r="AD501" s="324"/>
      <c r="AE501" s="324"/>
      <c r="AF501" s="324"/>
    </row>
    <row r="502" spans="1:32">
      <c r="A502" s="324"/>
      <c r="B502" s="244"/>
      <c r="C502" s="294"/>
      <c r="D502" s="235"/>
      <c r="E502" s="294"/>
      <c r="F502" s="235"/>
      <c r="G502" s="324"/>
      <c r="H502" s="324"/>
      <c r="I502" s="324"/>
      <c r="J502" s="324"/>
      <c r="K502" s="324"/>
      <c r="L502" s="324"/>
      <c r="M502" s="294"/>
      <c r="N502" s="235"/>
      <c r="O502" s="324"/>
      <c r="P502" s="235"/>
      <c r="Q502" s="324"/>
      <c r="R502" s="324"/>
      <c r="S502" s="324"/>
      <c r="T502" s="324"/>
      <c r="U502" s="324"/>
      <c r="V502" s="377">
        <v>42054</v>
      </c>
      <c r="W502" s="198">
        <v>69.470000999999996</v>
      </c>
      <c r="X502" s="349">
        <f t="shared" si="26"/>
        <v>3.4666761461790152E-3</v>
      </c>
      <c r="Y502" s="198">
        <v>2097.4499510000001</v>
      </c>
      <c r="Z502" s="349">
        <f t="shared" si="27"/>
        <v>-1.0620575860226245E-3</v>
      </c>
      <c r="AA502" s="324"/>
      <c r="AB502" s="324"/>
      <c r="AC502" s="324"/>
      <c r="AD502" s="324"/>
      <c r="AE502" s="324"/>
      <c r="AF502" s="324"/>
    </row>
    <row r="503" spans="1:32">
      <c r="A503" s="324"/>
      <c r="B503" s="244"/>
      <c r="C503" s="294"/>
      <c r="D503" s="235"/>
      <c r="E503" s="294"/>
      <c r="F503" s="235"/>
      <c r="G503" s="324"/>
      <c r="H503" s="324"/>
      <c r="I503" s="324"/>
      <c r="J503" s="324"/>
      <c r="K503" s="324"/>
      <c r="L503" s="324"/>
      <c r="M503" s="294"/>
      <c r="N503" s="235"/>
      <c r="O503" s="324"/>
      <c r="P503" s="235"/>
      <c r="Q503" s="324"/>
      <c r="R503" s="324"/>
      <c r="S503" s="324"/>
      <c r="T503" s="324"/>
      <c r="U503" s="324"/>
      <c r="V503" s="377">
        <v>42053</v>
      </c>
      <c r="W503" s="198">
        <v>69.230002999999996</v>
      </c>
      <c r="X503" s="349">
        <f t="shared" si="26"/>
        <v>9.183746623432798E-3</v>
      </c>
      <c r="Y503" s="198">
        <v>2099.679932</v>
      </c>
      <c r="Z503" s="349">
        <f t="shared" si="27"/>
        <v>-3.1430909868912504E-4</v>
      </c>
      <c r="AA503" s="324"/>
      <c r="AB503" s="324"/>
      <c r="AC503" s="324"/>
      <c r="AD503" s="324"/>
      <c r="AE503" s="324"/>
      <c r="AF503" s="324"/>
    </row>
    <row r="504" spans="1:32">
      <c r="A504" s="324"/>
      <c r="B504" s="244"/>
      <c r="C504" s="294"/>
      <c r="D504" s="235"/>
      <c r="E504" s="294"/>
      <c r="F504" s="235"/>
      <c r="G504" s="324"/>
      <c r="H504" s="324"/>
      <c r="I504" s="324"/>
      <c r="J504" s="324"/>
      <c r="K504" s="324"/>
      <c r="L504" s="324"/>
      <c r="M504" s="294"/>
      <c r="N504" s="235"/>
      <c r="O504" s="324"/>
      <c r="P504" s="235"/>
      <c r="Q504" s="324"/>
      <c r="R504" s="324"/>
      <c r="S504" s="324"/>
      <c r="T504" s="324"/>
      <c r="U504" s="324"/>
      <c r="V504" s="377">
        <v>42052</v>
      </c>
      <c r="W504" s="198">
        <v>68.599997999999999</v>
      </c>
      <c r="X504" s="349">
        <f t="shared" si="26"/>
        <v>1.8985978983701024E-3</v>
      </c>
      <c r="Y504" s="198">
        <v>2100.3400879999999</v>
      </c>
      <c r="Z504" s="349">
        <f t="shared" si="27"/>
        <v>1.5975746264769164E-3</v>
      </c>
      <c r="AA504" s="324"/>
      <c r="AB504" s="324"/>
      <c r="AC504" s="324"/>
      <c r="AD504" s="324"/>
      <c r="AE504" s="324"/>
      <c r="AF504" s="324"/>
    </row>
    <row r="505" spans="1:32">
      <c r="A505" s="324"/>
      <c r="B505" s="244"/>
      <c r="C505" s="294"/>
      <c r="D505" s="235"/>
      <c r="E505" s="294"/>
      <c r="F505" s="235"/>
      <c r="G505" s="324"/>
      <c r="H505" s="324"/>
      <c r="I505" s="324"/>
      <c r="J505" s="324"/>
      <c r="K505" s="324"/>
      <c r="L505" s="324"/>
      <c r="M505" s="294"/>
      <c r="N505" s="235"/>
      <c r="O505" s="324"/>
      <c r="P505" s="235"/>
      <c r="Q505" s="324"/>
      <c r="R505" s="324"/>
      <c r="S505" s="324"/>
      <c r="T505" s="324"/>
      <c r="U505" s="324"/>
      <c r="V505" s="377">
        <v>42048</v>
      </c>
      <c r="W505" s="198">
        <v>68.470000999999996</v>
      </c>
      <c r="X505" s="349">
        <f t="shared" si="26"/>
        <v>8.3946831106131992E-3</v>
      </c>
      <c r="Y505" s="198">
        <v>2096.98999</v>
      </c>
      <c r="Z505" s="349">
        <f t="shared" si="27"/>
        <v>4.0747386048680667E-3</v>
      </c>
      <c r="AA505" s="324"/>
      <c r="AB505" s="324"/>
      <c r="AC505" s="324"/>
      <c r="AD505" s="324"/>
      <c r="AE505" s="324"/>
      <c r="AF505" s="324"/>
    </row>
    <row r="506" spans="1:32">
      <c r="A506" s="324"/>
      <c r="B506" s="244"/>
      <c r="C506" s="294"/>
      <c r="D506" s="235"/>
      <c r="E506" s="294"/>
      <c r="F506" s="235"/>
      <c r="G506" s="324"/>
      <c r="H506" s="324"/>
      <c r="I506" s="324"/>
      <c r="J506" s="324"/>
      <c r="K506" s="324"/>
      <c r="L506" s="324"/>
      <c r="M506" s="294"/>
      <c r="N506" s="235"/>
      <c r="O506" s="324"/>
      <c r="P506" s="235"/>
      <c r="Q506" s="324"/>
      <c r="R506" s="324"/>
      <c r="S506" s="324"/>
      <c r="T506" s="324"/>
      <c r="U506" s="324"/>
      <c r="V506" s="377">
        <v>42047</v>
      </c>
      <c r="W506" s="198">
        <v>67.900002000000001</v>
      </c>
      <c r="X506" s="349">
        <f t="shared" si="26"/>
        <v>8.1663551051627259E-3</v>
      </c>
      <c r="Y506" s="198">
        <v>2088.4799800000001</v>
      </c>
      <c r="Z506" s="349">
        <f t="shared" si="27"/>
        <v>9.6445063500696371E-3</v>
      </c>
      <c r="AA506" s="324"/>
      <c r="AB506" s="324"/>
      <c r="AC506" s="324"/>
      <c r="AD506" s="324"/>
      <c r="AE506" s="324"/>
      <c r="AF506" s="324"/>
    </row>
    <row r="507" spans="1:32">
      <c r="A507" s="324"/>
      <c r="B507" s="244"/>
      <c r="C507" s="294"/>
      <c r="D507" s="235"/>
      <c r="E507" s="294"/>
      <c r="F507" s="235"/>
      <c r="G507" s="324"/>
      <c r="H507" s="324"/>
      <c r="I507" s="324"/>
      <c r="J507" s="324"/>
      <c r="K507" s="324"/>
      <c r="L507" s="324"/>
      <c r="M507" s="294"/>
      <c r="N507" s="235"/>
      <c r="O507" s="324"/>
      <c r="P507" s="235"/>
      <c r="Q507" s="324"/>
      <c r="R507" s="324"/>
      <c r="S507" s="324"/>
      <c r="T507" s="324"/>
      <c r="U507" s="324"/>
      <c r="V507" s="377">
        <v>42046</v>
      </c>
      <c r="W507" s="198">
        <v>67.349997999999999</v>
      </c>
      <c r="X507" s="349">
        <f t="shared" si="26"/>
        <v>2.4490417538497677E-2</v>
      </c>
      <c r="Y507" s="198">
        <v>2068.530029</v>
      </c>
      <c r="Z507" s="349">
        <f t="shared" si="27"/>
        <v>-2.9033785063692363E-5</v>
      </c>
      <c r="AA507" s="324"/>
      <c r="AB507" s="324"/>
      <c r="AC507" s="324"/>
      <c r="AD507" s="324"/>
      <c r="AE507" s="324"/>
      <c r="AF507" s="324"/>
    </row>
    <row r="508" spans="1:32">
      <c r="A508" s="324"/>
      <c r="B508" s="244"/>
      <c r="C508" s="294"/>
      <c r="D508" s="235"/>
      <c r="E508" s="294"/>
      <c r="F508" s="235"/>
      <c r="G508" s="324"/>
      <c r="H508" s="324"/>
      <c r="I508" s="324"/>
      <c r="J508" s="324"/>
      <c r="K508" s="324"/>
      <c r="L508" s="324"/>
      <c r="M508" s="294"/>
      <c r="N508" s="235"/>
      <c r="O508" s="324"/>
      <c r="P508" s="235"/>
      <c r="Q508" s="324"/>
      <c r="R508" s="324"/>
      <c r="S508" s="324"/>
      <c r="T508" s="324"/>
      <c r="U508" s="324"/>
      <c r="V508" s="377">
        <v>42045</v>
      </c>
      <c r="W508" s="198">
        <v>65.739998</v>
      </c>
      <c r="X508" s="349">
        <f t="shared" si="26"/>
        <v>1.2942927182036046E-2</v>
      </c>
      <c r="Y508" s="198">
        <v>2068.5900879999999</v>
      </c>
      <c r="Z508" s="349">
        <f t="shared" si="27"/>
        <v>1.0675561188404625E-2</v>
      </c>
      <c r="AA508" s="324"/>
      <c r="AB508" s="324"/>
      <c r="AC508" s="324"/>
      <c r="AD508" s="324"/>
      <c r="AE508" s="324"/>
      <c r="AF508" s="324"/>
    </row>
    <row r="509" spans="1:32">
      <c r="A509" s="324"/>
      <c r="B509" s="244"/>
      <c r="C509" s="294"/>
      <c r="D509" s="235"/>
      <c r="E509" s="294"/>
      <c r="F509" s="235"/>
      <c r="G509" s="324"/>
      <c r="H509" s="324"/>
      <c r="I509" s="324"/>
      <c r="J509" s="324"/>
      <c r="K509" s="324"/>
      <c r="L509" s="324"/>
      <c r="M509" s="294"/>
      <c r="N509" s="235"/>
      <c r="O509" s="324"/>
      <c r="P509" s="235"/>
      <c r="Q509" s="324"/>
      <c r="R509" s="324"/>
      <c r="S509" s="324"/>
      <c r="T509" s="324"/>
      <c r="U509" s="324"/>
      <c r="V509" s="377">
        <v>42044</v>
      </c>
      <c r="W509" s="198">
        <v>64.900002000000001</v>
      </c>
      <c r="X509" s="349">
        <f t="shared" si="26"/>
        <v>-1.0774049395504415E-3</v>
      </c>
      <c r="Y509" s="198">
        <v>2046.73999</v>
      </c>
      <c r="Z509" s="349">
        <f t="shared" si="27"/>
        <v>-4.2471946188310516E-3</v>
      </c>
      <c r="AA509" s="324"/>
      <c r="AB509" s="324"/>
      <c r="AC509" s="324"/>
      <c r="AD509" s="324"/>
      <c r="AE509" s="324"/>
      <c r="AF509" s="324"/>
    </row>
    <row r="510" spans="1:32">
      <c r="A510" s="324"/>
      <c r="B510" s="244"/>
      <c r="C510" s="294"/>
      <c r="D510" s="235"/>
      <c r="E510" s="294"/>
      <c r="F510" s="235"/>
      <c r="G510" s="324"/>
      <c r="H510" s="324"/>
      <c r="I510" s="324"/>
      <c r="J510" s="324"/>
      <c r="K510" s="324"/>
      <c r="L510" s="324"/>
      <c r="M510" s="294"/>
      <c r="N510" s="235"/>
      <c r="O510" s="324"/>
      <c r="P510" s="235"/>
      <c r="Q510" s="324"/>
      <c r="R510" s="324"/>
      <c r="S510" s="324"/>
      <c r="T510" s="324"/>
      <c r="U510" s="324"/>
      <c r="V510" s="377">
        <v>42041</v>
      </c>
      <c r="W510" s="198">
        <v>64.970000999999996</v>
      </c>
      <c r="X510" s="349">
        <f t="shared" si="26"/>
        <v>-5.2058951219076111E-3</v>
      </c>
      <c r="Y510" s="198">
        <v>2055.469971</v>
      </c>
      <c r="Z510" s="349">
        <f t="shared" si="27"/>
        <v>-3.4181723966975053E-3</v>
      </c>
      <c r="AA510" s="324"/>
      <c r="AB510" s="324"/>
      <c r="AC510" s="324"/>
      <c r="AD510" s="324"/>
      <c r="AE510" s="324"/>
      <c r="AF510" s="324"/>
    </row>
    <row r="511" spans="1:32">
      <c r="A511" s="324"/>
      <c r="B511" s="244"/>
      <c r="C511" s="294"/>
      <c r="D511" s="235"/>
      <c r="E511" s="294"/>
      <c r="F511" s="235"/>
      <c r="G511" s="324"/>
      <c r="H511" s="324"/>
      <c r="I511" s="324"/>
      <c r="J511" s="324"/>
      <c r="K511" s="324"/>
      <c r="L511" s="324"/>
      <c r="M511" s="294"/>
      <c r="N511" s="235"/>
      <c r="O511" s="324"/>
      <c r="P511" s="235"/>
      <c r="Q511" s="324"/>
      <c r="R511" s="324"/>
      <c r="S511" s="324"/>
      <c r="T511" s="324"/>
      <c r="U511" s="324"/>
      <c r="V511" s="377">
        <v>42040</v>
      </c>
      <c r="W511" s="198">
        <v>65.309997999999993</v>
      </c>
      <c r="X511" s="349">
        <f t="shared" si="26"/>
        <v>8.0258835001405515E-3</v>
      </c>
      <c r="Y511" s="198">
        <v>2062.5200199999999</v>
      </c>
      <c r="Z511" s="349">
        <f t="shared" si="27"/>
        <v>1.0291406800400527E-2</v>
      </c>
      <c r="AA511" s="324"/>
      <c r="AB511" s="324"/>
      <c r="AC511" s="324"/>
      <c r="AD511" s="324"/>
      <c r="AE511" s="324"/>
      <c r="AF511" s="324"/>
    </row>
    <row r="512" spans="1:32">
      <c r="A512" s="324"/>
      <c r="B512" s="244"/>
      <c r="C512" s="294"/>
      <c r="D512" s="235"/>
      <c r="E512" s="294"/>
      <c r="F512" s="235"/>
      <c r="G512" s="324"/>
      <c r="H512" s="324"/>
      <c r="I512" s="324"/>
      <c r="J512" s="324"/>
      <c r="K512" s="324"/>
      <c r="L512" s="324"/>
      <c r="M512" s="294"/>
      <c r="N512" s="235"/>
      <c r="O512" s="324"/>
      <c r="P512" s="235"/>
      <c r="Q512" s="324"/>
      <c r="R512" s="324"/>
      <c r="S512" s="324"/>
      <c r="T512" s="324"/>
      <c r="U512" s="324"/>
      <c r="V512" s="377">
        <v>42039</v>
      </c>
      <c r="W512" s="198">
        <v>64.790001000000004</v>
      </c>
      <c r="X512" s="349">
        <f t="shared" si="26"/>
        <v>-3.0773504562963128E-3</v>
      </c>
      <c r="Y512" s="198">
        <v>2041.51001</v>
      </c>
      <c r="Z512" s="349">
        <f t="shared" si="27"/>
        <v>-4.1560459502908431E-3</v>
      </c>
      <c r="AA512" s="324"/>
      <c r="AB512" s="324"/>
      <c r="AC512" s="324"/>
      <c r="AD512" s="324"/>
      <c r="AE512" s="324"/>
      <c r="AF512" s="324"/>
    </row>
    <row r="513" spans="1:32">
      <c r="A513" s="324"/>
      <c r="B513" s="244"/>
      <c r="C513" s="294"/>
      <c r="D513" s="235"/>
      <c r="E513" s="294"/>
      <c r="F513" s="235"/>
      <c r="G513" s="324"/>
      <c r="H513" s="324"/>
      <c r="I513" s="324"/>
      <c r="J513" s="324"/>
      <c r="K513" s="324"/>
      <c r="L513" s="324"/>
      <c r="M513" s="294"/>
      <c r="N513" s="235"/>
      <c r="O513" s="324"/>
      <c r="P513" s="235"/>
      <c r="Q513" s="324"/>
      <c r="R513" s="324"/>
      <c r="S513" s="324"/>
      <c r="T513" s="324"/>
      <c r="U513" s="324"/>
      <c r="V513" s="377">
        <v>42038</v>
      </c>
      <c r="W513" s="198">
        <v>64.989998</v>
      </c>
      <c r="X513" s="349">
        <f t="shared" si="26"/>
        <v>1.1674969230229371E-2</v>
      </c>
      <c r="Y513" s="198">
        <v>2050.030029</v>
      </c>
      <c r="Z513" s="349">
        <f t="shared" si="27"/>
        <v>1.4439494938539577E-2</v>
      </c>
      <c r="AA513" s="324"/>
      <c r="AB513" s="324"/>
      <c r="AC513" s="324"/>
      <c r="AD513" s="324"/>
      <c r="AE513" s="324"/>
      <c r="AF513" s="324"/>
    </row>
    <row r="514" spans="1:32">
      <c r="A514" s="324"/>
      <c r="B514" s="244"/>
      <c r="C514" s="294"/>
      <c r="D514" s="235"/>
      <c r="E514" s="294"/>
      <c r="F514" s="235"/>
      <c r="G514" s="324"/>
      <c r="H514" s="324"/>
      <c r="I514" s="324"/>
      <c r="J514" s="324"/>
      <c r="K514" s="324"/>
      <c r="L514" s="324"/>
      <c r="M514" s="294"/>
      <c r="N514" s="235"/>
      <c r="O514" s="324"/>
      <c r="P514" s="235"/>
      <c r="Q514" s="324"/>
      <c r="R514" s="324"/>
      <c r="S514" s="324"/>
      <c r="T514" s="324"/>
      <c r="U514" s="324"/>
      <c r="V514" s="377">
        <v>42037</v>
      </c>
      <c r="W514" s="198">
        <v>64.239998</v>
      </c>
      <c r="X514" s="349">
        <f t="shared" si="26"/>
        <v>7.0543501010449372E-3</v>
      </c>
      <c r="Y514" s="198">
        <v>2020.849976</v>
      </c>
      <c r="Z514" s="349">
        <f t="shared" si="27"/>
        <v>1.2962464037225452E-2</v>
      </c>
      <c r="AA514" s="324"/>
      <c r="AB514" s="324"/>
      <c r="AC514" s="324"/>
      <c r="AD514" s="324"/>
      <c r="AE514" s="324"/>
      <c r="AF514" s="324"/>
    </row>
    <row r="515" spans="1:32">
      <c r="A515" s="324"/>
      <c r="B515" s="244"/>
      <c r="C515" s="294"/>
      <c r="D515" s="235"/>
      <c r="E515" s="294"/>
      <c r="F515" s="235"/>
      <c r="G515" s="324"/>
      <c r="H515" s="324"/>
      <c r="I515" s="324"/>
      <c r="J515" s="324"/>
      <c r="K515" s="324"/>
      <c r="L515" s="324"/>
      <c r="M515" s="294"/>
      <c r="N515" s="235"/>
      <c r="O515" s="324"/>
      <c r="P515" s="235"/>
      <c r="Q515" s="324"/>
      <c r="R515" s="324"/>
      <c r="S515" s="324"/>
      <c r="T515" s="324"/>
      <c r="U515" s="324"/>
      <c r="V515" s="377">
        <v>42034</v>
      </c>
      <c r="W515" s="198">
        <v>63.790000999999997</v>
      </c>
      <c r="X515" s="349">
        <f t="shared" si="26"/>
        <v>-2.9809870722433462E-2</v>
      </c>
      <c r="Y515" s="198">
        <v>1994.98999</v>
      </c>
      <c r="Z515" s="349">
        <f t="shared" si="27"/>
        <v>-1.2991965367965319E-2</v>
      </c>
      <c r="AA515" s="324"/>
      <c r="AB515" s="324"/>
      <c r="AC515" s="324"/>
      <c r="AD515" s="324"/>
      <c r="AE515" s="324"/>
      <c r="AF515" s="324"/>
    </row>
    <row r="516" spans="1:32">
      <c r="A516" s="324"/>
      <c r="B516" s="244"/>
      <c r="C516" s="294"/>
      <c r="D516" s="235"/>
      <c r="E516" s="294"/>
      <c r="F516" s="235"/>
      <c r="G516" s="324"/>
      <c r="H516" s="324"/>
      <c r="I516" s="324"/>
      <c r="J516" s="324"/>
      <c r="K516" s="324"/>
      <c r="L516" s="324"/>
      <c r="M516" s="294"/>
      <c r="N516" s="235"/>
      <c r="O516" s="324"/>
      <c r="P516" s="235"/>
      <c r="Q516" s="324"/>
      <c r="R516" s="324"/>
      <c r="S516" s="324"/>
      <c r="T516" s="324"/>
      <c r="U516" s="324"/>
      <c r="V516" s="377">
        <v>42033</v>
      </c>
      <c r="W516" s="198">
        <v>65.75</v>
      </c>
      <c r="X516" s="349">
        <f t="shared" si="26"/>
        <v>1.6857345075326657E-2</v>
      </c>
      <c r="Y516" s="198">
        <v>2021.25</v>
      </c>
      <c r="Z516" s="349">
        <f t="shared" si="27"/>
        <v>9.5346853777025231E-3</v>
      </c>
      <c r="AA516" s="324"/>
      <c r="AB516" s="324"/>
      <c r="AC516" s="324"/>
      <c r="AD516" s="324"/>
      <c r="AE516" s="324"/>
      <c r="AF516" s="324"/>
    </row>
    <row r="517" spans="1:32">
      <c r="A517" s="324"/>
      <c r="B517" s="244"/>
      <c r="C517" s="294"/>
      <c r="D517" s="235"/>
      <c r="E517" s="294"/>
      <c r="F517" s="235"/>
      <c r="G517" s="324"/>
      <c r="H517" s="324"/>
      <c r="I517" s="324"/>
      <c r="J517" s="324"/>
      <c r="K517" s="324"/>
      <c r="L517" s="324"/>
      <c r="M517" s="294"/>
      <c r="N517" s="235"/>
      <c r="O517" s="324"/>
      <c r="P517" s="235"/>
      <c r="Q517" s="324"/>
      <c r="R517" s="324"/>
      <c r="S517" s="324"/>
      <c r="T517" s="324"/>
      <c r="U517" s="324"/>
      <c r="V517" s="377">
        <v>42032</v>
      </c>
      <c r="W517" s="198">
        <v>64.660004000000001</v>
      </c>
      <c r="X517" s="349">
        <f t="shared" si="26"/>
        <v>-6.4535646449426221E-3</v>
      </c>
      <c r="Y517" s="198">
        <v>2002.160034</v>
      </c>
      <c r="Z517" s="349">
        <f t="shared" si="27"/>
        <v>-1.3495609538427322E-2</v>
      </c>
      <c r="AA517" s="324"/>
      <c r="AB517" s="324"/>
      <c r="AC517" s="324"/>
      <c r="AD517" s="324"/>
      <c r="AE517" s="324"/>
      <c r="AF517" s="324"/>
    </row>
    <row r="518" spans="1:32">
      <c r="A518" s="324"/>
      <c r="B518" s="244"/>
      <c r="C518" s="294"/>
      <c r="D518" s="235"/>
      <c r="E518" s="294"/>
      <c r="F518" s="235"/>
      <c r="G518" s="324"/>
      <c r="H518" s="324"/>
      <c r="I518" s="324"/>
      <c r="J518" s="324"/>
      <c r="K518" s="324"/>
      <c r="L518" s="324"/>
      <c r="M518" s="294"/>
      <c r="N518" s="235"/>
      <c r="O518" s="324"/>
      <c r="P518" s="235"/>
      <c r="Q518" s="324"/>
      <c r="R518" s="324"/>
      <c r="S518" s="324"/>
      <c r="T518" s="324"/>
      <c r="U518" s="324"/>
      <c r="V518" s="377">
        <v>42031</v>
      </c>
      <c r="W518" s="198">
        <v>65.080001999999993</v>
      </c>
      <c r="X518" s="349">
        <f t="shared" si="26"/>
        <v>-1.7956768581112392E-2</v>
      </c>
      <c r="Y518" s="198">
        <v>2029.5500489999999</v>
      </c>
      <c r="Z518" s="349">
        <f t="shared" si="27"/>
        <v>-1.338786237931644E-2</v>
      </c>
      <c r="AA518" s="324"/>
      <c r="AB518" s="324"/>
      <c r="AC518" s="324"/>
      <c r="AD518" s="324"/>
      <c r="AE518" s="324"/>
      <c r="AF518" s="324"/>
    </row>
    <row r="519" spans="1:32">
      <c r="A519" s="324"/>
      <c r="B519" s="244"/>
      <c r="C519" s="294"/>
      <c r="D519" s="235"/>
      <c r="E519" s="294"/>
      <c r="F519" s="235"/>
      <c r="G519" s="324"/>
      <c r="H519" s="324"/>
      <c r="I519" s="324"/>
      <c r="J519" s="324"/>
      <c r="K519" s="324"/>
      <c r="L519" s="324"/>
      <c r="M519" s="294"/>
      <c r="N519" s="235"/>
      <c r="O519" s="324"/>
      <c r="P519" s="235"/>
      <c r="Q519" s="324"/>
      <c r="R519" s="324"/>
      <c r="S519" s="324"/>
      <c r="T519" s="324"/>
      <c r="U519" s="324"/>
      <c r="V519" s="377">
        <v>42030</v>
      </c>
      <c r="W519" s="198">
        <v>66.269997000000004</v>
      </c>
      <c r="X519" s="349">
        <f t="shared" si="26"/>
        <v>3.178913205537981E-3</v>
      </c>
      <c r="Y519" s="198">
        <v>2057.0900879999999</v>
      </c>
      <c r="Z519" s="349">
        <f t="shared" si="27"/>
        <v>2.5684610859357804E-3</v>
      </c>
      <c r="AA519" s="324"/>
      <c r="AB519" s="324"/>
      <c r="AC519" s="324"/>
      <c r="AD519" s="324"/>
      <c r="AE519" s="324"/>
      <c r="AF519" s="324"/>
    </row>
    <row r="520" spans="1:32">
      <c r="A520" s="324"/>
      <c r="B520" s="244"/>
      <c r="C520" s="294"/>
      <c r="D520" s="235"/>
      <c r="E520" s="294"/>
      <c r="F520" s="235"/>
      <c r="G520" s="324"/>
      <c r="H520" s="324"/>
      <c r="I520" s="324"/>
      <c r="J520" s="324"/>
      <c r="K520" s="324"/>
      <c r="L520" s="324"/>
      <c r="M520" s="294"/>
      <c r="N520" s="235"/>
      <c r="O520" s="324"/>
      <c r="P520" s="235"/>
      <c r="Q520" s="324"/>
      <c r="R520" s="324"/>
      <c r="S520" s="324"/>
      <c r="T520" s="324"/>
      <c r="U520" s="324"/>
      <c r="V520" s="377">
        <v>42027</v>
      </c>
      <c r="W520" s="198">
        <v>66.059997999999993</v>
      </c>
      <c r="X520" s="349">
        <f t="shared" si="26"/>
        <v>2.1237864722021271E-3</v>
      </c>
      <c r="Y520" s="198">
        <v>2051.820068</v>
      </c>
      <c r="Z520" s="349">
        <f t="shared" si="27"/>
        <v>-5.4915224477954938E-3</v>
      </c>
      <c r="AA520" s="324"/>
      <c r="AB520" s="324"/>
      <c r="AC520" s="324"/>
      <c r="AD520" s="324"/>
      <c r="AE520" s="324"/>
      <c r="AF520" s="324"/>
    </row>
    <row r="521" spans="1:32">
      <c r="A521" s="324"/>
      <c r="B521" s="244"/>
      <c r="C521" s="294"/>
      <c r="D521" s="235"/>
      <c r="E521" s="294"/>
      <c r="F521" s="235"/>
      <c r="G521" s="324"/>
      <c r="H521" s="324"/>
      <c r="I521" s="324"/>
      <c r="J521" s="324"/>
      <c r="K521" s="324"/>
      <c r="L521" s="324"/>
      <c r="M521" s="294"/>
      <c r="N521" s="235"/>
      <c r="O521" s="324"/>
      <c r="P521" s="235"/>
      <c r="Q521" s="324"/>
      <c r="R521" s="324"/>
      <c r="S521" s="324"/>
      <c r="T521" s="324"/>
      <c r="U521" s="324"/>
      <c r="V521" s="377">
        <v>42026</v>
      </c>
      <c r="W521" s="198">
        <v>65.919998000000007</v>
      </c>
      <c r="X521" s="349">
        <f t="shared" ref="X521:X584" si="28">W521/W522-1</f>
        <v>1.7440916538957962E-2</v>
      </c>
      <c r="Y521" s="198">
        <v>2063.1499020000001</v>
      </c>
      <c r="Z521" s="349">
        <f t="shared" ref="Z521:Z584" si="29">Y521/Y522-1</f>
        <v>1.5269721805970526E-2</v>
      </c>
      <c r="AA521" s="324"/>
      <c r="AB521" s="324"/>
      <c r="AC521" s="324"/>
      <c r="AD521" s="324"/>
      <c r="AE521" s="324"/>
      <c r="AF521" s="324"/>
    </row>
    <row r="522" spans="1:32">
      <c r="A522" s="324"/>
      <c r="B522" s="244"/>
      <c r="C522" s="294"/>
      <c r="D522" s="235"/>
      <c r="E522" s="294"/>
      <c r="F522" s="235"/>
      <c r="G522" s="324"/>
      <c r="H522" s="324"/>
      <c r="I522" s="324"/>
      <c r="J522" s="324"/>
      <c r="K522" s="324"/>
      <c r="L522" s="324"/>
      <c r="M522" s="294"/>
      <c r="N522" s="235"/>
      <c r="O522" s="324"/>
      <c r="P522" s="235"/>
      <c r="Q522" s="324"/>
      <c r="R522" s="324"/>
      <c r="S522" s="324"/>
      <c r="T522" s="324"/>
      <c r="U522" s="324"/>
      <c r="V522" s="377">
        <v>42025</v>
      </c>
      <c r="W522" s="198">
        <v>64.790001000000004</v>
      </c>
      <c r="X522" s="349">
        <f t="shared" si="28"/>
        <v>-5.525725079793542E-3</v>
      </c>
      <c r="Y522" s="198">
        <v>2032.119995</v>
      </c>
      <c r="Z522" s="349">
        <f t="shared" si="29"/>
        <v>4.7316238254433429E-3</v>
      </c>
      <c r="AA522" s="324"/>
      <c r="AB522" s="324"/>
      <c r="AC522" s="324"/>
      <c r="AD522" s="324"/>
      <c r="AE522" s="324"/>
      <c r="AF522" s="324"/>
    </row>
    <row r="523" spans="1:32">
      <c r="A523" s="324"/>
      <c r="B523" s="244"/>
      <c r="C523" s="294"/>
      <c r="D523" s="235"/>
      <c r="E523" s="294"/>
      <c r="F523" s="235"/>
      <c r="G523" s="324"/>
      <c r="H523" s="324"/>
      <c r="I523" s="324"/>
      <c r="J523" s="324"/>
      <c r="K523" s="324"/>
      <c r="L523" s="324"/>
      <c r="M523" s="294"/>
      <c r="N523" s="235"/>
      <c r="O523" s="324"/>
      <c r="P523" s="235"/>
      <c r="Q523" s="324"/>
      <c r="R523" s="324"/>
      <c r="S523" s="324"/>
      <c r="T523" s="324"/>
      <c r="U523" s="324"/>
      <c r="V523" s="377">
        <v>42024</v>
      </c>
      <c r="W523" s="198">
        <v>65.150002000000001</v>
      </c>
      <c r="X523" s="349">
        <f t="shared" si="28"/>
        <v>-6.1359102274616273E-4</v>
      </c>
      <c r="Y523" s="198">
        <v>2022.5500489999999</v>
      </c>
      <c r="Z523" s="349">
        <f t="shared" si="29"/>
        <v>1.5499524278268506E-3</v>
      </c>
      <c r="AA523" s="324"/>
      <c r="AB523" s="324"/>
      <c r="AC523" s="324"/>
      <c r="AD523" s="324"/>
      <c r="AE523" s="324"/>
      <c r="AF523" s="324"/>
    </row>
    <row r="524" spans="1:32">
      <c r="A524" s="324"/>
      <c r="B524" s="244"/>
      <c r="C524" s="294"/>
      <c r="D524" s="235"/>
      <c r="E524" s="294"/>
      <c r="F524" s="235"/>
      <c r="G524" s="324"/>
      <c r="H524" s="324"/>
      <c r="I524" s="324"/>
      <c r="J524" s="324"/>
      <c r="K524" s="324"/>
      <c r="L524" s="324"/>
      <c r="M524" s="294"/>
      <c r="N524" s="235"/>
      <c r="O524" s="324"/>
      <c r="P524" s="235"/>
      <c r="Q524" s="324"/>
      <c r="R524" s="324"/>
      <c r="S524" s="324"/>
      <c r="T524" s="324"/>
      <c r="U524" s="324"/>
      <c r="V524" s="377">
        <v>42020</v>
      </c>
      <c r="W524" s="198">
        <v>65.190002000000007</v>
      </c>
      <c r="X524" s="349">
        <f t="shared" si="28"/>
        <v>1.273883737429693E-2</v>
      </c>
      <c r="Y524" s="198">
        <v>2019.420044</v>
      </c>
      <c r="Z524" s="349">
        <f t="shared" si="29"/>
        <v>1.342419939545203E-2</v>
      </c>
      <c r="AA524" s="324"/>
      <c r="AB524" s="324"/>
      <c r="AC524" s="324"/>
      <c r="AD524" s="324"/>
      <c r="AE524" s="324"/>
      <c r="AF524" s="324"/>
    </row>
    <row r="525" spans="1:32">
      <c r="A525" s="324"/>
      <c r="B525" s="244"/>
      <c r="C525" s="294"/>
      <c r="D525" s="235"/>
      <c r="E525" s="294"/>
      <c r="F525" s="235"/>
      <c r="G525" s="324"/>
      <c r="H525" s="324"/>
      <c r="I525" s="324"/>
      <c r="J525" s="324"/>
      <c r="K525" s="324"/>
      <c r="L525" s="324"/>
      <c r="M525" s="294"/>
      <c r="N525" s="235"/>
      <c r="O525" s="324"/>
      <c r="P525" s="235"/>
      <c r="Q525" s="324"/>
      <c r="R525" s="324"/>
      <c r="S525" s="324"/>
      <c r="T525" s="324"/>
      <c r="U525" s="324"/>
      <c r="V525" s="377">
        <v>42019</v>
      </c>
      <c r="W525" s="198">
        <v>64.370002999999997</v>
      </c>
      <c r="X525" s="349">
        <f t="shared" si="28"/>
        <v>-3.0280115860806811E-2</v>
      </c>
      <c r="Y525" s="198">
        <v>1992.670044</v>
      </c>
      <c r="Z525" s="349">
        <f t="shared" si="29"/>
        <v>-9.2478761255537778E-3</v>
      </c>
      <c r="AA525" s="324"/>
      <c r="AB525" s="324"/>
      <c r="AC525" s="324"/>
      <c r="AD525" s="324"/>
      <c r="AE525" s="324"/>
      <c r="AF525" s="324"/>
    </row>
    <row r="526" spans="1:32">
      <c r="A526" s="324"/>
      <c r="B526" s="244"/>
      <c r="C526" s="294"/>
      <c r="D526" s="235"/>
      <c r="E526" s="294"/>
      <c r="F526" s="235"/>
      <c r="G526" s="324"/>
      <c r="H526" s="324"/>
      <c r="I526" s="324"/>
      <c r="J526" s="324"/>
      <c r="K526" s="324"/>
      <c r="L526" s="324"/>
      <c r="M526" s="294"/>
      <c r="N526" s="235"/>
      <c r="O526" s="324"/>
      <c r="P526" s="235"/>
      <c r="Q526" s="324"/>
      <c r="R526" s="324"/>
      <c r="S526" s="324"/>
      <c r="T526" s="324"/>
      <c r="U526" s="324"/>
      <c r="V526" s="377">
        <v>42018</v>
      </c>
      <c r="W526" s="198">
        <v>66.379997000000003</v>
      </c>
      <c r="X526" s="349">
        <f t="shared" si="28"/>
        <v>-1.5717748644194951E-2</v>
      </c>
      <c r="Y526" s="198">
        <v>2011.2700199999999</v>
      </c>
      <c r="Z526" s="349">
        <f t="shared" si="29"/>
        <v>-5.813066949783785E-3</v>
      </c>
      <c r="AA526" s="324"/>
      <c r="AB526" s="324"/>
      <c r="AC526" s="324"/>
      <c r="AD526" s="324"/>
      <c r="AE526" s="324"/>
      <c r="AF526" s="324"/>
    </row>
    <row r="527" spans="1:32">
      <c r="A527" s="324"/>
      <c r="B527" s="244"/>
      <c r="C527" s="294"/>
      <c r="D527" s="235"/>
      <c r="E527" s="294"/>
      <c r="F527" s="235"/>
      <c r="G527" s="324"/>
      <c r="H527" s="324"/>
      <c r="I527" s="324"/>
      <c r="J527" s="324"/>
      <c r="K527" s="324"/>
      <c r="L527" s="324"/>
      <c r="M527" s="294"/>
      <c r="N527" s="235"/>
      <c r="O527" s="324"/>
      <c r="P527" s="235"/>
      <c r="Q527" s="324"/>
      <c r="R527" s="324"/>
      <c r="S527" s="324"/>
      <c r="T527" s="324"/>
      <c r="U527" s="324"/>
      <c r="V527" s="377">
        <v>42017</v>
      </c>
      <c r="W527" s="198">
        <v>67.440002000000007</v>
      </c>
      <c r="X527" s="349">
        <f t="shared" si="28"/>
        <v>-2.6619490093779952E-3</v>
      </c>
      <c r="Y527" s="198">
        <v>2023.030029</v>
      </c>
      <c r="Z527" s="349">
        <f t="shared" si="29"/>
        <v>-2.5785554979215197E-3</v>
      </c>
      <c r="AA527" s="324"/>
      <c r="AB527" s="324"/>
      <c r="AC527" s="324"/>
      <c r="AD527" s="324"/>
      <c r="AE527" s="324"/>
      <c r="AF527" s="324"/>
    </row>
    <row r="528" spans="1:32">
      <c r="A528" s="324"/>
      <c r="B528" s="244"/>
      <c r="C528" s="294"/>
      <c r="D528" s="235"/>
      <c r="E528" s="294"/>
      <c r="F528" s="235"/>
      <c r="G528" s="324"/>
      <c r="H528" s="324"/>
      <c r="I528" s="324"/>
      <c r="J528" s="324"/>
      <c r="K528" s="324"/>
      <c r="L528" s="324"/>
      <c r="M528" s="294"/>
      <c r="N528" s="235"/>
      <c r="O528" s="324"/>
      <c r="P528" s="235"/>
      <c r="Q528" s="324"/>
      <c r="R528" s="324"/>
      <c r="S528" s="324"/>
      <c r="T528" s="324"/>
      <c r="U528" s="324"/>
      <c r="V528" s="377">
        <v>42016</v>
      </c>
      <c r="W528" s="198">
        <v>67.620002999999997</v>
      </c>
      <c r="X528" s="349">
        <f t="shared" si="28"/>
        <v>-1.6293206758603684E-2</v>
      </c>
      <c r="Y528" s="198">
        <v>2028.26001</v>
      </c>
      <c r="Z528" s="349">
        <f t="shared" si="29"/>
        <v>-8.0936852433588502E-3</v>
      </c>
      <c r="AA528" s="324"/>
      <c r="AB528" s="324"/>
      <c r="AC528" s="324"/>
      <c r="AD528" s="324"/>
      <c r="AE528" s="324"/>
      <c r="AF528" s="324"/>
    </row>
    <row r="529" spans="1:32">
      <c r="A529" s="324"/>
      <c r="B529" s="244"/>
      <c r="C529" s="294"/>
      <c r="D529" s="235"/>
      <c r="E529" s="294"/>
      <c r="F529" s="235"/>
      <c r="G529" s="324"/>
      <c r="H529" s="324"/>
      <c r="I529" s="324"/>
      <c r="J529" s="324"/>
      <c r="K529" s="324"/>
      <c r="L529" s="324"/>
      <c r="M529" s="294"/>
      <c r="N529" s="235"/>
      <c r="O529" s="324"/>
      <c r="P529" s="235"/>
      <c r="Q529" s="324"/>
      <c r="R529" s="324"/>
      <c r="S529" s="324"/>
      <c r="T529" s="324"/>
      <c r="U529" s="324"/>
      <c r="V529" s="377">
        <v>42013</v>
      </c>
      <c r="W529" s="198">
        <v>68.739998</v>
      </c>
      <c r="X529" s="349">
        <f t="shared" si="28"/>
        <v>-4.2010865449962909E-3</v>
      </c>
      <c r="Y529" s="198">
        <v>2044.8100589999999</v>
      </c>
      <c r="Z529" s="349">
        <f t="shared" si="29"/>
        <v>-8.4038110405733057E-3</v>
      </c>
      <c r="AA529" s="324"/>
      <c r="AB529" s="324"/>
      <c r="AC529" s="324"/>
      <c r="AD529" s="324"/>
      <c r="AE529" s="324"/>
      <c r="AF529" s="324"/>
    </row>
    <row r="530" spans="1:32">
      <c r="A530" s="324"/>
      <c r="B530" s="244"/>
      <c r="C530" s="294"/>
      <c r="D530" s="235"/>
      <c r="E530" s="294"/>
      <c r="F530" s="235"/>
      <c r="G530" s="324"/>
      <c r="H530" s="324"/>
      <c r="I530" s="324"/>
      <c r="J530" s="324"/>
      <c r="K530" s="324"/>
      <c r="L530" s="324"/>
      <c r="M530" s="294"/>
      <c r="N530" s="235"/>
      <c r="O530" s="324"/>
      <c r="P530" s="235"/>
      <c r="Q530" s="324"/>
      <c r="R530" s="324"/>
      <c r="S530" s="324"/>
      <c r="T530" s="324"/>
      <c r="U530" s="324"/>
      <c r="V530" s="377">
        <v>42012</v>
      </c>
      <c r="W530" s="198">
        <v>69.029999000000004</v>
      </c>
      <c r="X530" s="349">
        <f t="shared" si="28"/>
        <v>3.3429649705103426E-3</v>
      </c>
      <c r="Y530" s="198">
        <v>2062.139893</v>
      </c>
      <c r="Z530" s="349">
        <f t="shared" si="29"/>
        <v>1.7888281045797649E-2</v>
      </c>
      <c r="AA530" s="324"/>
      <c r="AB530" s="324"/>
      <c r="AC530" s="324"/>
      <c r="AD530" s="324"/>
      <c r="AE530" s="324"/>
      <c r="AF530" s="324"/>
    </row>
    <row r="531" spans="1:32">
      <c r="A531" s="324"/>
      <c r="B531" s="244"/>
      <c r="C531" s="294"/>
      <c r="D531" s="235"/>
      <c r="E531" s="294"/>
      <c r="F531" s="235"/>
      <c r="G531" s="324"/>
      <c r="H531" s="324"/>
      <c r="I531" s="324"/>
      <c r="J531" s="324"/>
      <c r="K531" s="324"/>
      <c r="L531" s="324"/>
      <c r="M531" s="294"/>
      <c r="N531" s="235"/>
      <c r="O531" s="324"/>
      <c r="P531" s="235"/>
      <c r="Q531" s="324"/>
      <c r="R531" s="324"/>
      <c r="S531" s="324"/>
      <c r="T531" s="324"/>
      <c r="U531" s="324"/>
      <c r="V531" s="377">
        <v>42011</v>
      </c>
      <c r="W531" s="198">
        <v>68.800003000000004</v>
      </c>
      <c r="X531" s="349">
        <f t="shared" si="28"/>
        <v>1.9259303703703656E-2</v>
      </c>
      <c r="Y531" s="198">
        <v>2025.900024</v>
      </c>
      <c r="Z531" s="349">
        <f t="shared" si="29"/>
        <v>1.1629842642575161E-2</v>
      </c>
      <c r="AA531" s="324"/>
      <c r="AB531" s="324"/>
      <c r="AC531" s="324"/>
      <c r="AD531" s="324"/>
      <c r="AE531" s="324"/>
      <c r="AF531" s="324"/>
    </row>
    <row r="532" spans="1:32">
      <c r="A532" s="324"/>
      <c r="B532" s="244"/>
      <c r="C532" s="294"/>
      <c r="D532" s="235"/>
      <c r="E532" s="294"/>
      <c r="F532" s="235"/>
      <c r="G532" s="324"/>
      <c r="H532" s="324"/>
      <c r="I532" s="324"/>
      <c r="J532" s="324"/>
      <c r="K532" s="324"/>
      <c r="L532" s="324"/>
      <c r="M532" s="294"/>
      <c r="N532" s="235"/>
      <c r="O532" s="324"/>
      <c r="P532" s="235"/>
      <c r="Q532" s="324"/>
      <c r="R532" s="324"/>
      <c r="S532" s="324"/>
      <c r="T532" s="324"/>
      <c r="U532" s="324"/>
      <c r="V532" s="377">
        <v>42010</v>
      </c>
      <c r="W532" s="198">
        <v>67.5</v>
      </c>
      <c r="X532" s="349">
        <f t="shared" si="28"/>
        <v>-8.664943966217864E-3</v>
      </c>
      <c r="Y532" s="198">
        <v>2002.6099850000001</v>
      </c>
      <c r="Z532" s="349">
        <f t="shared" si="29"/>
        <v>-8.8934718701129123E-3</v>
      </c>
      <c r="AA532" s="324"/>
      <c r="AB532" s="324"/>
      <c r="AC532" s="324"/>
      <c r="AD532" s="324"/>
      <c r="AE532" s="324"/>
      <c r="AF532" s="324"/>
    </row>
    <row r="533" spans="1:32">
      <c r="A533" s="324"/>
      <c r="B533" s="244"/>
      <c r="C533" s="294"/>
      <c r="D533" s="235"/>
      <c r="E533" s="294"/>
      <c r="F533" s="235"/>
      <c r="G533" s="324"/>
      <c r="H533" s="324"/>
      <c r="I533" s="324"/>
      <c r="J533" s="324"/>
      <c r="K533" s="324"/>
      <c r="L533" s="324"/>
      <c r="M533" s="294"/>
      <c r="N533" s="235"/>
      <c r="O533" s="324"/>
      <c r="P533" s="235"/>
      <c r="Q533" s="324"/>
      <c r="R533" s="324"/>
      <c r="S533" s="324"/>
      <c r="T533" s="324"/>
      <c r="U533" s="324"/>
      <c r="V533" s="377">
        <v>42009</v>
      </c>
      <c r="W533" s="198">
        <v>68.089995999999999</v>
      </c>
      <c r="X533" s="349">
        <f t="shared" si="28"/>
        <v>-1.3045398261933627E-2</v>
      </c>
      <c r="Y533" s="198">
        <v>2020.579956</v>
      </c>
      <c r="Z533" s="349">
        <f t="shared" si="29"/>
        <v>-1.8278105089703178E-2</v>
      </c>
      <c r="AA533" s="324"/>
      <c r="AB533" s="324"/>
      <c r="AC533" s="324"/>
      <c r="AD533" s="324"/>
      <c r="AE533" s="324"/>
      <c r="AF533" s="324"/>
    </row>
    <row r="534" spans="1:32">
      <c r="A534" s="324"/>
      <c r="B534" s="244"/>
      <c r="C534" s="294"/>
      <c r="D534" s="235"/>
      <c r="E534" s="294"/>
      <c r="F534" s="235"/>
      <c r="G534" s="324"/>
      <c r="H534" s="324"/>
      <c r="I534" s="324"/>
      <c r="J534" s="324"/>
      <c r="K534" s="324"/>
      <c r="L534" s="324"/>
      <c r="M534" s="294"/>
      <c r="N534" s="235"/>
      <c r="O534" s="324"/>
      <c r="P534" s="235"/>
      <c r="Q534" s="324"/>
      <c r="R534" s="324"/>
      <c r="S534" s="324"/>
      <c r="T534" s="324"/>
      <c r="U534" s="324"/>
      <c r="V534" s="377">
        <v>42006</v>
      </c>
      <c r="W534" s="198">
        <v>68.989998</v>
      </c>
      <c r="X534" s="349">
        <f t="shared" si="28"/>
        <v>-2.1695256316102141E-3</v>
      </c>
      <c r="Y534" s="198">
        <v>2058.1999510000001</v>
      </c>
      <c r="Z534" s="349">
        <f t="shared" si="29"/>
        <v>-3.3996358896326573E-4</v>
      </c>
      <c r="AA534" s="324"/>
      <c r="AB534" s="324"/>
      <c r="AC534" s="324"/>
      <c r="AD534" s="324"/>
      <c r="AE534" s="324"/>
      <c r="AF534" s="324"/>
    </row>
    <row r="535" spans="1:32">
      <c r="A535" s="324"/>
      <c r="B535" s="244"/>
      <c r="C535" s="294"/>
      <c r="D535" s="235"/>
      <c r="E535" s="294"/>
      <c r="F535" s="235"/>
      <c r="G535" s="324"/>
      <c r="H535" s="324"/>
      <c r="I535" s="324"/>
      <c r="J535" s="324"/>
      <c r="K535" s="324"/>
      <c r="L535" s="324"/>
      <c r="M535" s="294"/>
      <c r="N535" s="235"/>
      <c r="O535" s="324"/>
      <c r="P535" s="235"/>
      <c r="Q535" s="324"/>
      <c r="R535" s="324"/>
      <c r="S535" s="324"/>
      <c r="T535" s="324"/>
      <c r="U535" s="324"/>
      <c r="V535" s="377">
        <v>42004</v>
      </c>
      <c r="W535" s="198">
        <v>69.139999000000003</v>
      </c>
      <c r="X535" s="349">
        <f t="shared" si="28"/>
        <v>-4.8935518900307118E-3</v>
      </c>
      <c r="Y535" s="198">
        <v>2058.8999020000001</v>
      </c>
      <c r="Z535" s="349">
        <f t="shared" si="29"/>
        <v>-1.0310858744699503E-2</v>
      </c>
      <c r="AA535" s="324"/>
      <c r="AB535" s="324"/>
      <c r="AC535" s="324"/>
      <c r="AD535" s="324"/>
      <c r="AE535" s="324"/>
      <c r="AF535" s="324"/>
    </row>
    <row r="536" spans="1:32">
      <c r="A536" s="324"/>
      <c r="B536" s="244"/>
      <c r="C536" s="294"/>
      <c r="D536" s="235"/>
      <c r="E536" s="294"/>
      <c r="F536" s="235"/>
      <c r="G536" s="324"/>
      <c r="H536" s="324"/>
      <c r="I536" s="324"/>
      <c r="J536" s="324"/>
      <c r="K536" s="324"/>
      <c r="L536" s="324"/>
      <c r="M536" s="294"/>
      <c r="N536" s="235"/>
      <c r="O536" s="324"/>
      <c r="P536" s="235"/>
      <c r="Q536" s="324"/>
      <c r="R536" s="324"/>
      <c r="S536" s="324"/>
      <c r="T536" s="324"/>
      <c r="U536" s="324"/>
      <c r="V536" s="377">
        <v>42003</v>
      </c>
      <c r="W536" s="198">
        <v>69.480002999999996</v>
      </c>
      <c r="X536" s="349">
        <f t="shared" si="28"/>
        <v>-1.1523658962531602E-2</v>
      </c>
      <c r="Y536" s="198">
        <v>2080.3500979999999</v>
      </c>
      <c r="Z536" s="349">
        <f t="shared" si="29"/>
        <v>-4.8886043842468752E-3</v>
      </c>
      <c r="AA536" s="324"/>
      <c r="AB536" s="324"/>
      <c r="AC536" s="324"/>
      <c r="AD536" s="324"/>
      <c r="AE536" s="324"/>
      <c r="AF536" s="324"/>
    </row>
    <row r="537" spans="1:32">
      <c r="A537" s="324"/>
      <c r="B537" s="244"/>
      <c r="C537" s="294"/>
      <c r="D537" s="235"/>
      <c r="E537" s="294"/>
      <c r="F537" s="235"/>
      <c r="G537" s="324"/>
      <c r="H537" s="324"/>
      <c r="I537" s="324"/>
      <c r="J537" s="324"/>
      <c r="K537" s="324"/>
      <c r="L537" s="324"/>
      <c r="M537" s="294"/>
      <c r="N537" s="235"/>
      <c r="O537" s="324"/>
      <c r="P537" s="235"/>
      <c r="Q537" s="324"/>
      <c r="R537" s="324"/>
      <c r="S537" s="324"/>
      <c r="T537" s="324"/>
      <c r="U537" s="324"/>
      <c r="V537" s="377">
        <v>42002</v>
      </c>
      <c r="W537" s="198">
        <v>70.290001000000004</v>
      </c>
      <c r="X537" s="349">
        <f t="shared" si="28"/>
        <v>-1.1253271135364784E-2</v>
      </c>
      <c r="Y537" s="198">
        <v>2090.570068</v>
      </c>
      <c r="Z537" s="349">
        <f t="shared" si="29"/>
        <v>8.617741459158168E-4</v>
      </c>
      <c r="AA537" s="324"/>
      <c r="AB537" s="324"/>
      <c r="AC537" s="324"/>
      <c r="AD537" s="324"/>
      <c r="AE537" s="324"/>
      <c r="AF537" s="324"/>
    </row>
    <row r="538" spans="1:32">
      <c r="A538" s="324"/>
      <c r="B538" s="244"/>
      <c r="C538" s="294"/>
      <c r="D538" s="235"/>
      <c r="E538" s="294"/>
      <c r="F538" s="235"/>
      <c r="G538" s="324"/>
      <c r="H538" s="324"/>
      <c r="I538" s="324"/>
      <c r="J538" s="324"/>
      <c r="K538" s="324"/>
      <c r="L538" s="324"/>
      <c r="M538" s="294"/>
      <c r="N538" s="235"/>
      <c r="O538" s="324"/>
      <c r="P538" s="235"/>
      <c r="Q538" s="324"/>
      <c r="R538" s="324"/>
      <c r="S538" s="324"/>
      <c r="T538" s="324"/>
      <c r="U538" s="324"/>
      <c r="V538" s="377">
        <v>41999</v>
      </c>
      <c r="W538" s="198">
        <v>71.089995999999999</v>
      </c>
      <c r="X538" s="349">
        <f t="shared" si="28"/>
        <v>2.3970389846879048E-3</v>
      </c>
      <c r="Y538" s="198">
        <v>2088.7700199999999</v>
      </c>
      <c r="Z538" s="349">
        <f t="shared" si="29"/>
        <v>3.3095747051798963E-3</v>
      </c>
      <c r="AA538" s="324"/>
      <c r="AB538" s="324"/>
      <c r="AC538" s="324"/>
      <c r="AD538" s="324"/>
      <c r="AE538" s="324"/>
      <c r="AF538" s="324"/>
    </row>
    <row r="539" spans="1:32">
      <c r="A539" s="324"/>
      <c r="B539" s="244"/>
      <c r="C539" s="294"/>
      <c r="D539" s="235"/>
      <c r="E539" s="294"/>
      <c r="F539" s="235"/>
      <c r="G539" s="324"/>
      <c r="H539" s="324"/>
      <c r="I539" s="324"/>
      <c r="J539" s="324"/>
      <c r="K539" s="324"/>
      <c r="L539" s="324"/>
      <c r="M539" s="294"/>
      <c r="N539" s="235"/>
      <c r="O539" s="324"/>
      <c r="P539" s="235"/>
      <c r="Q539" s="324"/>
      <c r="R539" s="324"/>
      <c r="S539" s="324"/>
      <c r="T539" s="324"/>
      <c r="U539" s="324"/>
      <c r="V539" s="377">
        <v>41997</v>
      </c>
      <c r="W539" s="198">
        <v>70.919998000000007</v>
      </c>
      <c r="X539" s="349">
        <f t="shared" si="28"/>
        <v>6.6714126332754198E-3</v>
      </c>
      <c r="Y539" s="198">
        <v>2081.8798830000001</v>
      </c>
      <c r="Z539" s="349">
        <f t="shared" si="29"/>
        <v>-1.3929650838551133E-4</v>
      </c>
      <c r="AA539" s="324"/>
      <c r="AB539" s="324"/>
      <c r="AC539" s="324"/>
      <c r="AD539" s="324"/>
      <c r="AE539" s="324"/>
      <c r="AF539" s="324"/>
    </row>
    <row r="540" spans="1:32">
      <c r="A540" s="324"/>
      <c r="B540" s="244"/>
      <c r="C540" s="294"/>
      <c r="D540" s="235"/>
      <c r="E540" s="294"/>
      <c r="F540" s="235"/>
      <c r="G540" s="324"/>
      <c r="H540" s="324"/>
      <c r="I540" s="324"/>
      <c r="J540" s="324"/>
      <c r="K540" s="324"/>
      <c r="L540" s="324"/>
      <c r="M540" s="294"/>
      <c r="N540" s="235"/>
      <c r="O540" s="324"/>
      <c r="P540" s="235"/>
      <c r="Q540" s="324"/>
      <c r="R540" s="324"/>
      <c r="S540" s="324"/>
      <c r="T540" s="324"/>
      <c r="U540" s="324"/>
      <c r="V540" s="377">
        <v>41996</v>
      </c>
      <c r="W540" s="198">
        <v>70.449996999999996</v>
      </c>
      <c r="X540" s="349">
        <f t="shared" si="28"/>
        <v>2.2644767348595662E-2</v>
      </c>
      <c r="Y540" s="198">
        <v>2082.169922</v>
      </c>
      <c r="Z540" s="349">
        <f t="shared" si="29"/>
        <v>1.7463618366218014E-3</v>
      </c>
      <c r="AA540" s="324"/>
      <c r="AB540" s="324"/>
      <c r="AC540" s="324"/>
      <c r="AD540" s="324"/>
      <c r="AE540" s="324"/>
      <c r="AF540" s="324"/>
    </row>
    <row r="541" spans="1:32">
      <c r="A541" s="324"/>
      <c r="B541" s="244"/>
      <c r="C541" s="294"/>
      <c r="D541" s="235"/>
      <c r="E541" s="294"/>
      <c r="F541" s="235"/>
      <c r="G541" s="324"/>
      <c r="H541" s="324"/>
      <c r="I541" s="324"/>
      <c r="J541" s="324"/>
      <c r="K541" s="324"/>
      <c r="L541" s="324"/>
      <c r="M541" s="294"/>
      <c r="N541" s="235"/>
      <c r="O541" s="324"/>
      <c r="P541" s="235"/>
      <c r="Q541" s="324"/>
      <c r="R541" s="324"/>
      <c r="S541" s="324"/>
      <c r="T541" s="324"/>
      <c r="U541" s="324"/>
      <c r="V541" s="377">
        <v>41995</v>
      </c>
      <c r="W541" s="198">
        <v>68.889999000000003</v>
      </c>
      <c r="X541" s="349">
        <f t="shared" si="28"/>
        <v>1.2492621803459336E-2</v>
      </c>
      <c r="Y541" s="198">
        <v>2078.540039</v>
      </c>
      <c r="Z541" s="349">
        <f t="shared" si="29"/>
        <v>3.8104640443461513E-3</v>
      </c>
      <c r="AA541" s="324"/>
      <c r="AB541" s="324"/>
      <c r="AC541" s="324"/>
      <c r="AD541" s="324"/>
      <c r="AE541" s="324"/>
      <c r="AF541" s="324"/>
    </row>
    <row r="542" spans="1:32">
      <c r="A542" s="324"/>
      <c r="B542" s="244"/>
      <c r="C542" s="294"/>
      <c r="D542" s="235"/>
      <c r="E542" s="294"/>
      <c r="F542" s="235"/>
      <c r="G542" s="324"/>
      <c r="H542" s="324"/>
      <c r="I542" s="324"/>
      <c r="J542" s="324"/>
      <c r="K542" s="324"/>
      <c r="L542" s="324"/>
      <c r="M542" s="294"/>
      <c r="N542" s="235"/>
      <c r="O542" s="324"/>
      <c r="P542" s="235"/>
      <c r="Q542" s="324"/>
      <c r="R542" s="324"/>
      <c r="S542" s="324"/>
      <c r="T542" s="324"/>
      <c r="U542" s="324"/>
      <c r="V542" s="377">
        <v>41992</v>
      </c>
      <c r="W542" s="198">
        <v>68.040001000000004</v>
      </c>
      <c r="X542" s="349">
        <f t="shared" si="28"/>
        <v>0.10634147967479679</v>
      </c>
      <c r="Y542" s="198">
        <v>2070.6499020000001</v>
      </c>
      <c r="Z542" s="349">
        <f t="shared" si="29"/>
        <v>4.5700489956972401E-3</v>
      </c>
      <c r="AA542" s="324"/>
      <c r="AB542" s="324"/>
      <c r="AC542" s="324"/>
      <c r="AD542" s="324"/>
      <c r="AE542" s="324"/>
      <c r="AF542" s="324"/>
    </row>
    <row r="543" spans="1:32">
      <c r="A543" s="324"/>
      <c r="B543" s="244"/>
      <c r="C543" s="294"/>
      <c r="D543" s="235"/>
      <c r="E543" s="294"/>
      <c r="F543" s="235"/>
      <c r="G543" s="324"/>
      <c r="H543" s="324"/>
      <c r="I543" s="324"/>
      <c r="J543" s="324"/>
      <c r="K543" s="324"/>
      <c r="L543" s="324"/>
      <c r="M543" s="294"/>
      <c r="N543" s="235"/>
      <c r="O543" s="324"/>
      <c r="P543" s="235"/>
      <c r="Q543" s="324"/>
      <c r="R543" s="324"/>
      <c r="S543" s="324"/>
      <c r="T543" s="324"/>
      <c r="U543" s="324"/>
      <c r="V543" s="377">
        <v>41991</v>
      </c>
      <c r="W543" s="198">
        <v>61.5</v>
      </c>
      <c r="X543" s="349">
        <f t="shared" si="28"/>
        <v>3.3960995292535268E-2</v>
      </c>
      <c r="Y543" s="198">
        <v>2061.2299800000001</v>
      </c>
      <c r="Z543" s="349">
        <f t="shared" si="29"/>
        <v>2.4015204327992201E-2</v>
      </c>
      <c r="AA543" s="324"/>
      <c r="AB543" s="324"/>
      <c r="AC543" s="324"/>
      <c r="AD543" s="324"/>
      <c r="AE543" s="324"/>
      <c r="AF543" s="324"/>
    </row>
    <row r="544" spans="1:32">
      <c r="A544" s="324"/>
      <c r="B544" s="244"/>
      <c r="C544" s="294"/>
      <c r="D544" s="235"/>
      <c r="E544" s="294"/>
      <c r="F544" s="235"/>
      <c r="G544" s="324"/>
      <c r="H544" s="324"/>
      <c r="I544" s="324"/>
      <c r="J544" s="324"/>
      <c r="K544" s="324"/>
      <c r="L544" s="324"/>
      <c r="M544" s="294"/>
      <c r="N544" s="235"/>
      <c r="O544" s="324"/>
      <c r="P544" s="235"/>
      <c r="Q544" s="324"/>
      <c r="R544" s="324"/>
      <c r="S544" s="324"/>
      <c r="T544" s="324"/>
      <c r="U544" s="324"/>
      <c r="V544" s="377">
        <v>41990</v>
      </c>
      <c r="W544" s="198">
        <v>59.48</v>
      </c>
      <c r="X544" s="349">
        <f t="shared" si="28"/>
        <v>2.1466597973553103E-2</v>
      </c>
      <c r="Y544" s="198">
        <v>2012.8900149999999</v>
      </c>
      <c r="Z544" s="349">
        <f t="shared" si="29"/>
        <v>2.0352416032282106E-2</v>
      </c>
      <c r="AA544" s="324"/>
      <c r="AB544" s="324"/>
      <c r="AC544" s="324"/>
      <c r="AD544" s="324"/>
      <c r="AE544" s="324"/>
      <c r="AF544" s="324"/>
    </row>
    <row r="545" spans="1:32">
      <c r="A545" s="324"/>
      <c r="B545" s="244"/>
      <c r="C545" s="294"/>
      <c r="D545" s="235"/>
      <c r="E545" s="294"/>
      <c r="F545" s="235"/>
      <c r="G545" s="324"/>
      <c r="H545" s="324"/>
      <c r="I545" s="324"/>
      <c r="J545" s="324"/>
      <c r="K545" s="324"/>
      <c r="L545" s="324"/>
      <c r="M545" s="294"/>
      <c r="N545" s="235"/>
      <c r="O545" s="324"/>
      <c r="P545" s="235"/>
      <c r="Q545" s="324"/>
      <c r="R545" s="324"/>
      <c r="S545" s="324"/>
      <c r="T545" s="324"/>
      <c r="U545" s="324"/>
      <c r="V545" s="377">
        <v>41989</v>
      </c>
      <c r="W545" s="198">
        <v>58.23</v>
      </c>
      <c r="X545" s="349">
        <f t="shared" si="28"/>
        <v>-1.2213757214355359E-2</v>
      </c>
      <c r="Y545" s="198">
        <v>1972.73999</v>
      </c>
      <c r="Z545" s="349">
        <f t="shared" si="29"/>
        <v>-8.4890230633609676E-3</v>
      </c>
      <c r="AA545" s="324"/>
      <c r="AB545" s="324"/>
      <c r="AC545" s="324"/>
      <c r="AD545" s="324"/>
      <c r="AE545" s="324"/>
      <c r="AF545" s="324"/>
    </row>
    <row r="546" spans="1:32">
      <c r="A546" s="324"/>
      <c r="B546" s="244"/>
      <c r="C546" s="294"/>
      <c r="D546" s="235"/>
      <c r="E546" s="294"/>
      <c r="F546" s="235"/>
      <c r="G546" s="324"/>
      <c r="H546" s="324"/>
      <c r="I546" s="324"/>
      <c r="J546" s="324"/>
      <c r="K546" s="324"/>
      <c r="L546" s="324"/>
      <c r="M546" s="294"/>
      <c r="N546" s="235"/>
      <c r="O546" s="324"/>
      <c r="P546" s="235"/>
      <c r="Q546" s="324"/>
      <c r="R546" s="324"/>
      <c r="S546" s="324"/>
      <c r="T546" s="324"/>
      <c r="U546" s="324"/>
      <c r="V546" s="377">
        <v>41988</v>
      </c>
      <c r="W546" s="198">
        <v>58.950001</v>
      </c>
      <c r="X546" s="349">
        <f t="shared" si="28"/>
        <v>1.86625543228367E-2</v>
      </c>
      <c r="Y546" s="198">
        <v>1989.630005</v>
      </c>
      <c r="Z546" s="349">
        <f t="shared" si="29"/>
        <v>-6.3425865262338732E-3</v>
      </c>
      <c r="AA546" s="324"/>
      <c r="AB546" s="324"/>
      <c r="AC546" s="324"/>
      <c r="AD546" s="324"/>
      <c r="AE546" s="324"/>
      <c r="AF546" s="324"/>
    </row>
    <row r="547" spans="1:32">
      <c r="A547" s="324"/>
      <c r="B547" s="244"/>
      <c r="C547" s="294"/>
      <c r="D547" s="235"/>
      <c r="E547" s="294"/>
      <c r="F547" s="235"/>
      <c r="G547" s="324"/>
      <c r="H547" s="324"/>
      <c r="I547" s="324"/>
      <c r="J547" s="324"/>
      <c r="K547" s="324"/>
      <c r="L547" s="324"/>
      <c r="M547" s="294"/>
      <c r="N547" s="235"/>
      <c r="O547" s="324"/>
      <c r="P547" s="235"/>
      <c r="Q547" s="324"/>
      <c r="R547" s="324"/>
      <c r="S547" s="324"/>
      <c r="T547" s="324"/>
      <c r="U547" s="324"/>
      <c r="V547" s="377">
        <v>41985</v>
      </c>
      <c r="W547" s="198">
        <v>57.869999</v>
      </c>
      <c r="X547" s="349">
        <f t="shared" si="28"/>
        <v>-9.4145672514401868E-3</v>
      </c>
      <c r="Y547" s="198">
        <v>2002.329956</v>
      </c>
      <c r="Z547" s="349">
        <f t="shared" si="29"/>
        <v>-1.6213587336401436E-2</v>
      </c>
      <c r="AA547" s="324"/>
      <c r="AB547" s="324"/>
      <c r="AC547" s="324"/>
      <c r="AD547" s="324"/>
      <c r="AE547" s="324"/>
      <c r="AF547" s="324"/>
    </row>
    <row r="548" spans="1:32">
      <c r="A548" s="324"/>
      <c r="B548" s="244"/>
      <c r="C548" s="294"/>
      <c r="D548" s="235"/>
      <c r="E548" s="294"/>
      <c r="F548" s="235"/>
      <c r="G548" s="324"/>
      <c r="H548" s="324"/>
      <c r="I548" s="324"/>
      <c r="J548" s="324"/>
      <c r="K548" s="324"/>
      <c r="L548" s="324"/>
      <c r="M548" s="294"/>
      <c r="N548" s="235"/>
      <c r="O548" s="324"/>
      <c r="P548" s="235"/>
      <c r="Q548" s="324"/>
      <c r="R548" s="324"/>
      <c r="S548" s="324"/>
      <c r="T548" s="324"/>
      <c r="U548" s="324"/>
      <c r="V548" s="377">
        <v>41984</v>
      </c>
      <c r="W548" s="198">
        <v>58.419998</v>
      </c>
      <c r="X548" s="349">
        <f t="shared" si="28"/>
        <v>-4.7700680618386615E-3</v>
      </c>
      <c r="Y548" s="198">
        <v>2035.329956</v>
      </c>
      <c r="Z548" s="349">
        <f t="shared" si="29"/>
        <v>4.5356890106136305E-3</v>
      </c>
      <c r="AA548" s="324"/>
      <c r="AB548" s="324"/>
      <c r="AC548" s="324"/>
      <c r="AD548" s="324"/>
      <c r="AE548" s="324"/>
      <c r="AF548" s="324"/>
    </row>
    <row r="549" spans="1:32">
      <c r="A549" s="324"/>
      <c r="B549" s="244"/>
      <c r="C549" s="294"/>
      <c r="D549" s="235"/>
      <c r="E549" s="294"/>
      <c r="F549" s="235"/>
      <c r="G549" s="324"/>
      <c r="H549" s="324"/>
      <c r="I549" s="324"/>
      <c r="J549" s="324"/>
      <c r="K549" s="324"/>
      <c r="L549" s="324"/>
      <c r="M549" s="294"/>
      <c r="N549" s="235"/>
      <c r="O549" s="324"/>
      <c r="P549" s="235"/>
      <c r="Q549" s="324"/>
      <c r="R549" s="324"/>
      <c r="S549" s="324"/>
      <c r="T549" s="324"/>
      <c r="U549" s="324"/>
      <c r="V549" s="377">
        <v>41983</v>
      </c>
      <c r="W549" s="198">
        <v>58.700001</v>
      </c>
      <c r="X549" s="349">
        <f t="shared" si="28"/>
        <v>-6.7681389769251865E-3</v>
      </c>
      <c r="Y549" s="198">
        <v>2026.1400149999999</v>
      </c>
      <c r="Z549" s="349">
        <f t="shared" si="29"/>
        <v>-1.6350968476922301E-2</v>
      </c>
      <c r="AA549" s="324"/>
      <c r="AB549" s="324"/>
      <c r="AC549" s="324"/>
      <c r="AD549" s="324"/>
      <c r="AE549" s="324"/>
      <c r="AF549" s="324"/>
    </row>
    <row r="550" spans="1:32">
      <c r="A550" s="324"/>
      <c r="B550" s="244"/>
      <c r="C550" s="294"/>
      <c r="D550" s="235"/>
      <c r="E550" s="294"/>
      <c r="F550" s="235"/>
      <c r="G550" s="324"/>
      <c r="H550" s="324"/>
      <c r="I550" s="324"/>
      <c r="J550" s="324"/>
      <c r="K550" s="324"/>
      <c r="L550" s="324"/>
      <c r="M550" s="294"/>
      <c r="N550" s="235"/>
      <c r="O550" s="324"/>
      <c r="P550" s="235"/>
      <c r="Q550" s="324"/>
      <c r="R550" s="324"/>
      <c r="S550" s="324"/>
      <c r="T550" s="324"/>
      <c r="U550" s="324"/>
      <c r="V550" s="377">
        <v>41982</v>
      </c>
      <c r="W550" s="198">
        <v>59.099997999999999</v>
      </c>
      <c r="X550" s="349">
        <f t="shared" si="28"/>
        <v>-1.598406566793098E-2</v>
      </c>
      <c r="Y550" s="198">
        <v>2059.820068</v>
      </c>
      <c r="Z550" s="349">
        <f t="shared" si="29"/>
        <v>-2.3782391289095539E-4</v>
      </c>
      <c r="AA550" s="324"/>
      <c r="AB550" s="324"/>
      <c r="AC550" s="324"/>
      <c r="AD550" s="324"/>
      <c r="AE550" s="324"/>
      <c r="AF550" s="324"/>
    </row>
    <row r="551" spans="1:32">
      <c r="A551" s="324"/>
      <c r="B551" s="244"/>
      <c r="C551" s="294"/>
      <c r="D551" s="235"/>
      <c r="E551" s="294"/>
      <c r="F551" s="235"/>
      <c r="G551" s="324"/>
      <c r="H551" s="324"/>
      <c r="I551" s="324"/>
      <c r="J551" s="324"/>
      <c r="K551" s="324"/>
      <c r="L551" s="324"/>
      <c r="M551" s="294"/>
      <c r="N551" s="235"/>
      <c r="O551" s="324"/>
      <c r="P551" s="235"/>
      <c r="Q551" s="324"/>
      <c r="R551" s="324"/>
      <c r="S551" s="324"/>
      <c r="T551" s="324"/>
      <c r="U551" s="324"/>
      <c r="V551" s="377">
        <v>41981</v>
      </c>
      <c r="W551" s="198">
        <v>60.060001</v>
      </c>
      <c r="X551" s="349">
        <f t="shared" si="28"/>
        <v>-2.6264575226978004E-2</v>
      </c>
      <c r="Y551" s="198">
        <v>2060.3100589999999</v>
      </c>
      <c r="Z551" s="349">
        <f t="shared" si="29"/>
        <v>-7.2565649262453791E-3</v>
      </c>
      <c r="AA551" s="324"/>
      <c r="AB551" s="324"/>
      <c r="AC551" s="324"/>
      <c r="AD551" s="324"/>
      <c r="AE551" s="324"/>
      <c r="AF551" s="324"/>
    </row>
    <row r="552" spans="1:32">
      <c r="A552" s="324"/>
      <c r="B552" s="244"/>
      <c r="C552" s="294"/>
      <c r="D552" s="235"/>
      <c r="E552" s="294"/>
      <c r="F552" s="235"/>
      <c r="G552" s="324"/>
      <c r="H552" s="324"/>
      <c r="I552" s="324"/>
      <c r="J552" s="324"/>
      <c r="K552" s="324"/>
      <c r="L552" s="324"/>
      <c r="M552" s="294"/>
      <c r="N552" s="235"/>
      <c r="O552" s="324"/>
      <c r="P552" s="235"/>
      <c r="Q552" s="324"/>
      <c r="R552" s="324"/>
      <c r="S552" s="324"/>
      <c r="T552" s="324"/>
      <c r="U552" s="324"/>
      <c r="V552" s="377">
        <v>41978</v>
      </c>
      <c r="W552" s="198">
        <v>61.68</v>
      </c>
      <c r="X552" s="349">
        <f t="shared" si="28"/>
        <v>0</v>
      </c>
      <c r="Y552" s="198">
        <v>2075.3701169999999</v>
      </c>
      <c r="Z552" s="349">
        <f t="shared" si="29"/>
        <v>1.6652163837824752E-3</v>
      </c>
      <c r="AA552" s="324"/>
      <c r="AB552" s="324"/>
      <c r="AC552" s="324"/>
      <c r="AD552" s="324"/>
      <c r="AE552" s="324"/>
      <c r="AF552" s="324"/>
    </row>
    <row r="553" spans="1:32">
      <c r="A553" s="324"/>
      <c r="B553" s="244"/>
      <c r="C553" s="294"/>
      <c r="D553" s="235"/>
      <c r="E553" s="294"/>
      <c r="F553" s="235"/>
      <c r="G553" s="324"/>
      <c r="H553" s="324"/>
      <c r="I553" s="324"/>
      <c r="J553" s="324"/>
      <c r="K553" s="324"/>
      <c r="L553" s="324"/>
      <c r="M553" s="294"/>
      <c r="N553" s="235"/>
      <c r="O553" s="324"/>
      <c r="P553" s="235"/>
      <c r="Q553" s="324"/>
      <c r="R553" s="324"/>
      <c r="S553" s="324"/>
      <c r="T553" s="324"/>
      <c r="U553" s="324"/>
      <c r="V553" s="377">
        <v>41977</v>
      </c>
      <c r="W553" s="198">
        <v>61.68</v>
      </c>
      <c r="X553" s="349">
        <f t="shared" si="28"/>
        <v>-7.4026232282367044E-3</v>
      </c>
      <c r="Y553" s="198">
        <v>2071.919922</v>
      </c>
      <c r="Z553" s="349">
        <f t="shared" si="29"/>
        <v>-1.1618960866265349E-3</v>
      </c>
      <c r="AA553" s="324"/>
      <c r="AB553" s="324"/>
      <c r="AC553" s="324"/>
      <c r="AD553" s="324"/>
      <c r="AE553" s="324"/>
      <c r="AF553" s="324"/>
    </row>
    <row r="554" spans="1:32">
      <c r="A554" s="324"/>
      <c r="B554" s="244"/>
      <c r="C554" s="294"/>
      <c r="D554" s="235"/>
      <c r="E554" s="294"/>
      <c r="F554" s="235"/>
      <c r="G554" s="324"/>
      <c r="H554" s="324"/>
      <c r="I554" s="324"/>
      <c r="J554" s="324"/>
      <c r="K554" s="324"/>
      <c r="L554" s="324"/>
      <c r="M554" s="294"/>
      <c r="N554" s="235"/>
      <c r="O554" s="324"/>
      <c r="P554" s="235"/>
      <c r="Q554" s="324"/>
      <c r="R554" s="324"/>
      <c r="S554" s="324"/>
      <c r="T554" s="324"/>
      <c r="U554" s="324"/>
      <c r="V554" s="377">
        <v>41976</v>
      </c>
      <c r="W554" s="198">
        <v>62.139999000000003</v>
      </c>
      <c r="X554" s="349">
        <f t="shared" si="28"/>
        <v>1.1557854468500883E-2</v>
      </c>
      <c r="Y554" s="198">
        <v>2074.330078</v>
      </c>
      <c r="Z554" s="349">
        <f t="shared" si="29"/>
        <v>3.7647425978213356E-3</v>
      </c>
      <c r="AA554" s="324"/>
      <c r="AB554" s="324"/>
      <c r="AC554" s="324"/>
      <c r="AD554" s="324"/>
      <c r="AE554" s="324"/>
      <c r="AF554" s="324"/>
    </row>
    <row r="555" spans="1:32">
      <c r="A555" s="324"/>
      <c r="B555" s="244"/>
      <c r="C555" s="294"/>
      <c r="D555" s="235"/>
      <c r="E555" s="294"/>
      <c r="F555" s="235"/>
      <c r="G555" s="324"/>
      <c r="H555" s="324"/>
      <c r="I555" s="324"/>
      <c r="J555" s="324"/>
      <c r="K555" s="324"/>
      <c r="L555" s="324"/>
      <c r="M555" s="294"/>
      <c r="N555" s="235"/>
      <c r="O555" s="324"/>
      <c r="P555" s="235"/>
      <c r="Q555" s="324"/>
      <c r="R555" s="324"/>
      <c r="S555" s="324"/>
      <c r="T555" s="324"/>
      <c r="U555" s="324"/>
      <c r="V555" s="377">
        <v>41975</v>
      </c>
      <c r="W555" s="198">
        <v>61.43</v>
      </c>
      <c r="X555" s="349">
        <f t="shared" si="28"/>
        <v>-1.300569055456724E-3</v>
      </c>
      <c r="Y555" s="198">
        <v>2066.5500489999999</v>
      </c>
      <c r="Z555" s="349">
        <f t="shared" si="29"/>
        <v>6.3844613802610528E-3</v>
      </c>
      <c r="AA555" s="324"/>
      <c r="AB555" s="324"/>
      <c r="AC555" s="324"/>
      <c r="AD555" s="324"/>
      <c r="AE555" s="324"/>
      <c r="AF555" s="324"/>
    </row>
    <row r="556" spans="1:32">
      <c r="A556" s="324"/>
      <c r="B556" s="244"/>
      <c r="C556" s="294"/>
      <c r="D556" s="235"/>
      <c r="E556" s="294"/>
      <c r="F556" s="235"/>
      <c r="G556" s="324"/>
      <c r="H556" s="324"/>
      <c r="I556" s="324"/>
      <c r="J556" s="324"/>
      <c r="K556" s="324"/>
      <c r="L556" s="324"/>
      <c r="M556" s="294"/>
      <c r="N556" s="235"/>
      <c r="O556" s="324"/>
      <c r="P556" s="235"/>
      <c r="Q556" s="324"/>
      <c r="R556" s="324"/>
      <c r="S556" s="324"/>
      <c r="T556" s="324"/>
      <c r="U556" s="324"/>
      <c r="V556" s="377">
        <v>41974</v>
      </c>
      <c r="W556" s="198">
        <v>61.509998000000003</v>
      </c>
      <c r="X556" s="349">
        <f t="shared" si="28"/>
        <v>-1.0297730963870211E-2</v>
      </c>
      <c r="Y556" s="198">
        <v>2053.4399410000001</v>
      </c>
      <c r="Z556" s="349">
        <f t="shared" si="29"/>
        <v>-6.8293629191256144E-3</v>
      </c>
      <c r="AA556" s="324"/>
      <c r="AB556" s="324"/>
      <c r="AC556" s="324"/>
      <c r="AD556" s="324"/>
      <c r="AE556" s="324"/>
      <c r="AF556" s="324"/>
    </row>
    <row r="557" spans="1:32">
      <c r="A557" s="324"/>
      <c r="B557" s="244"/>
      <c r="C557" s="294"/>
      <c r="D557" s="235"/>
      <c r="E557" s="294"/>
      <c r="F557" s="235"/>
      <c r="G557" s="324"/>
      <c r="H557" s="324"/>
      <c r="I557" s="324"/>
      <c r="J557" s="324"/>
      <c r="K557" s="324"/>
      <c r="L557" s="324"/>
      <c r="M557" s="294"/>
      <c r="N557" s="235"/>
      <c r="O557" s="324"/>
      <c r="P557" s="235"/>
      <c r="Q557" s="324"/>
      <c r="R557" s="324"/>
      <c r="S557" s="324"/>
      <c r="T557" s="324"/>
      <c r="U557" s="324"/>
      <c r="V557" s="377">
        <v>41971</v>
      </c>
      <c r="W557" s="198">
        <v>62.150002000000001</v>
      </c>
      <c r="X557" s="349">
        <f t="shared" si="28"/>
        <v>8.0521741723726947E-4</v>
      </c>
      <c r="Y557" s="198">
        <v>2067.5600589999999</v>
      </c>
      <c r="Z557" s="349">
        <f t="shared" si="29"/>
        <v>-2.5424269243935482E-3</v>
      </c>
      <c r="AA557" s="324"/>
      <c r="AB557" s="324"/>
      <c r="AC557" s="324"/>
      <c r="AD557" s="324"/>
      <c r="AE557" s="324"/>
      <c r="AF557" s="324"/>
    </row>
    <row r="558" spans="1:32">
      <c r="A558" s="324"/>
      <c r="B558" s="244"/>
      <c r="C558" s="294"/>
      <c r="D558" s="235"/>
      <c r="E558" s="294"/>
      <c r="F558" s="235"/>
      <c r="G558" s="324"/>
      <c r="H558" s="324"/>
      <c r="I558" s="324"/>
      <c r="J558" s="324"/>
      <c r="K558" s="324"/>
      <c r="L558" s="324"/>
      <c r="M558" s="294"/>
      <c r="N558" s="235"/>
      <c r="O558" s="324"/>
      <c r="P558" s="235"/>
      <c r="Q558" s="324"/>
      <c r="R558" s="324"/>
      <c r="S558" s="324"/>
      <c r="T558" s="324"/>
      <c r="U558" s="324"/>
      <c r="V558" s="377">
        <v>41969</v>
      </c>
      <c r="W558" s="198">
        <v>62.099997999999999</v>
      </c>
      <c r="X558" s="349">
        <f t="shared" si="28"/>
        <v>1.6128709677418751E-3</v>
      </c>
      <c r="Y558" s="198">
        <v>2072.830078</v>
      </c>
      <c r="Z558" s="349">
        <f t="shared" si="29"/>
        <v>2.8059819734722602E-3</v>
      </c>
      <c r="AA558" s="324"/>
      <c r="AB558" s="324"/>
      <c r="AC558" s="324"/>
      <c r="AD558" s="324"/>
      <c r="AE558" s="324"/>
      <c r="AF558" s="324"/>
    </row>
    <row r="559" spans="1:32">
      <c r="A559" s="324"/>
      <c r="B559" s="244"/>
      <c r="C559" s="294"/>
      <c r="D559" s="235"/>
      <c r="E559" s="294"/>
      <c r="F559" s="235"/>
      <c r="G559" s="324"/>
      <c r="H559" s="324"/>
      <c r="I559" s="324"/>
      <c r="J559" s="324"/>
      <c r="K559" s="324"/>
      <c r="L559" s="324"/>
      <c r="M559" s="294"/>
      <c r="N559" s="235"/>
      <c r="O559" s="324"/>
      <c r="P559" s="235"/>
      <c r="Q559" s="324"/>
      <c r="R559" s="324"/>
      <c r="S559" s="324"/>
      <c r="T559" s="324"/>
      <c r="U559" s="324"/>
      <c r="V559" s="377">
        <v>41968</v>
      </c>
      <c r="W559" s="198">
        <v>62</v>
      </c>
      <c r="X559" s="349">
        <f t="shared" si="28"/>
        <v>-5.453962143086355E-3</v>
      </c>
      <c r="Y559" s="198">
        <v>2067.030029</v>
      </c>
      <c r="Z559" s="349">
        <f t="shared" si="29"/>
        <v>-1.1500297675195448E-3</v>
      </c>
      <c r="AA559" s="324"/>
      <c r="AB559" s="324"/>
      <c r="AC559" s="324"/>
      <c r="AD559" s="324"/>
      <c r="AE559" s="324"/>
      <c r="AF559" s="324"/>
    </row>
    <row r="560" spans="1:32">
      <c r="A560" s="324"/>
      <c r="B560" s="244"/>
      <c r="C560" s="294"/>
      <c r="D560" s="235"/>
      <c r="E560" s="294"/>
      <c r="F560" s="235"/>
      <c r="G560" s="324"/>
      <c r="H560" s="324"/>
      <c r="I560" s="324"/>
      <c r="J560" s="324"/>
      <c r="K560" s="324"/>
      <c r="L560" s="324"/>
      <c r="M560" s="294"/>
      <c r="N560" s="235"/>
      <c r="O560" s="324"/>
      <c r="P560" s="235"/>
      <c r="Q560" s="324"/>
      <c r="R560" s="324"/>
      <c r="S560" s="324"/>
      <c r="T560" s="324"/>
      <c r="U560" s="324"/>
      <c r="V560" s="377">
        <v>41967</v>
      </c>
      <c r="W560" s="198">
        <v>62.34</v>
      </c>
      <c r="X560" s="349">
        <f t="shared" si="28"/>
        <v>1.4457831325300763E-3</v>
      </c>
      <c r="Y560" s="198">
        <v>2069.4099120000001</v>
      </c>
      <c r="Z560" s="349">
        <f t="shared" si="29"/>
        <v>2.8640232614489669E-3</v>
      </c>
      <c r="AA560" s="324"/>
      <c r="AB560" s="324"/>
      <c r="AC560" s="324"/>
      <c r="AD560" s="324"/>
      <c r="AE560" s="324"/>
      <c r="AF560" s="324"/>
    </row>
    <row r="561" spans="1:32">
      <c r="A561" s="324"/>
      <c r="B561" s="244"/>
      <c r="C561" s="294"/>
      <c r="D561" s="235"/>
      <c r="E561" s="294"/>
      <c r="F561" s="235"/>
      <c r="G561" s="324"/>
      <c r="H561" s="324"/>
      <c r="I561" s="324"/>
      <c r="J561" s="324"/>
      <c r="K561" s="324"/>
      <c r="L561" s="324"/>
      <c r="M561" s="294"/>
      <c r="N561" s="235"/>
      <c r="O561" s="324"/>
      <c r="P561" s="235"/>
      <c r="Q561" s="324"/>
      <c r="R561" s="324"/>
      <c r="S561" s="324"/>
      <c r="T561" s="324"/>
      <c r="U561" s="324"/>
      <c r="V561" s="377">
        <v>41964</v>
      </c>
      <c r="W561" s="198">
        <v>62.25</v>
      </c>
      <c r="X561" s="349">
        <f t="shared" si="28"/>
        <v>-8.6001113457538914E-3</v>
      </c>
      <c r="Y561" s="198">
        <v>2063.5</v>
      </c>
      <c r="Z561" s="349">
        <f t="shared" si="29"/>
        <v>5.2368773596394025E-3</v>
      </c>
      <c r="AA561" s="324"/>
      <c r="AB561" s="324"/>
      <c r="AC561" s="324"/>
      <c r="AD561" s="324"/>
      <c r="AE561" s="324"/>
      <c r="AF561" s="324"/>
    </row>
    <row r="562" spans="1:32">
      <c r="A562" s="324"/>
      <c r="B562" s="244"/>
      <c r="C562" s="294"/>
      <c r="D562" s="235"/>
      <c r="E562" s="294"/>
      <c r="F562" s="235"/>
      <c r="G562" s="324"/>
      <c r="H562" s="324"/>
      <c r="I562" s="324"/>
      <c r="J562" s="324"/>
      <c r="K562" s="324"/>
      <c r="L562" s="324"/>
      <c r="M562" s="294"/>
      <c r="N562" s="235"/>
      <c r="O562" s="324"/>
      <c r="P562" s="235"/>
      <c r="Q562" s="324"/>
      <c r="R562" s="324"/>
      <c r="S562" s="324"/>
      <c r="T562" s="324"/>
      <c r="U562" s="324"/>
      <c r="V562" s="377">
        <v>41963</v>
      </c>
      <c r="W562" s="198">
        <v>62.790000999999997</v>
      </c>
      <c r="X562" s="349">
        <f t="shared" si="28"/>
        <v>-2.3831903778709362E-3</v>
      </c>
      <c r="Y562" s="198">
        <v>2052.75</v>
      </c>
      <c r="Z562" s="349">
        <f t="shared" si="29"/>
        <v>1.9670960682991456E-3</v>
      </c>
      <c r="AA562" s="324"/>
      <c r="AB562" s="324"/>
      <c r="AC562" s="324"/>
      <c r="AD562" s="324"/>
      <c r="AE562" s="324"/>
      <c r="AF562" s="324"/>
    </row>
    <row r="563" spans="1:32">
      <c r="A563" s="324"/>
      <c r="B563" s="244"/>
      <c r="C563" s="294"/>
      <c r="D563" s="235"/>
      <c r="E563" s="294"/>
      <c r="F563" s="235"/>
      <c r="G563" s="324"/>
      <c r="H563" s="324"/>
      <c r="I563" s="324"/>
      <c r="J563" s="324"/>
      <c r="K563" s="324"/>
      <c r="L563" s="324"/>
      <c r="M563" s="294"/>
      <c r="N563" s="235"/>
      <c r="O563" s="324"/>
      <c r="P563" s="235"/>
      <c r="Q563" s="324"/>
      <c r="R563" s="324"/>
      <c r="S563" s="324"/>
      <c r="T563" s="324"/>
      <c r="U563" s="324"/>
      <c r="V563" s="377">
        <v>41962</v>
      </c>
      <c r="W563" s="198">
        <v>62.939999</v>
      </c>
      <c r="X563" s="349">
        <f t="shared" si="28"/>
        <v>-4.4290097369660275E-3</v>
      </c>
      <c r="Y563" s="198">
        <v>2048.719971</v>
      </c>
      <c r="Z563" s="349">
        <f t="shared" si="29"/>
        <v>-1.5011589465070418E-3</v>
      </c>
      <c r="AA563" s="324"/>
      <c r="AB563" s="324"/>
      <c r="AC563" s="324"/>
      <c r="AD563" s="324"/>
      <c r="AE563" s="324"/>
      <c r="AF563" s="324"/>
    </row>
    <row r="564" spans="1:32">
      <c r="A564" s="324"/>
      <c r="B564" s="244"/>
      <c r="C564" s="294"/>
      <c r="D564" s="235"/>
      <c r="E564" s="294"/>
      <c r="F564" s="235"/>
      <c r="G564" s="324"/>
      <c r="H564" s="324"/>
      <c r="I564" s="324"/>
      <c r="J564" s="324"/>
      <c r="K564" s="324"/>
      <c r="L564" s="324"/>
      <c r="M564" s="294"/>
      <c r="N564" s="235"/>
      <c r="O564" s="324"/>
      <c r="P564" s="235"/>
      <c r="Q564" s="324"/>
      <c r="R564" s="324"/>
      <c r="S564" s="324"/>
      <c r="T564" s="324"/>
      <c r="U564" s="324"/>
      <c r="V564" s="377">
        <v>41961</v>
      </c>
      <c r="W564" s="198">
        <v>63.220001000000003</v>
      </c>
      <c r="X564" s="349">
        <f t="shared" si="28"/>
        <v>3.4920793650794479E-3</v>
      </c>
      <c r="Y564" s="198">
        <v>2051.8000489999999</v>
      </c>
      <c r="Z564" s="349">
        <f t="shared" si="29"/>
        <v>5.1339835387078647E-3</v>
      </c>
      <c r="AA564" s="324"/>
      <c r="AB564" s="324"/>
      <c r="AC564" s="324"/>
      <c r="AD564" s="324"/>
      <c r="AE564" s="324"/>
      <c r="AF564" s="324"/>
    </row>
    <row r="565" spans="1:32">
      <c r="A565" s="324"/>
      <c r="B565" s="244"/>
      <c r="C565" s="294"/>
      <c r="D565" s="235"/>
      <c r="E565" s="294"/>
      <c r="F565" s="235"/>
      <c r="G565" s="324"/>
      <c r="H565" s="324"/>
      <c r="I565" s="324"/>
      <c r="J565" s="324"/>
      <c r="K565" s="324"/>
      <c r="L565" s="324"/>
      <c r="M565" s="294"/>
      <c r="N565" s="235"/>
      <c r="O565" s="324"/>
      <c r="P565" s="235"/>
      <c r="Q565" s="324"/>
      <c r="R565" s="324"/>
      <c r="S565" s="324"/>
      <c r="T565" s="324"/>
      <c r="U565" s="324"/>
      <c r="V565" s="377">
        <v>41960</v>
      </c>
      <c r="W565" s="198">
        <v>63</v>
      </c>
      <c r="X565" s="349">
        <f t="shared" si="28"/>
        <v>1.0262972895077382E-2</v>
      </c>
      <c r="Y565" s="198">
        <v>2041.3199460000001</v>
      </c>
      <c r="Z565" s="349">
        <f t="shared" si="29"/>
        <v>7.3535902173205159E-4</v>
      </c>
      <c r="AA565" s="324"/>
      <c r="AB565" s="324"/>
      <c r="AC565" s="324"/>
      <c r="AD565" s="324"/>
      <c r="AE565" s="324"/>
      <c r="AF565" s="324"/>
    </row>
    <row r="566" spans="1:32">
      <c r="A566" s="324"/>
      <c r="B566" s="244"/>
      <c r="C566" s="294"/>
      <c r="D566" s="235"/>
      <c r="E566" s="294"/>
      <c r="F566" s="235"/>
      <c r="G566" s="324"/>
      <c r="H566" s="324"/>
      <c r="I566" s="324"/>
      <c r="J566" s="324"/>
      <c r="K566" s="324"/>
      <c r="L566" s="324"/>
      <c r="M566" s="294"/>
      <c r="N566" s="235"/>
      <c r="O566" s="324"/>
      <c r="P566" s="235"/>
      <c r="Q566" s="324"/>
      <c r="R566" s="324"/>
      <c r="S566" s="324"/>
      <c r="T566" s="324"/>
      <c r="U566" s="324"/>
      <c r="V566" s="377">
        <v>41957</v>
      </c>
      <c r="W566" s="198">
        <v>62.360000999999997</v>
      </c>
      <c r="X566" s="349">
        <f t="shared" si="28"/>
        <v>2.0121053163404845E-2</v>
      </c>
      <c r="Y566" s="198">
        <v>2039.8199460000001</v>
      </c>
      <c r="Z566" s="349">
        <f t="shared" si="29"/>
        <v>2.4027009388971621E-4</v>
      </c>
      <c r="AA566" s="324"/>
      <c r="AB566" s="324"/>
      <c r="AC566" s="324"/>
      <c r="AD566" s="324"/>
      <c r="AE566" s="324"/>
      <c r="AF566" s="324"/>
    </row>
    <row r="567" spans="1:32">
      <c r="A567" s="324"/>
      <c r="B567" s="244"/>
      <c r="C567" s="294"/>
      <c r="D567" s="235"/>
      <c r="E567" s="294"/>
      <c r="F567" s="235"/>
      <c r="G567" s="324"/>
      <c r="H567" s="324"/>
      <c r="I567" s="324"/>
      <c r="J567" s="324"/>
      <c r="K567" s="324"/>
      <c r="L567" s="324"/>
      <c r="M567" s="294"/>
      <c r="N567" s="235"/>
      <c r="O567" s="324"/>
      <c r="P567" s="235"/>
      <c r="Q567" s="324"/>
      <c r="R567" s="324"/>
      <c r="S567" s="324"/>
      <c r="T567" s="324"/>
      <c r="U567" s="324"/>
      <c r="V567" s="377">
        <v>41956</v>
      </c>
      <c r="W567" s="198">
        <v>61.130001</v>
      </c>
      <c r="X567" s="349">
        <f t="shared" si="28"/>
        <v>-4.5595017098192248E-3</v>
      </c>
      <c r="Y567" s="198">
        <v>2039.329956</v>
      </c>
      <c r="Z567" s="349">
        <f t="shared" si="29"/>
        <v>5.2984471973505087E-4</v>
      </c>
      <c r="AA567" s="324"/>
      <c r="AB567" s="324"/>
      <c r="AC567" s="324"/>
      <c r="AD567" s="324"/>
      <c r="AE567" s="324"/>
      <c r="AF567" s="324"/>
    </row>
    <row r="568" spans="1:32">
      <c r="A568" s="324"/>
      <c r="B568" s="244"/>
      <c r="C568" s="294"/>
      <c r="D568" s="235"/>
      <c r="E568" s="294"/>
      <c r="F568" s="235"/>
      <c r="G568" s="324"/>
      <c r="H568" s="324"/>
      <c r="I568" s="324"/>
      <c r="J568" s="324"/>
      <c r="K568" s="324"/>
      <c r="L568" s="324"/>
      <c r="M568" s="294"/>
      <c r="N568" s="235"/>
      <c r="O568" s="324"/>
      <c r="P568" s="235"/>
      <c r="Q568" s="324"/>
      <c r="R568" s="324"/>
      <c r="S568" s="324"/>
      <c r="T568" s="324"/>
      <c r="U568" s="324"/>
      <c r="V568" s="377">
        <v>41955</v>
      </c>
      <c r="W568" s="198">
        <v>61.41</v>
      </c>
      <c r="X568" s="349">
        <f t="shared" si="28"/>
        <v>1.7944698498282285E-3</v>
      </c>
      <c r="Y568" s="198">
        <v>2038.25</v>
      </c>
      <c r="Z568" s="349">
        <f t="shared" si="29"/>
        <v>-7.011168232956555E-4</v>
      </c>
      <c r="AA568" s="324"/>
      <c r="AB568" s="324"/>
      <c r="AC568" s="324"/>
      <c r="AD568" s="324"/>
      <c r="AE568" s="324"/>
      <c r="AF568" s="324"/>
    </row>
    <row r="569" spans="1:32">
      <c r="A569" s="324"/>
      <c r="B569" s="244"/>
      <c r="C569" s="294"/>
      <c r="D569" s="235"/>
      <c r="E569" s="294"/>
      <c r="F569" s="235"/>
      <c r="G569" s="324"/>
      <c r="H569" s="324"/>
      <c r="I569" s="324"/>
      <c r="J569" s="324"/>
      <c r="K569" s="324"/>
      <c r="L569" s="324"/>
      <c r="M569" s="294"/>
      <c r="N569" s="235"/>
      <c r="O569" s="324"/>
      <c r="P569" s="235"/>
      <c r="Q569" s="324"/>
      <c r="R569" s="324"/>
      <c r="S569" s="324"/>
      <c r="T569" s="324"/>
      <c r="U569" s="324"/>
      <c r="V569" s="377">
        <v>41954</v>
      </c>
      <c r="W569" s="198">
        <v>61.299999</v>
      </c>
      <c r="X569" s="349">
        <f t="shared" si="28"/>
        <v>-1.7912554958475768E-3</v>
      </c>
      <c r="Y569" s="198">
        <v>2039.6800539999999</v>
      </c>
      <c r="Z569" s="349">
        <f t="shared" si="29"/>
        <v>6.9669423578599954E-4</v>
      </c>
      <c r="AA569" s="324"/>
      <c r="AB569" s="324"/>
      <c r="AC569" s="324"/>
      <c r="AD569" s="324"/>
      <c r="AE569" s="324"/>
      <c r="AF569" s="324"/>
    </row>
    <row r="570" spans="1:32">
      <c r="A570" s="324"/>
      <c r="B570" s="244"/>
      <c r="C570" s="294"/>
      <c r="D570" s="235"/>
      <c r="E570" s="294"/>
      <c r="F570" s="235"/>
      <c r="G570" s="324"/>
      <c r="H570" s="324"/>
      <c r="I570" s="324"/>
      <c r="J570" s="324"/>
      <c r="K570" s="324"/>
      <c r="L570" s="324"/>
      <c r="M570" s="294"/>
      <c r="N570" s="235"/>
      <c r="O570" s="324"/>
      <c r="P570" s="235"/>
      <c r="Q570" s="324"/>
      <c r="R570" s="324"/>
      <c r="S570" s="324"/>
      <c r="T570" s="324"/>
      <c r="U570" s="324"/>
      <c r="V570" s="377">
        <v>41953</v>
      </c>
      <c r="W570" s="198">
        <v>61.41</v>
      </c>
      <c r="X570" s="349">
        <f t="shared" si="28"/>
        <v>1.7944698498282285E-3</v>
      </c>
      <c r="Y570" s="198">
        <v>2038.26001</v>
      </c>
      <c r="Z570" s="349">
        <f t="shared" si="29"/>
        <v>3.1201847822315276E-3</v>
      </c>
      <c r="AA570" s="324"/>
      <c r="AB570" s="324"/>
      <c r="AC570" s="324"/>
      <c r="AD570" s="324"/>
      <c r="AE570" s="324"/>
      <c r="AF570" s="324"/>
    </row>
    <row r="571" spans="1:32">
      <c r="A571" s="324"/>
      <c r="B571" s="244"/>
      <c r="C571" s="294"/>
      <c r="D571" s="235"/>
      <c r="E571" s="294"/>
      <c r="F571" s="235"/>
      <c r="G571" s="324"/>
      <c r="H571" s="324"/>
      <c r="I571" s="324"/>
      <c r="J571" s="324"/>
      <c r="K571" s="324"/>
      <c r="L571" s="324"/>
      <c r="M571" s="294"/>
      <c r="N571" s="235"/>
      <c r="O571" s="324"/>
      <c r="P571" s="235"/>
      <c r="Q571" s="324"/>
      <c r="R571" s="324"/>
      <c r="S571" s="324"/>
      <c r="T571" s="324"/>
      <c r="U571" s="324"/>
      <c r="V571" s="377">
        <v>41950</v>
      </c>
      <c r="W571" s="198">
        <v>61.299999</v>
      </c>
      <c r="X571" s="349">
        <f t="shared" si="28"/>
        <v>9.2195749351473566E-3</v>
      </c>
      <c r="Y571" s="198">
        <v>2031.920044</v>
      </c>
      <c r="Z571" s="349">
        <f t="shared" si="29"/>
        <v>3.4958621394820533E-4</v>
      </c>
      <c r="AA571" s="324"/>
      <c r="AB571" s="324"/>
      <c r="AC571" s="324"/>
      <c r="AD571" s="324"/>
      <c r="AE571" s="324"/>
      <c r="AF571" s="324"/>
    </row>
    <row r="572" spans="1:32">
      <c r="A572" s="324"/>
      <c r="B572" s="244"/>
      <c r="C572" s="294"/>
      <c r="D572" s="235"/>
      <c r="E572" s="294"/>
      <c r="F572" s="235"/>
      <c r="G572" s="324"/>
      <c r="H572" s="324"/>
      <c r="I572" s="324"/>
      <c r="J572" s="324"/>
      <c r="K572" s="324"/>
      <c r="L572" s="324"/>
      <c r="M572" s="294"/>
      <c r="N572" s="235"/>
      <c r="O572" s="324"/>
      <c r="P572" s="235"/>
      <c r="Q572" s="324"/>
      <c r="R572" s="324"/>
      <c r="S572" s="324"/>
      <c r="T572" s="324"/>
      <c r="U572" s="324"/>
      <c r="V572" s="377">
        <v>41949</v>
      </c>
      <c r="W572" s="198">
        <v>60.740001999999997</v>
      </c>
      <c r="X572" s="349">
        <f t="shared" si="28"/>
        <v>1.9298573586172152E-2</v>
      </c>
      <c r="Y572" s="198">
        <v>2031.209961</v>
      </c>
      <c r="Z572" s="349">
        <f t="shared" si="29"/>
        <v>3.7755131791228358E-3</v>
      </c>
      <c r="AA572" s="324"/>
      <c r="AB572" s="324"/>
      <c r="AC572" s="324"/>
      <c r="AD572" s="324"/>
      <c r="AE572" s="324"/>
      <c r="AF572" s="324"/>
    </row>
    <row r="573" spans="1:32">
      <c r="A573" s="324"/>
      <c r="B573" s="244"/>
      <c r="C573" s="294"/>
      <c r="D573" s="235"/>
      <c r="E573" s="294"/>
      <c r="F573" s="235"/>
      <c r="G573" s="324"/>
      <c r="H573" s="324"/>
      <c r="I573" s="324"/>
      <c r="J573" s="324"/>
      <c r="K573" s="324"/>
      <c r="L573" s="324"/>
      <c r="M573" s="294"/>
      <c r="N573" s="235"/>
      <c r="O573" s="324"/>
      <c r="P573" s="235"/>
      <c r="Q573" s="324"/>
      <c r="R573" s="324"/>
      <c r="S573" s="324"/>
      <c r="T573" s="324"/>
      <c r="U573" s="324"/>
      <c r="V573" s="377">
        <v>41948</v>
      </c>
      <c r="W573" s="198">
        <v>59.59</v>
      </c>
      <c r="X573" s="349">
        <f t="shared" si="28"/>
        <v>7.4386810671620562E-3</v>
      </c>
      <c r="Y573" s="198">
        <v>2023.5699460000001</v>
      </c>
      <c r="Z573" s="349">
        <f t="shared" si="29"/>
        <v>5.7004970611858052E-3</v>
      </c>
      <c r="AA573" s="324"/>
      <c r="AB573" s="324"/>
      <c r="AC573" s="324"/>
      <c r="AD573" s="324"/>
      <c r="AE573" s="324"/>
      <c r="AF573" s="324"/>
    </row>
    <row r="574" spans="1:32">
      <c r="A574" s="324"/>
      <c r="B574" s="244"/>
      <c r="C574" s="294"/>
      <c r="D574" s="235"/>
      <c r="E574" s="294"/>
      <c r="F574" s="235"/>
      <c r="G574" s="324"/>
      <c r="H574" s="324"/>
      <c r="I574" s="324"/>
      <c r="J574" s="324"/>
      <c r="K574" s="324"/>
      <c r="L574" s="324"/>
      <c r="M574" s="294"/>
      <c r="N574" s="235"/>
      <c r="O574" s="324"/>
      <c r="P574" s="235"/>
      <c r="Q574" s="324"/>
      <c r="R574" s="324"/>
      <c r="S574" s="324"/>
      <c r="T574" s="324"/>
      <c r="U574" s="324"/>
      <c r="V574" s="377">
        <v>41947</v>
      </c>
      <c r="W574" s="198">
        <v>59.150002000000001</v>
      </c>
      <c r="X574" s="349">
        <f t="shared" si="28"/>
        <v>0</v>
      </c>
      <c r="Y574" s="198">
        <v>2012.099976</v>
      </c>
      <c r="Z574" s="349">
        <f t="shared" si="29"/>
        <v>-2.8298416763913314E-3</v>
      </c>
      <c r="AA574" s="324"/>
      <c r="AB574" s="324"/>
      <c r="AC574" s="324"/>
      <c r="AD574" s="324"/>
      <c r="AE574" s="324"/>
      <c r="AF574" s="324"/>
    </row>
    <row r="575" spans="1:32">
      <c r="A575" s="324"/>
      <c r="B575" s="244"/>
      <c r="C575" s="294"/>
      <c r="D575" s="235"/>
      <c r="E575" s="294"/>
      <c r="F575" s="235"/>
      <c r="G575" s="324"/>
      <c r="H575" s="324"/>
      <c r="I575" s="324"/>
      <c r="J575" s="324"/>
      <c r="K575" s="324"/>
      <c r="L575" s="324"/>
      <c r="M575" s="294"/>
      <c r="N575" s="235"/>
      <c r="O575" s="324"/>
      <c r="P575" s="235"/>
      <c r="Q575" s="324"/>
      <c r="R575" s="324"/>
      <c r="S575" s="324"/>
      <c r="T575" s="324"/>
      <c r="U575" s="324"/>
      <c r="V575" s="377">
        <v>41946</v>
      </c>
      <c r="W575" s="198">
        <v>59.150002000000001</v>
      </c>
      <c r="X575" s="349">
        <f t="shared" si="28"/>
        <v>3.9036661202873635E-3</v>
      </c>
      <c r="Y575" s="198">
        <v>2017.8100589999999</v>
      </c>
      <c r="Z575" s="349">
        <f t="shared" si="29"/>
        <v>-1.1892172848682048E-4</v>
      </c>
      <c r="AA575" s="324"/>
      <c r="AB575" s="324"/>
      <c r="AC575" s="324"/>
      <c r="AD575" s="324"/>
      <c r="AE575" s="324"/>
      <c r="AF575" s="324"/>
    </row>
    <row r="576" spans="1:32">
      <c r="A576" s="324"/>
      <c r="B576" s="244"/>
      <c r="C576" s="294"/>
      <c r="D576" s="235"/>
      <c r="E576" s="294"/>
      <c r="F576" s="235"/>
      <c r="G576" s="324"/>
      <c r="H576" s="324"/>
      <c r="I576" s="324"/>
      <c r="J576" s="324"/>
      <c r="K576" s="324"/>
      <c r="L576" s="324"/>
      <c r="M576" s="294"/>
      <c r="N576" s="235"/>
      <c r="O576" s="324"/>
      <c r="P576" s="235"/>
      <c r="Q576" s="324"/>
      <c r="R576" s="324"/>
      <c r="S576" s="324"/>
      <c r="T576" s="324"/>
      <c r="U576" s="324"/>
      <c r="V576" s="377">
        <v>41943</v>
      </c>
      <c r="W576" s="198">
        <v>58.919998</v>
      </c>
      <c r="X576" s="349">
        <f t="shared" si="28"/>
        <v>1.1502111587982755E-2</v>
      </c>
      <c r="Y576" s="198">
        <v>2018.0500489999999</v>
      </c>
      <c r="Z576" s="349">
        <f t="shared" si="29"/>
        <v>1.1731393837739246E-2</v>
      </c>
      <c r="AA576" s="324"/>
      <c r="AB576" s="324"/>
      <c r="AC576" s="324"/>
      <c r="AD576" s="324"/>
      <c r="AE576" s="324"/>
      <c r="AF576" s="324"/>
    </row>
    <row r="577" spans="1:32">
      <c r="A577" s="324"/>
      <c r="B577" s="244"/>
      <c r="C577" s="294"/>
      <c r="D577" s="235"/>
      <c r="E577" s="294"/>
      <c r="F577" s="235"/>
      <c r="G577" s="324"/>
      <c r="H577" s="324"/>
      <c r="I577" s="324"/>
      <c r="J577" s="324"/>
      <c r="K577" s="324"/>
      <c r="L577" s="324"/>
      <c r="M577" s="294"/>
      <c r="N577" s="235"/>
      <c r="O577" s="324"/>
      <c r="P577" s="235"/>
      <c r="Q577" s="324"/>
      <c r="R577" s="324"/>
      <c r="S577" s="324"/>
      <c r="T577" s="324"/>
      <c r="U577" s="324"/>
      <c r="V577" s="377">
        <v>41942</v>
      </c>
      <c r="W577" s="198">
        <v>58.25</v>
      </c>
      <c r="X577" s="349">
        <f t="shared" si="28"/>
        <v>2.4626245369437028E-2</v>
      </c>
      <c r="Y577" s="198">
        <v>1994.650024</v>
      </c>
      <c r="Z577" s="349">
        <f t="shared" si="29"/>
        <v>6.2301239442688061E-3</v>
      </c>
      <c r="AA577" s="324"/>
      <c r="AB577" s="324"/>
      <c r="AC577" s="324"/>
      <c r="AD577" s="324"/>
      <c r="AE577" s="324"/>
      <c r="AF577" s="324"/>
    </row>
    <row r="578" spans="1:32">
      <c r="A578" s="324"/>
      <c r="B578" s="244"/>
      <c r="C578" s="294"/>
      <c r="D578" s="235"/>
      <c r="E578" s="294"/>
      <c r="F578" s="235"/>
      <c r="G578" s="324"/>
      <c r="H578" s="324"/>
      <c r="I578" s="324"/>
      <c r="J578" s="324"/>
      <c r="K578" s="324"/>
      <c r="L578" s="324"/>
      <c r="M578" s="294"/>
      <c r="N578" s="235"/>
      <c r="O578" s="324"/>
      <c r="P578" s="235"/>
      <c r="Q578" s="324"/>
      <c r="R578" s="324"/>
      <c r="S578" s="324"/>
      <c r="T578" s="324"/>
      <c r="U578" s="324"/>
      <c r="V578" s="377">
        <v>41941</v>
      </c>
      <c r="W578" s="198">
        <v>56.849997999999999</v>
      </c>
      <c r="X578" s="349">
        <f t="shared" si="28"/>
        <v>-9.063988305107018E-3</v>
      </c>
      <c r="Y578" s="198">
        <v>1982.3000489999999</v>
      </c>
      <c r="Z578" s="349">
        <f t="shared" si="29"/>
        <v>-1.3853554984093464E-3</v>
      </c>
      <c r="AA578" s="324"/>
      <c r="AB578" s="324"/>
      <c r="AC578" s="324"/>
      <c r="AD578" s="324"/>
      <c r="AE578" s="324"/>
      <c r="AF578" s="324"/>
    </row>
    <row r="579" spans="1:32">
      <c r="A579" s="324"/>
      <c r="B579" s="244"/>
      <c r="C579" s="294"/>
      <c r="D579" s="235"/>
      <c r="E579" s="294"/>
      <c r="F579" s="235"/>
      <c r="G579" s="324"/>
      <c r="H579" s="324"/>
      <c r="I579" s="324"/>
      <c r="J579" s="324"/>
      <c r="K579" s="324"/>
      <c r="L579" s="324"/>
      <c r="M579" s="294"/>
      <c r="N579" s="235"/>
      <c r="O579" s="324"/>
      <c r="P579" s="235"/>
      <c r="Q579" s="324"/>
      <c r="R579" s="324"/>
      <c r="S579" s="324"/>
      <c r="T579" s="324"/>
      <c r="U579" s="324"/>
      <c r="V579" s="377">
        <v>41940</v>
      </c>
      <c r="W579" s="198">
        <v>57.369999</v>
      </c>
      <c r="X579" s="349">
        <f t="shared" si="28"/>
        <v>2.1363735850586929E-2</v>
      </c>
      <c r="Y579" s="198">
        <v>1985.0500489999999</v>
      </c>
      <c r="Z579" s="349">
        <f t="shared" si="29"/>
        <v>1.1939073087332774E-2</v>
      </c>
      <c r="AA579" s="324"/>
      <c r="AB579" s="324"/>
      <c r="AC579" s="324"/>
      <c r="AD579" s="324"/>
      <c r="AE579" s="324"/>
      <c r="AF579" s="324"/>
    </row>
    <row r="580" spans="1:32">
      <c r="A580" s="324"/>
      <c r="B580" s="244"/>
      <c r="C580" s="294"/>
      <c r="D580" s="235"/>
      <c r="E580" s="294"/>
      <c r="F580" s="235"/>
      <c r="G580" s="324"/>
      <c r="H580" s="324"/>
      <c r="I580" s="324"/>
      <c r="J580" s="324"/>
      <c r="K580" s="324"/>
      <c r="L580" s="324"/>
      <c r="M580" s="294"/>
      <c r="N580" s="235"/>
      <c r="O580" s="324"/>
      <c r="P580" s="235"/>
      <c r="Q580" s="324"/>
      <c r="R580" s="324"/>
      <c r="S580" s="324"/>
      <c r="T580" s="324"/>
      <c r="U580" s="324"/>
      <c r="V580" s="377">
        <v>41939</v>
      </c>
      <c r="W580" s="198">
        <v>56.169998</v>
      </c>
      <c r="X580" s="349">
        <f t="shared" si="28"/>
        <v>2.6775794359157334E-3</v>
      </c>
      <c r="Y580" s="198">
        <v>1961.630005</v>
      </c>
      <c r="Z580" s="349">
        <f t="shared" si="29"/>
        <v>-1.5015683077650444E-3</v>
      </c>
      <c r="AA580" s="324"/>
      <c r="AB580" s="324"/>
      <c r="AC580" s="324"/>
      <c r="AD580" s="324"/>
      <c r="AE580" s="324"/>
      <c r="AF580" s="324"/>
    </row>
    <row r="581" spans="1:32">
      <c r="A581" s="324"/>
      <c r="B581" s="244"/>
      <c r="C581" s="294"/>
      <c r="D581" s="235"/>
      <c r="E581" s="294"/>
      <c r="F581" s="235"/>
      <c r="G581" s="324"/>
      <c r="H581" s="324"/>
      <c r="I581" s="324"/>
      <c r="J581" s="324"/>
      <c r="K581" s="324"/>
      <c r="L581" s="324"/>
      <c r="M581" s="294"/>
      <c r="N581" s="235"/>
      <c r="O581" s="324"/>
      <c r="P581" s="235"/>
      <c r="Q581" s="324"/>
      <c r="R581" s="324"/>
      <c r="S581" s="324"/>
      <c r="T581" s="324"/>
      <c r="U581" s="324"/>
      <c r="V581" s="377">
        <v>41936</v>
      </c>
      <c r="W581" s="198">
        <v>56.02</v>
      </c>
      <c r="X581" s="349">
        <f t="shared" si="28"/>
        <v>9.187570138265988E-3</v>
      </c>
      <c r="Y581" s="198">
        <v>1964.579956</v>
      </c>
      <c r="Z581" s="349">
        <f t="shared" si="29"/>
        <v>7.0534495139922271E-3</v>
      </c>
      <c r="AA581" s="324"/>
      <c r="AB581" s="324"/>
      <c r="AC581" s="324"/>
      <c r="AD581" s="324"/>
      <c r="AE581" s="324"/>
      <c r="AF581" s="324"/>
    </row>
    <row r="582" spans="1:32">
      <c r="A582" s="324"/>
      <c r="B582" s="244"/>
      <c r="C582" s="294"/>
      <c r="D582" s="235"/>
      <c r="E582" s="294"/>
      <c r="F582" s="235"/>
      <c r="G582" s="324"/>
      <c r="H582" s="324"/>
      <c r="I582" s="324"/>
      <c r="J582" s="324"/>
      <c r="K582" s="324"/>
      <c r="L582" s="324"/>
      <c r="M582" s="294"/>
      <c r="N582" s="235"/>
      <c r="O582" s="324"/>
      <c r="P582" s="235"/>
      <c r="Q582" s="324"/>
      <c r="R582" s="324"/>
      <c r="S582" s="324"/>
      <c r="T582" s="324"/>
      <c r="U582" s="324"/>
      <c r="V582" s="377">
        <v>41935</v>
      </c>
      <c r="W582" s="198">
        <v>55.509998000000003</v>
      </c>
      <c r="X582" s="349">
        <f t="shared" si="28"/>
        <v>1.2956186367813594E-2</v>
      </c>
      <c r="Y582" s="198">
        <v>1950.8199460000001</v>
      </c>
      <c r="Z582" s="349">
        <f t="shared" si="29"/>
        <v>1.2303377173358276E-2</v>
      </c>
      <c r="AA582" s="324"/>
      <c r="AB582" s="324"/>
      <c r="AC582" s="324"/>
      <c r="AD582" s="324"/>
      <c r="AE582" s="324"/>
      <c r="AF582" s="324"/>
    </row>
    <row r="583" spans="1:32">
      <c r="A583" s="324"/>
      <c r="B583" s="244"/>
      <c r="C583" s="294"/>
      <c r="D583" s="235"/>
      <c r="E583" s="294"/>
      <c r="F583" s="235"/>
      <c r="G583" s="324"/>
      <c r="H583" s="324"/>
      <c r="I583" s="324"/>
      <c r="J583" s="324"/>
      <c r="K583" s="324"/>
      <c r="L583" s="324"/>
      <c r="M583" s="294"/>
      <c r="N583" s="235"/>
      <c r="O583" s="324"/>
      <c r="P583" s="235"/>
      <c r="Q583" s="324"/>
      <c r="R583" s="324"/>
      <c r="S583" s="324"/>
      <c r="T583" s="324"/>
      <c r="U583" s="324"/>
      <c r="V583" s="377">
        <v>41934</v>
      </c>
      <c r="W583" s="198">
        <v>54.799999</v>
      </c>
      <c r="X583" s="349">
        <f t="shared" si="28"/>
        <v>-4.0784210733691428E-2</v>
      </c>
      <c r="Y583" s="198">
        <v>1927.1099850000001</v>
      </c>
      <c r="Z583" s="349">
        <f t="shared" si="29"/>
        <v>-7.2993302297037488E-3</v>
      </c>
      <c r="AA583" s="324"/>
      <c r="AB583" s="324"/>
      <c r="AC583" s="324"/>
      <c r="AD583" s="324"/>
      <c r="AE583" s="324"/>
      <c r="AF583" s="324"/>
    </row>
    <row r="584" spans="1:32">
      <c r="A584" s="324"/>
      <c r="B584" s="244"/>
      <c r="C584" s="294"/>
      <c r="D584" s="235"/>
      <c r="E584" s="294"/>
      <c r="F584" s="235"/>
      <c r="G584" s="324"/>
      <c r="H584" s="324"/>
      <c r="I584" s="324"/>
      <c r="J584" s="324"/>
      <c r="K584" s="324"/>
      <c r="L584" s="324"/>
      <c r="M584" s="294"/>
      <c r="N584" s="235"/>
      <c r="O584" s="324"/>
      <c r="P584" s="235"/>
      <c r="Q584" s="324"/>
      <c r="R584" s="324"/>
      <c r="S584" s="324"/>
      <c r="T584" s="324"/>
      <c r="U584" s="324"/>
      <c r="V584" s="377">
        <v>41933</v>
      </c>
      <c r="W584" s="198">
        <v>57.130001</v>
      </c>
      <c r="X584" s="349">
        <f t="shared" si="28"/>
        <v>1.4022026979055635E-2</v>
      </c>
      <c r="Y584" s="198">
        <v>1941.280029</v>
      </c>
      <c r="Z584" s="349">
        <f t="shared" si="29"/>
        <v>1.9574486900938215E-2</v>
      </c>
      <c r="AA584" s="324"/>
      <c r="AB584" s="324"/>
      <c r="AC584" s="324"/>
      <c r="AD584" s="324"/>
      <c r="AE584" s="324"/>
      <c r="AF584" s="324"/>
    </row>
    <row r="585" spans="1:32">
      <c r="A585" s="324"/>
      <c r="B585" s="244"/>
      <c r="C585" s="294"/>
      <c r="D585" s="235"/>
      <c r="E585" s="294"/>
      <c r="F585" s="235"/>
      <c r="G585" s="324"/>
      <c r="H585" s="324"/>
      <c r="I585" s="324"/>
      <c r="J585" s="324"/>
      <c r="K585" s="324"/>
      <c r="L585" s="324"/>
      <c r="M585" s="294"/>
      <c r="N585" s="235"/>
      <c r="O585" s="324"/>
      <c r="P585" s="235"/>
      <c r="Q585" s="324"/>
      <c r="R585" s="324"/>
      <c r="S585" s="324"/>
      <c r="T585" s="324"/>
      <c r="U585" s="324"/>
      <c r="V585" s="377">
        <v>41932</v>
      </c>
      <c r="W585" s="198">
        <v>56.34</v>
      </c>
      <c r="X585" s="349">
        <f t="shared" ref="X585:X648" si="30">W585/W586-1</f>
        <v>1.167177252059215E-2</v>
      </c>
      <c r="Y585" s="198">
        <v>1904.01001</v>
      </c>
      <c r="Z585" s="349">
        <f t="shared" ref="Z585:Z648" si="31">Y585/Y586-1</f>
        <v>9.1426572052477617E-3</v>
      </c>
      <c r="AA585" s="324"/>
      <c r="AB585" s="324"/>
      <c r="AC585" s="324"/>
      <c r="AD585" s="324"/>
      <c r="AE585" s="324"/>
      <c r="AF585" s="324"/>
    </row>
    <row r="586" spans="1:32">
      <c r="A586" s="324"/>
      <c r="B586" s="244"/>
      <c r="C586" s="294"/>
      <c r="D586" s="235"/>
      <c r="E586" s="294"/>
      <c r="F586" s="235"/>
      <c r="G586" s="324"/>
      <c r="H586" s="324"/>
      <c r="I586" s="324"/>
      <c r="J586" s="324"/>
      <c r="K586" s="324"/>
      <c r="L586" s="324"/>
      <c r="M586" s="294"/>
      <c r="N586" s="235"/>
      <c r="O586" s="324"/>
      <c r="P586" s="235"/>
      <c r="Q586" s="324"/>
      <c r="R586" s="324"/>
      <c r="S586" s="324"/>
      <c r="T586" s="324"/>
      <c r="U586" s="324"/>
      <c r="V586" s="377">
        <v>41929</v>
      </c>
      <c r="W586" s="198">
        <v>55.689999</v>
      </c>
      <c r="X586" s="349">
        <f t="shared" si="30"/>
        <v>1.3835772801747748E-2</v>
      </c>
      <c r="Y586" s="198">
        <v>1886.76001</v>
      </c>
      <c r="Z586" s="349">
        <f t="shared" si="31"/>
        <v>1.2884107384289356E-2</v>
      </c>
      <c r="AA586" s="324"/>
      <c r="AB586" s="324"/>
      <c r="AC586" s="324"/>
      <c r="AD586" s="324"/>
      <c r="AE586" s="324"/>
      <c r="AF586" s="324"/>
    </row>
    <row r="587" spans="1:32">
      <c r="A587" s="324"/>
      <c r="B587" s="244"/>
      <c r="C587" s="294"/>
      <c r="D587" s="235"/>
      <c r="E587" s="294"/>
      <c r="F587" s="235"/>
      <c r="G587" s="324"/>
      <c r="H587" s="324"/>
      <c r="I587" s="324"/>
      <c r="J587" s="324"/>
      <c r="K587" s="324"/>
      <c r="L587" s="324"/>
      <c r="M587" s="294"/>
      <c r="N587" s="235"/>
      <c r="O587" s="324"/>
      <c r="P587" s="235"/>
      <c r="Q587" s="324"/>
      <c r="R587" s="324"/>
      <c r="S587" s="324"/>
      <c r="T587" s="324"/>
      <c r="U587" s="324"/>
      <c r="V587" s="377">
        <v>41928</v>
      </c>
      <c r="W587" s="198">
        <v>54.93</v>
      </c>
      <c r="X587" s="349">
        <f t="shared" si="30"/>
        <v>1.0935119572355045E-3</v>
      </c>
      <c r="Y587" s="198">
        <v>1862.76001</v>
      </c>
      <c r="Z587" s="349">
        <f t="shared" si="31"/>
        <v>1.4497796039147914E-4</v>
      </c>
      <c r="AA587" s="324"/>
      <c r="AB587" s="324"/>
      <c r="AC587" s="324"/>
      <c r="AD587" s="324"/>
      <c r="AE587" s="324"/>
      <c r="AF587" s="324"/>
    </row>
    <row r="588" spans="1:32">
      <c r="A588" s="324"/>
      <c r="B588" s="244"/>
      <c r="C588" s="294"/>
      <c r="D588" s="235"/>
      <c r="E588" s="294"/>
      <c r="F588" s="235"/>
      <c r="G588" s="324"/>
      <c r="H588" s="324"/>
      <c r="I588" s="324"/>
      <c r="J588" s="324"/>
      <c r="K588" s="324"/>
      <c r="L588" s="324"/>
      <c r="M588" s="294"/>
      <c r="N588" s="235"/>
      <c r="O588" s="324"/>
      <c r="P588" s="235"/>
      <c r="Q588" s="324"/>
      <c r="R588" s="324"/>
      <c r="S588" s="324"/>
      <c r="T588" s="324"/>
      <c r="U588" s="324"/>
      <c r="V588" s="377">
        <v>41927</v>
      </c>
      <c r="W588" s="198">
        <v>54.869999</v>
      </c>
      <c r="X588" s="349">
        <f t="shared" si="30"/>
        <v>1.0311139563411231E-2</v>
      </c>
      <c r="Y588" s="198">
        <v>1862.48999</v>
      </c>
      <c r="Z588" s="349">
        <f t="shared" si="31"/>
        <v>-8.1003149581485578E-3</v>
      </c>
      <c r="AA588" s="324"/>
      <c r="AB588" s="324"/>
      <c r="AC588" s="324"/>
      <c r="AD588" s="324"/>
      <c r="AE588" s="324"/>
      <c r="AF588" s="324"/>
    </row>
    <row r="589" spans="1:32">
      <c r="A589" s="324"/>
      <c r="B589" s="244"/>
      <c r="C589" s="294"/>
      <c r="D589" s="235"/>
      <c r="E589" s="294"/>
      <c r="F589" s="235"/>
      <c r="G589" s="324"/>
      <c r="H589" s="324"/>
      <c r="I589" s="324"/>
      <c r="J589" s="324"/>
      <c r="K589" s="324"/>
      <c r="L589" s="324"/>
      <c r="M589" s="294"/>
      <c r="N589" s="235"/>
      <c r="O589" s="324"/>
      <c r="P589" s="235"/>
      <c r="Q589" s="324"/>
      <c r="R589" s="324"/>
      <c r="S589" s="324"/>
      <c r="T589" s="324"/>
      <c r="U589" s="324"/>
      <c r="V589" s="377">
        <v>41926</v>
      </c>
      <c r="W589" s="198">
        <v>54.310001</v>
      </c>
      <c r="X589" s="349">
        <f t="shared" si="30"/>
        <v>1.6599040638158868E-3</v>
      </c>
      <c r="Y589" s="198">
        <v>1877.6999510000001</v>
      </c>
      <c r="Z589" s="349">
        <f t="shared" si="31"/>
        <v>1.5788648110077741E-3</v>
      </c>
      <c r="AA589" s="324"/>
      <c r="AB589" s="324"/>
      <c r="AC589" s="324"/>
      <c r="AD589" s="324"/>
      <c r="AE589" s="324"/>
      <c r="AF589" s="324"/>
    </row>
    <row r="590" spans="1:32">
      <c r="A590" s="324"/>
      <c r="B590" s="244"/>
      <c r="C590" s="294"/>
      <c r="D590" s="235"/>
      <c r="E590" s="294"/>
      <c r="F590" s="235"/>
      <c r="G590" s="324"/>
      <c r="H590" s="324"/>
      <c r="I590" s="324"/>
      <c r="J590" s="324"/>
      <c r="K590" s="324"/>
      <c r="L590" s="324"/>
      <c r="M590" s="294"/>
      <c r="N590" s="235"/>
      <c r="O590" s="324"/>
      <c r="P590" s="235"/>
      <c r="Q590" s="324"/>
      <c r="R590" s="324"/>
      <c r="S590" s="324"/>
      <c r="T590" s="324"/>
      <c r="U590" s="324"/>
      <c r="V590" s="377">
        <v>41925</v>
      </c>
      <c r="W590" s="198">
        <v>54.220001000000003</v>
      </c>
      <c r="X590" s="349">
        <f t="shared" si="30"/>
        <v>-2.3063045045044972E-2</v>
      </c>
      <c r="Y590" s="198">
        <v>1874.73999</v>
      </c>
      <c r="Z590" s="349">
        <f t="shared" si="31"/>
        <v>-1.646792974123501E-2</v>
      </c>
      <c r="AA590" s="324"/>
      <c r="AB590" s="324"/>
      <c r="AC590" s="324"/>
      <c r="AD590" s="324"/>
      <c r="AE590" s="324"/>
      <c r="AF590" s="324"/>
    </row>
    <row r="591" spans="1:32">
      <c r="A591" s="324"/>
      <c r="B591" s="244"/>
      <c r="C591" s="294"/>
      <c r="D591" s="235"/>
      <c r="E591" s="294"/>
      <c r="F591" s="235"/>
      <c r="G591" s="324"/>
      <c r="H591" s="324"/>
      <c r="I591" s="324"/>
      <c r="J591" s="324"/>
      <c r="K591" s="324"/>
      <c r="L591" s="324"/>
      <c r="M591" s="294"/>
      <c r="N591" s="235"/>
      <c r="O591" s="324"/>
      <c r="P591" s="235"/>
      <c r="Q591" s="324"/>
      <c r="R591" s="324"/>
      <c r="S591" s="324"/>
      <c r="T591" s="324"/>
      <c r="U591" s="324"/>
      <c r="V591" s="377">
        <v>41922</v>
      </c>
      <c r="W591" s="198">
        <v>55.5</v>
      </c>
      <c r="X591" s="349">
        <f t="shared" si="30"/>
        <v>-4.3927632109003079E-2</v>
      </c>
      <c r="Y591" s="198">
        <v>1906.130005</v>
      </c>
      <c r="Z591" s="349">
        <f t="shared" si="31"/>
        <v>-1.1451012310168207E-2</v>
      </c>
      <c r="AA591" s="324"/>
      <c r="AB591" s="324"/>
      <c r="AC591" s="324"/>
      <c r="AD591" s="324"/>
      <c r="AE591" s="324"/>
      <c r="AF591" s="324"/>
    </row>
    <row r="592" spans="1:32">
      <c r="A592" s="324"/>
      <c r="B592" s="244"/>
      <c r="C592" s="294"/>
      <c r="D592" s="235"/>
      <c r="E592" s="294"/>
      <c r="F592" s="235"/>
      <c r="G592" s="324"/>
      <c r="H592" s="324"/>
      <c r="I592" s="324"/>
      <c r="J592" s="324"/>
      <c r="K592" s="324"/>
      <c r="L592" s="324"/>
      <c r="M592" s="294"/>
      <c r="N592" s="235"/>
      <c r="O592" s="324"/>
      <c r="P592" s="235"/>
      <c r="Q592" s="324"/>
      <c r="R592" s="324"/>
      <c r="S592" s="324"/>
      <c r="T592" s="324"/>
      <c r="U592" s="324"/>
      <c r="V592" s="377">
        <v>41921</v>
      </c>
      <c r="W592" s="198">
        <v>58.049999</v>
      </c>
      <c r="X592" s="349">
        <f t="shared" si="30"/>
        <v>-8.7090503977279576E-3</v>
      </c>
      <c r="Y592" s="198">
        <v>1928.209961</v>
      </c>
      <c r="Z592" s="349">
        <f t="shared" si="31"/>
        <v>-2.0661415157819274E-2</v>
      </c>
      <c r="AA592" s="324"/>
      <c r="AB592" s="324"/>
      <c r="AC592" s="324"/>
      <c r="AD592" s="324"/>
      <c r="AE592" s="324"/>
      <c r="AF592" s="324"/>
    </row>
    <row r="593" spans="1:32">
      <c r="A593" s="324"/>
      <c r="B593" s="244"/>
      <c r="C593" s="294"/>
      <c r="D593" s="235"/>
      <c r="E593" s="294"/>
      <c r="F593" s="235"/>
      <c r="G593" s="324"/>
      <c r="H593" s="324"/>
      <c r="I593" s="324"/>
      <c r="J593" s="324"/>
      <c r="K593" s="324"/>
      <c r="L593" s="324"/>
      <c r="M593" s="294"/>
      <c r="N593" s="235"/>
      <c r="O593" s="324"/>
      <c r="P593" s="235"/>
      <c r="Q593" s="324"/>
      <c r="R593" s="324"/>
      <c r="S593" s="324"/>
      <c r="T593" s="324"/>
      <c r="U593" s="324"/>
      <c r="V593" s="377">
        <v>41920</v>
      </c>
      <c r="W593" s="198">
        <v>58.560001</v>
      </c>
      <c r="X593" s="349">
        <f t="shared" si="30"/>
        <v>3.3168683839096769E-2</v>
      </c>
      <c r="Y593" s="198">
        <v>1968.8900149999999</v>
      </c>
      <c r="Z593" s="349">
        <f t="shared" si="31"/>
        <v>1.7461650260492734E-2</v>
      </c>
      <c r="AA593" s="324"/>
      <c r="AB593" s="324"/>
      <c r="AC593" s="324"/>
      <c r="AD593" s="324"/>
      <c r="AE593" s="324"/>
      <c r="AF593" s="324"/>
    </row>
    <row r="594" spans="1:32">
      <c r="A594" s="324"/>
      <c r="B594" s="244"/>
      <c r="C594" s="294"/>
      <c r="D594" s="235"/>
      <c r="E594" s="294"/>
      <c r="F594" s="235"/>
      <c r="G594" s="324"/>
      <c r="H594" s="324"/>
      <c r="I594" s="324"/>
      <c r="J594" s="324"/>
      <c r="K594" s="324"/>
      <c r="L594" s="324"/>
      <c r="M594" s="294"/>
      <c r="N594" s="235"/>
      <c r="O594" s="324"/>
      <c r="P594" s="235"/>
      <c r="Q594" s="324"/>
      <c r="R594" s="324"/>
      <c r="S594" s="324"/>
      <c r="T594" s="324"/>
      <c r="U594" s="324"/>
      <c r="V594" s="377">
        <v>41919</v>
      </c>
      <c r="W594" s="198">
        <v>56.68</v>
      </c>
      <c r="X594" s="349">
        <f t="shared" si="30"/>
        <v>-2.5111782337663979E-2</v>
      </c>
      <c r="Y594" s="198">
        <v>1935.099976</v>
      </c>
      <c r="Z594" s="349">
        <f t="shared" si="31"/>
        <v>-1.5126052674955925E-2</v>
      </c>
      <c r="AA594" s="324"/>
      <c r="AB594" s="324"/>
      <c r="AC594" s="324"/>
      <c r="AD594" s="324"/>
      <c r="AE594" s="324"/>
      <c r="AF594" s="324"/>
    </row>
    <row r="595" spans="1:32">
      <c r="A595" s="324"/>
      <c r="B595" s="244"/>
      <c r="C595" s="294"/>
      <c r="D595" s="235"/>
      <c r="E595" s="294"/>
      <c r="F595" s="235"/>
      <c r="G595" s="324"/>
      <c r="H595" s="324"/>
      <c r="I595" s="324"/>
      <c r="J595" s="324"/>
      <c r="K595" s="324"/>
      <c r="L595" s="324"/>
      <c r="M595" s="294"/>
      <c r="N595" s="235"/>
      <c r="O595" s="324"/>
      <c r="P595" s="235"/>
      <c r="Q595" s="324"/>
      <c r="R595" s="324"/>
      <c r="S595" s="324"/>
      <c r="T595" s="324"/>
      <c r="U595" s="324"/>
      <c r="V595" s="377">
        <v>41918</v>
      </c>
      <c r="W595" s="198">
        <v>58.139999000000003</v>
      </c>
      <c r="X595" s="349">
        <f t="shared" si="30"/>
        <v>0</v>
      </c>
      <c r="Y595" s="198">
        <v>1964.8199460000001</v>
      </c>
      <c r="Z595" s="349">
        <f t="shared" si="31"/>
        <v>-1.5651597959429608E-3</v>
      </c>
      <c r="AA595" s="324"/>
      <c r="AB595" s="324"/>
      <c r="AC595" s="324"/>
      <c r="AD595" s="324"/>
      <c r="AE595" s="324"/>
      <c r="AF595" s="324"/>
    </row>
    <row r="596" spans="1:32">
      <c r="A596" s="324"/>
      <c r="B596" s="244"/>
      <c r="C596" s="294"/>
      <c r="D596" s="235"/>
      <c r="E596" s="294"/>
      <c r="F596" s="235"/>
      <c r="G596" s="324"/>
      <c r="H596" s="324"/>
      <c r="I596" s="324"/>
      <c r="J596" s="324"/>
      <c r="K596" s="324"/>
      <c r="L596" s="324"/>
      <c r="M596" s="294"/>
      <c r="N596" s="235"/>
      <c r="O596" s="324"/>
      <c r="P596" s="235"/>
      <c r="Q596" s="324"/>
      <c r="R596" s="324"/>
      <c r="S596" s="324"/>
      <c r="T596" s="324"/>
      <c r="U596" s="324"/>
      <c r="V596" s="377">
        <v>41915</v>
      </c>
      <c r="W596" s="198">
        <v>58.139999000000003</v>
      </c>
      <c r="X596" s="349">
        <f t="shared" si="30"/>
        <v>1.324499802640311E-2</v>
      </c>
      <c r="Y596" s="198">
        <v>1967.900024</v>
      </c>
      <c r="Z596" s="349">
        <f t="shared" si="31"/>
        <v>1.1165509440962396E-2</v>
      </c>
      <c r="AA596" s="324"/>
      <c r="AB596" s="324"/>
      <c r="AC596" s="324"/>
      <c r="AD596" s="324"/>
      <c r="AE596" s="324"/>
      <c r="AF596" s="324"/>
    </row>
    <row r="597" spans="1:32">
      <c r="A597" s="324"/>
      <c r="B597" s="244"/>
      <c r="C597" s="294"/>
      <c r="D597" s="235"/>
      <c r="E597" s="294"/>
      <c r="F597" s="235"/>
      <c r="G597" s="324"/>
      <c r="H597" s="324"/>
      <c r="I597" s="324"/>
      <c r="J597" s="324"/>
      <c r="K597" s="324"/>
      <c r="L597" s="324"/>
      <c r="M597" s="294"/>
      <c r="N597" s="235"/>
      <c r="O597" s="324"/>
      <c r="P597" s="235"/>
      <c r="Q597" s="324"/>
      <c r="R597" s="324"/>
      <c r="S597" s="324"/>
      <c r="T597" s="324"/>
      <c r="U597" s="324"/>
      <c r="V597" s="377">
        <v>41914</v>
      </c>
      <c r="W597" s="198">
        <v>57.380001</v>
      </c>
      <c r="X597" s="349">
        <f t="shared" si="30"/>
        <v>1.6114750909956621E-2</v>
      </c>
      <c r="Y597" s="198">
        <v>1946.170044</v>
      </c>
      <c r="Z597" s="349">
        <f t="shared" si="31"/>
        <v>5.1434619070533927E-6</v>
      </c>
      <c r="AA597" s="324"/>
      <c r="AB597" s="324"/>
      <c r="AC597" s="324"/>
      <c r="AD597" s="324"/>
      <c r="AE597" s="324"/>
      <c r="AF597" s="324"/>
    </row>
    <row r="598" spans="1:32">
      <c r="A598" s="324"/>
      <c r="B598" s="244"/>
      <c r="C598" s="294"/>
      <c r="D598" s="235"/>
      <c r="E598" s="294"/>
      <c r="F598" s="235"/>
      <c r="G598" s="324"/>
      <c r="H598" s="324"/>
      <c r="I598" s="324"/>
      <c r="J598" s="324"/>
      <c r="K598" s="324"/>
      <c r="L598" s="324"/>
      <c r="M598" s="294"/>
      <c r="N598" s="235"/>
      <c r="O598" s="324"/>
      <c r="P598" s="235"/>
      <c r="Q598" s="324"/>
      <c r="R598" s="324"/>
      <c r="S598" s="324"/>
      <c r="T598" s="324"/>
      <c r="U598" s="324"/>
      <c r="V598" s="377">
        <v>41913</v>
      </c>
      <c r="W598" s="198">
        <v>56.470001000000003</v>
      </c>
      <c r="X598" s="349">
        <f t="shared" si="30"/>
        <v>5.6990024684238083E-3</v>
      </c>
      <c r="Y598" s="198">
        <v>1946.160034</v>
      </c>
      <c r="Z598" s="349">
        <f t="shared" si="31"/>
        <v>-1.3248561055071106E-2</v>
      </c>
      <c r="AA598" s="324"/>
      <c r="AB598" s="324"/>
      <c r="AC598" s="324"/>
      <c r="AD598" s="324"/>
      <c r="AE598" s="324"/>
      <c r="AF598" s="324"/>
    </row>
    <row r="599" spans="1:32">
      <c r="A599" s="324"/>
      <c r="B599" s="244"/>
      <c r="C599" s="294"/>
      <c r="D599" s="235"/>
      <c r="E599" s="294"/>
      <c r="F599" s="235"/>
      <c r="G599" s="324"/>
      <c r="H599" s="324"/>
      <c r="I599" s="324"/>
      <c r="J599" s="324"/>
      <c r="K599" s="324"/>
      <c r="L599" s="324"/>
      <c r="M599" s="294"/>
      <c r="N599" s="235"/>
      <c r="O599" s="324"/>
      <c r="P599" s="235"/>
      <c r="Q599" s="324"/>
      <c r="R599" s="324"/>
      <c r="S599" s="324"/>
      <c r="T599" s="324"/>
      <c r="U599" s="324"/>
      <c r="V599" s="377">
        <v>41912</v>
      </c>
      <c r="W599" s="198">
        <v>56.150002000000001</v>
      </c>
      <c r="X599" s="349">
        <f t="shared" si="30"/>
        <v>1.1894034532563325E-2</v>
      </c>
      <c r="Y599" s="198">
        <v>1972.290039</v>
      </c>
      <c r="Z599" s="349">
        <f t="shared" si="31"/>
        <v>-2.7859287407672184E-3</v>
      </c>
      <c r="AA599" s="324"/>
      <c r="AB599" s="324"/>
      <c r="AC599" s="324"/>
      <c r="AD599" s="324"/>
      <c r="AE599" s="324"/>
      <c r="AF599" s="324"/>
    </row>
    <row r="600" spans="1:32">
      <c r="A600" s="324"/>
      <c r="B600" s="244"/>
      <c r="C600" s="294"/>
      <c r="D600" s="235"/>
      <c r="E600" s="294"/>
      <c r="F600" s="235"/>
      <c r="G600" s="324"/>
      <c r="H600" s="324"/>
      <c r="I600" s="324"/>
      <c r="J600" s="324"/>
      <c r="K600" s="324"/>
      <c r="L600" s="324"/>
      <c r="M600" s="294"/>
      <c r="N600" s="235"/>
      <c r="O600" s="324"/>
      <c r="P600" s="235"/>
      <c r="Q600" s="324"/>
      <c r="R600" s="324"/>
      <c r="S600" s="324"/>
      <c r="T600" s="324"/>
      <c r="U600" s="324"/>
      <c r="V600" s="377">
        <v>41911</v>
      </c>
      <c r="W600" s="198">
        <v>55.490001999999997</v>
      </c>
      <c r="X600" s="349">
        <f t="shared" si="30"/>
        <v>9.0193003069849453E-4</v>
      </c>
      <c r="Y600" s="198">
        <v>1977.8000489999999</v>
      </c>
      <c r="Z600" s="349">
        <f t="shared" si="31"/>
        <v>-2.5468023608055113E-3</v>
      </c>
      <c r="AA600" s="324"/>
      <c r="AB600" s="324"/>
      <c r="AC600" s="324"/>
      <c r="AD600" s="324"/>
      <c r="AE600" s="324"/>
      <c r="AF600" s="324"/>
    </row>
    <row r="601" spans="1:32">
      <c r="A601" s="324"/>
      <c r="B601" s="244"/>
      <c r="C601" s="294"/>
      <c r="D601" s="235"/>
      <c r="E601" s="294"/>
      <c r="F601" s="235"/>
      <c r="G601" s="324"/>
      <c r="H601" s="324"/>
      <c r="I601" s="324"/>
      <c r="J601" s="324"/>
      <c r="K601" s="324"/>
      <c r="L601" s="324"/>
      <c r="M601" s="294"/>
      <c r="N601" s="235"/>
      <c r="O601" s="324"/>
      <c r="P601" s="235"/>
      <c r="Q601" s="324"/>
      <c r="R601" s="324"/>
      <c r="S601" s="324"/>
      <c r="T601" s="324"/>
      <c r="U601" s="324"/>
      <c r="V601" s="377">
        <v>41908</v>
      </c>
      <c r="W601" s="198">
        <v>55.439999</v>
      </c>
      <c r="X601" s="349">
        <f t="shared" si="30"/>
        <v>-7.5188326616749679E-3</v>
      </c>
      <c r="Y601" s="198">
        <v>1982.849976</v>
      </c>
      <c r="Z601" s="349">
        <f t="shared" si="31"/>
        <v>8.5758249460872182E-3</v>
      </c>
      <c r="AA601" s="324"/>
      <c r="AB601" s="324"/>
      <c r="AC601" s="324"/>
      <c r="AD601" s="324"/>
      <c r="AE601" s="324"/>
      <c r="AF601" s="324"/>
    </row>
    <row r="602" spans="1:32">
      <c r="A602" s="324"/>
      <c r="B602" s="244"/>
      <c r="C602" s="294"/>
      <c r="D602" s="235"/>
      <c r="E602" s="294"/>
      <c r="F602" s="235"/>
      <c r="G602" s="324"/>
      <c r="H602" s="324"/>
      <c r="I602" s="324"/>
      <c r="J602" s="324"/>
      <c r="K602" s="324"/>
      <c r="L602" s="324"/>
      <c r="M602" s="294"/>
      <c r="N602" s="235"/>
      <c r="O602" s="324"/>
      <c r="P602" s="235"/>
      <c r="Q602" s="324"/>
      <c r="R602" s="324"/>
      <c r="S602" s="324"/>
      <c r="T602" s="324"/>
      <c r="U602" s="324"/>
      <c r="V602" s="377">
        <v>41907</v>
      </c>
      <c r="W602" s="198">
        <v>55.860000999999997</v>
      </c>
      <c r="X602" s="349">
        <f t="shared" si="30"/>
        <v>-1.8277697072840215E-2</v>
      </c>
      <c r="Y602" s="198">
        <v>1965.98999</v>
      </c>
      <c r="Z602" s="349">
        <f t="shared" si="31"/>
        <v>-1.61687725605415E-2</v>
      </c>
      <c r="AA602" s="324"/>
      <c r="AB602" s="324"/>
      <c r="AC602" s="324"/>
      <c r="AD602" s="324"/>
      <c r="AE602" s="324"/>
      <c r="AF602" s="324"/>
    </row>
    <row r="603" spans="1:32">
      <c r="A603" s="324"/>
      <c r="B603" s="244"/>
      <c r="C603" s="294"/>
      <c r="D603" s="235"/>
      <c r="E603" s="294"/>
      <c r="F603" s="235"/>
      <c r="G603" s="324"/>
      <c r="H603" s="324"/>
      <c r="I603" s="324"/>
      <c r="J603" s="324"/>
      <c r="K603" s="324"/>
      <c r="L603" s="324"/>
      <c r="M603" s="294"/>
      <c r="N603" s="235"/>
      <c r="O603" s="324"/>
      <c r="P603" s="235"/>
      <c r="Q603" s="324"/>
      <c r="R603" s="324"/>
      <c r="S603" s="324"/>
      <c r="T603" s="324"/>
      <c r="U603" s="324"/>
      <c r="V603" s="377">
        <v>41906</v>
      </c>
      <c r="W603" s="198">
        <v>56.900002000000001</v>
      </c>
      <c r="X603" s="349">
        <f t="shared" si="30"/>
        <v>1.0118941589954078E-2</v>
      </c>
      <c r="Y603" s="198">
        <v>1998.3000489999999</v>
      </c>
      <c r="Z603" s="349">
        <f t="shared" si="31"/>
        <v>7.8324913345220182E-3</v>
      </c>
      <c r="AA603" s="324"/>
      <c r="AB603" s="324"/>
      <c r="AC603" s="324"/>
      <c r="AD603" s="324"/>
      <c r="AE603" s="324"/>
      <c r="AF603" s="324"/>
    </row>
    <row r="604" spans="1:32">
      <c r="A604" s="324"/>
      <c r="B604" s="244"/>
      <c r="C604" s="294"/>
      <c r="D604" s="235"/>
      <c r="E604" s="294"/>
      <c r="F604" s="235"/>
      <c r="G604" s="324"/>
      <c r="H604" s="324"/>
      <c r="I604" s="324"/>
      <c r="J604" s="324"/>
      <c r="K604" s="324"/>
      <c r="L604" s="324"/>
      <c r="M604" s="294"/>
      <c r="N604" s="235"/>
      <c r="O604" s="324"/>
      <c r="P604" s="235"/>
      <c r="Q604" s="324"/>
      <c r="R604" s="324"/>
      <c r="S604" s="324"/>
      <c r="T604" s="324"/>
      <c r="U604" s="324"/>
      <c r="V604" s="377">
        <v>41905</v>
      </c>
      <c r="W604" s="198">
        <v>56.330002</v>
      </c>
      <c r="X604" s="349">
        <f t="shared" si="30"/>
        <v>-5.9995767072376083E-3</v>
      </c>
      <c r="Y604" s="198">
        <v>1982.7700199999999</v>
      </c>
      <c r="Z604" s="349">
        <f t="shared" si="31"/>
        <v>-5.7765012985656616E-3</v>
      </c>
      <c r="AA604" s="324"/>
      <c r="AB604" s="324"/>
      <c r="AC604" s="324"/>
      <c r="AD604" s="324"/>
      <c r="AE604" s="324"/>
      <c r="AF604" s="324"/>
    </row>
    <row r="605" spans="1:32">
      <c r="A605" s="324"/>
      <c r="B605" s="244"/>
      <c r="C605" s="294"/>
      <c r="D605" s="235"/>
      <c r="E605" s="294"/>
      <c r="F605" s="235"/>
      <c r="G605" s="324"/>
      <c r="H605" s="324"/>
      <c r="I605" s="324"/>
      <c r="J605" s="324"/>
      <c r="K605" s="324"/>
      <c r="L605" s="324"/>
      <c r="M605" s="294"/>
      <c r="N605" s="235"/>
      <c r="O605" s="324"/>
      <c r="P605" s="235"/>
      <c r="Q605" s="324"/>
      <c r="R605" s="324"/>
      <c r="S605" s="324"/>
      <c r="T605" s="324"/>
      <c r="U605" s="324"/>
      <c r="V605" s="377">
        <v>41904</v>
      </c>
      <c r="W605" s="198">
        <v>56.669998</v>
      </c>
      <c r="X605" s="349">
        <f t="shared" si="30"/>
        <v>-2.1750422924218915E-2</v>
      </c>
      <c r="Y605" s="198">
        <v>1994.290039</v>
      </c>
      <c r="Z605" s="349">
        <f t="shared" si="31"/>
        <v>-8.0133231235974822E-3</v>
      </c>
      <c r="AA605" s="324"/>
      <c r="AB605" s="324"/>
      <c r="AC605" s="324"/>
      <c r="AD605" s="324"/>
      <c r="AE605" s="324"/>
      <c r="AF605" s="324"/>
    </row>
    <row r="606" spans="1:32">
      <c r="A606" s="324"/>
      <c r="B606" s="244"/>
      <c r="C606" s="294"/>
      <c r="D606" s="235"/>
      <c r="E606" s="294"/>
      <c r="F606" s="235"/>
      <c r="G606" s="324"/>
      <c r="H606" s="324"/>
      <c r="I606" s="324"/>
      <c r="J606" s="324"/>
      <c r="K606" s="324"/>
      <c r="L606" s="324"/>
      <c r="M606" s="294"/>
      <c r="N606" s="235"/>
      <c r="O606" s="324"/>
      <c r="P606" s="235"/>
      <c r="Q606" s="324"/>
      <c r="R606" s="324"/>
      <c r="S606" s="324"/>
      <c r="T606" s="324"/>
      <c r="U606" s="324"/>
      <c r="V606" s="377">
        <v>41901</v>
      </c>
      <c r="W606" s="198">
        <v>57.93</v>
      </c>
      <c r="X606" s="349">
        <f t="shared" si="30"/>
        <v>-4.500494559841739E-2</v>
      </c>
      <c r="Y606" s="198">
        <v>2010.400024</v>
      </c>
      <c r="Z606" s="349">
        <f t="shared" si="31"/>
        <v>-4.7726961218230723E-4</v>
      </c>
      <c r="AA606" s="324"/>
      <c r="AB606" s="324"/>
      <c r="AC606" s="324"/>
      <c r="AD606" s="324"/>
      <c r="AE606" s="324"/>
      <c r="AF606" s="324"/>
    </row>
    <row r="607" spans="1:32">
      <c r="A607" s="324"/>
      <c r="B607" s="244"/>
      <c r="C607" s="294"/>
      <c r="D607" s="235"/>
      <c r="E607" s="294"/>
      <c r="F607" s="235"/>
      <c r="G607" s="324"/>
      <c r="H607" s="324"/>
      <c r="I607" s="324"/>
      <c r="J607" s="324"/>
      <c r="K607" s="324"/>
      <c r="L607" s="324"/>
      <c r="M607" s="294"/>
      <c r="N607" s="235"/>
      <c r="O607" s="324"/>
      <c r="P607" s="235"/>
      <c r="Q607" s="324"/>
      <c r="R607" s="324"/>
      <c r="S607" s="324"/>
      <c r="T607" s="324"/>
      <c r="U607" s="324"/>
      <c r="V607" s="377">
        <v>41900</v>
      </c>
      <c r="W607" s="198">
        <v>60.66</v>
      </c>
      <c r="X607" s="349">
        <f t="shared" si="30"/>
        <v>-6.8762604166254793E-3</v>
      </c>
      <c r="Y607" s="198">
        <v>2011.3599850000001</v>
      </c>
      <c r="Z607" s="349">
        <f t="shared" si="31"/>
        <v>4.8911800557180918E-3</v>
      </c>
      <c r="AA607" s="324"/>
      <c r="AB607" s="324"/>
      <c r="AC607" s="324"/>
      <c r="AD607" s="324"/>
      <c r="AE607" s="324"/>
      <c r="AF607" s="324"/>
    </row>
    <row r="608" spans="1:32">
      <c r="A608" s="324"/>
      <c r="B608" s="244"/>
      <c r="C608" s="294"/>
      <c r="D608" s="235"/>
      <c r="E608" s="294"/>
      <c r="F608" s="235"/>
      <c r="G608" s="324"/>
      <c r="H608" s="324"/>
      <c r="I608" s="324"/>
      <c r="J608" s="324"/>
      <c r="K608" s="324"/>
      <c r="L608" s="324"/>
      <c r="M608" s="294"/>
      <c r="N608" s="235"/>
      <c r="O608" s="324"/>
      <c r="P608" s="235"/>
      <c r="Q608" s="324"/>
      <c r="R608" s="324"/>
      <c r="S608" s="324"/>
      <c r="T608" s="324"/>
      <c r="U608" s="324"/>
      <c r="V608" s="377">
        <v>41899</v>
      </c>
      <c r="W608" s="198">
        <v>61.080002</v>
      </c>
      <c r="X608" s="349">
        <f t="shared" si="30"/>
        <v>5.763247159558782E-3</v>
      </c>
      <c r="Y608" s="198">
        <v>2001.5699460000001</v>
      </c>
      <c r="Z608" s="349">
        <f t="shared" si="31"/>
        <v>1.295643791290102E-3</v>
      </c>
      <c r="AA608" s="324"/>
      <c r="AB608" s="324"/>
      <c r="AC608" s="324"/>
      <c r="AD608" s="324"/>
      <c r="AE608" s="324"/>
      <c r="AF608" s="324"/>
    </row>
    <row r="609" spans="1:32">
      <c r="A609" s="324"/>
      <c r="B609" s="244"/>
      <c r="C609" s="294"/>
      <c r="D609" s="235"/>
      <c r="E609" s="294"/>
      <c r="F609" s="235"/>
      <c r="G609" s="324"/>
      <c r="H609" s="324"/>
      <c r="I609" s="324"/>
      <c r="J609" s="324"/>
      <c r="K609" s="324"/>
      <c r="L609" s="324"/>
      <c r="M609" s="294"/>
      <c r="N609" s="235"/>
      <c r="O609" s="324"/>
      <c r="P609" s="235"/>
      <c r="Q609" s="324"/>
      <c r="R609" s="324"/>
      <c r="S609" s="324"/>
      <c r="T609" s="324"/>
      <c r="U609" s="324"/>
      <c r="V609" s="377">
        <v>41898</v>
      </c>
      <c r="W609" s="198">
        <v>60.73</v>
      </c>
      <c r="X609" s="349">
        <f t="shared" si="30"/>
        <v>1.7423371040766744E-2</v>
      </c>
      <c r="Y609" s="198">
        <v>1998.9799800000001</v>
      </c>
      <c r="Z609" s="349">
        <f t="shared" si="31"/>
        <v>7.4843760048879382E-3</v>
      </c>
      <c r="AA609" s="324"/>
      <c r="AB609" s="324"/>
      <c r="AC609" s="324"/>
      <c r="AD609" s="324"/>
      <c r="AE609" s="324"/>
      <c r="AF609" s="324"/>
    </row>
    <row r="610" spans="1:32">
      <c r="A610" s="324"/>
      <c r="B610" s="244"/>
      <c r="C610" s="294"/>
      <c r="D610" s="235"/>
      <c r="E610" s="294"/>
      <c r="F610" s="235"/>
      <c r="G610" s="324"/>
      <c r="H610" s="324"/>
      <c r="I610" s="324"/>
      <c r="J610" s="324"/>
      <c r="K610" s="324"/>
      <c r="L610" s="324"/>
      <c r="M610" s="294"/>
      <c r="N610" s="235"/>
      <c r="O610" s="324"/>
      <c r="P610" s="235"/>
      <c r="Q610" s="324"/>
      <c r="R610" s="324"/>
      <c r="S610" s="324"/>
      <c r="T610" s="324"/>
      <c r="U610" s="324"/>
      <c r="V610" s="377">
        <v>41897</v>
      </c>
      <c r="W610" s="198">
        <v>59.689999</v>
      </c>
      <c r="X610" s="349">
        <f t="shared" si="30"/>
        <v>-1.3877416386542385E-2</v>
      </c>
      <c r="Y610" s="198">
        <v>1984.130005</v>
      </c>
      <c r="Z610" s="349">
        <f t="shared" si="31"/>
        <v>-7.101513806340165E-4</v>
      </c>
      <c r="AA610" s="324"/>
      <c r="AB610" s="324"/>
      <c r="AC610" s="324"/>
      <c r="AD610" s="324"/>
      <c r="AE610" s="324"/>
      <c r="AF610" s="324"/>
    </row>
    <row r="611" spans="1:32">
      <c r="A611" s="324"/>
      <c r="B611" s="244"/>
      <c r="C611" s="294"/>
      <c r="D611" s="235"/>
      <c r="E611" s="294"/>
      <c r="F611" s="235"/>
      <c r="G611" s="324"/>
      <c r="H611" s="324"/>
      <c r="I611" s="324"/>
      <c r="J611" s="324"/>
      <c r="K611" s="324"/>
      <c r="L611" s="324"/>
      <c r="M611" s="294"/>
      <c r="N611" s="235"/>
      <c r="O611" s="324"/>
      <c r="P611" s="235"/>
      <c r="Q611" s="324"/>
      <c r="R611" s="324"/>
      <c r="S611" s="324"/>
      <c r="T611" s="324"/>
      <c r="U611" s="324"/>
      <c r="V611" s="377">
        <v>41894</v>
      </c>
      <c r="W611" s="198">
        <v>60.529998999999997</v>
      </c>
      <c r="X611" s="349">
        <f t="shared" si="30"/>
        <v>-1.8644633592736715E-2</v>
      </c>
      <c r="Y611" s="198">
        <v>1985.540039</v>
      </c>
      <c r="Z611" s="349">
        <f t="shared" si="31"/>
        <v>-5.9625584080529315E-3</v>
      </c>
      <c r="AA611" s="324"/>
      <c r="AB611" s="324"/>
      <c r="AC611" s="324"/>
      <c r="AD611" s="324"/>
      <c r="AE611" s="324"/>
      <c r="AF611" s="324"/>
    </row>
    <row r="612" spans="1:32">
      <c r="A612" s="324"/>
      <c r="B612" s="244"/>
      <c r="C612" s="294"/>
      <c r="D612" s="235"/>
      <c r="E612" s="294"/>
      <c r="F612" s="235"/>
      <c r="G612" s="324"/>
      <c r="H612" s="324"/>
      <c r="I612" s="324"/>
      <c r="J612" s="324"/>
      <c r="K612" s="324"/>
      <c r="L612" s="324"/>
      <c r="M612" s="294"/>
      <c r="N612" s="235"/>
      <c r="O612" s="324"/>
      <c r="P612" s="235"/>
      <c r="Q612" s="324"/>
      <c r="R612" s="324"/>
      <c r="S612" s="324"/>
      <c r="T612" s="324"/>
      <c r="U612" s="324"/>
      <c r="V612" s="377">
        <v>41893</v>
      </c>
      <c r="W612" s="198">
        <v>61.68</v>
      </c>
      <c r="X612" s="349">
        <f t="shared" si="30"/>
        <v>6.3631749655217451E-3</v>
      </c>
      <c r="Y612" s="198">
        <v>1997.4499510000001</v>
      </c>
      <c r="Z612" s="349">
        <f t="shared" si="31"/>
        <v>8.8190553243849834E-4</v>
      </c>
      <c r="AA612" s="324"/>
      <c r="AB612" s="324"/>
      <c r="AC612" s="324"/>
      <c r="AD612" s="324"/>
      <c r="AE612" s="324"/>
      <c r="AF612" s="324"/>
    </row>
    <row r="613" spans="1:32">
      <c r="A613" s="324"/>
      <c r="B613" s="244"/>
      <c r="C613" s="294"/>
      <c r="D613" s="235"/>
      <c r="E613" s="294"/>
      <c r="F613" s="235"/>
      <c r="G613" s="324"/>
      <c r="H613" s="324"/>
      <c r="I613" s="324"/>
      <c r="J613" s="324"/>
      <c r="K613" s="324"/>
      <c r="L613" s="324"/>
      <c r="M613" s="294"/>
      <c r="N613" s="235"/>
      <c r="O613" s="324"/>
      <c r="P613" s="235"/>
      <c r="Q613" s="324"/>
      <c r="R613" s="324"/>
      <c r="S613" s="324"/>
      <c r="T613" s="324"/>
      <c r="U613" s="324"/>
      <c r="V613" s="377">
        <v>41892</v>
      </c>
      <c r="W613" s="198">
        <v>61.290000999999997</v>
      </c>
      <c r="X613" s="349">
        <f t="shared" si="30"/>
        <v>7.8934384493760668E-3</v>
      </c>
      <c r="Y613" s="198">
        <v>1995.6899410000001</v>
      </c>
      <c r="Z613" s="349">
        <f t="shared" si="31"/>
        <v>3.646074417693379E-3</v>
      </c>
      <c r="AA613" s="324"/>
      <c r="AB613" s="324"/>
      <c r="AC613" s="324"/>
      <c r="AD613" s="324"/>
      <c r="AE613" s="324"/>
      <c r="AF613" s="324"/>
    </row>
    <row r="614" spans="1:32">
      <c r="A614" s="324"/>
      <c r="B614" s="244"/>
      <c r="C614" s="294"/>
      <c r="D614" s="235"/>
      <c r="E614" s="294"/>
      <c r="F614" s="235"/>
      <c r="G614" s="324"/>
      <c r="H614" s="324"/>
      <c r="I614" s="324"/>
      <c r="J614" s="324"/>
      <c r="K614" s="324"/>
      <c r="L614" s="324"/>
      <c r="M614" s="294"/>
      <c r="N614" s="235"/>
      <c r="O614" s="324"/>
      <c r="P614" s="235"/>
      <c r="Q614" s="324"/>
      <c r="R614" s="324"/>
      <c r="S614" s="324"/>
      <c r="T614" s="324"/>
      <c r="U614" s="324"/>
      <c r="V614" s="377">
        <v>41891</v>
      </c>
      <c r="W614" s="198">
        <v>60.810001</v>
      </c>
      <c r="X614" s="349">
        <f t="shared" si="30"/>
        <v>-9.447760375431935E-3</v>
      </c>
      <c r="Y614" s="198">
        <v>1988.4399410000001</v>
      </c>
      <c r="Z614" s="349">
        <f t="shared" si="31"/>
        <v>-6.5450092152764539E-3</v>
      </c>
      <c r="AA614" s="324"/>
      <c r="AB614" s="324"/>
      <c r="AC614" s="324"/>
      <c r="AD614" s="324"/>
      <c r="AE614" s="324"/>
      <c r="AF614" s="324"/>
    </row>
    <row r="615" spans="1:32">
      <c r="A615" s="324"/>
      <c r="B615" s="244"/>
      <c r="C615" s="294"/>
      <c r="D615" s="235"/>
      <c r="E615" s="294"/>
      <c r="F615" s="235"/>
      <c r="G615" s="324"/>
      <c r="H615" s="324"/>
      <c r="I615" s="324"/>
      <c r="J615" s="324"/>
      <c r="K615" s="324"/>
      <c r="L615" s="324"/>
      <c r="M615" s="294"/>
      <c r="N615" s="235"/>
      <c r="O615" s="324"/>
      <c r="P615" s="235"/>
      <c r="Q615" s="324"/>
      <c r="R615" s="324"/>
      <c r="S615" s="324"/>
      <c r="T615" s="324"/>
      <c r="U615" s="324"/>
      <c r="V615" s="377">
        <v>41890</v>
      </c>
      <c r="W615" s="198">
        <v>61.389999000000003</v>
      </c>
      <c r="X615" s="349">
        <f t="shared" si="30"/>
        <v>5.2398722777140527E-3</v>
      </c>
      <c r="Y615" s="198">
        <v>2001.540039</v>
      </c>
      <c r="Z615" s="349">
        <f t="shared" si="31"/>
        <v>-3.0731142046667159E-3</v>
      </c>
      <c r="AA615" s="324"/>
      <c r="AB615" s="324"/>
      <c r="AC615" s="324"/>
      <c r="AD615" s="324"/>
      <c r="AE615" s="324"/>
      <c r="AF615" s="324"/>
    </row>
    <row r="616" spans="1:32">
      <c r="A616" s="324"/>
      <c r="B616" s="244"/>
      <c r="C616" s="294"/>
      <c r="D616" s="235"/>
      <c r="E616" s="294"/>
      <c r="F616" s="235"/>
      <c r="G616" s="324"/>
      <c r="H616" s="324"/>
      <c r="I616" s="324"/>
      <c r="J616" s="324"/>
      <c r="K616" s="324"/>
      <c r="L616" s="324"/>
      <c r="M616" s="294"/>
      <c r="N616" s="235"/>
      <c r="O616" s="324"/>
      <c r="P616" s="235"/>
      <c r="Q616" s="324"/>
      <c r="R616" s="324"/>
      <c r="S616" s="324"/>
      <c r="T616" s="324"/>
      <c r="U616" s="324"/>
      <c r="V616" s="377">
        <v>41887</v>
      </c>
      <c r="W616" s="198">
        <v>61.07</v>
      </c>
      <c r="X616" s="349">
        <f t="shared" si="30"/>
        <v>-2.1241993116960511E-3</v>
      </c>
      <c r="Y616" s="198">
        <v>2007.709961</v>
      </c>
      <c r="Z616" s="349">
        <f t="shared" si="31"/>
        <v>5.0358856051553325E-3</v>
      </c>
      <c r="AA616" s="324"/>
      <c r="AB616" s="324"/>
      <c r="AC616" s="324"/>
      <c r="AD616" s="324"/>
      <c r="AE616" s="324"/>
      <c r="AF616" s="324"/>
    </row>
    <row r="617" spans="1:32">
      <c r="A617" s="324"/>
      <c r="B617" s="244"/>
      <c r="C617" s="294"/>
      <c r="D617" s="235"/>
      <c r="E617" s="294"/>
      <c r="F617" s="235"/>
      <c r="G617" s="324"/>
      <c r="H617" s="324"/>
      <c r="I617" s="324"/>
      <c r="J617" s="324"/>
      <c r="K617" s="324"/>
      <c r="L617" s="324"/>
      <c r="M617" s="294"/>
      <c r="N617" s="235"/>
      <c r="O617" s="324"/>
      <c r="P617" s="235"/>
      <c r="Q617" s="324"/>
      <c r="R617" s="324"/>
      <c r="S617" s="324"/>
      <c r="T617" s="324"/>
      <c r="U617" s="324"/>
      <c r="V617" s="377">
        <v>41886</v>
      </c>
      <c r="W617" s="198">
        <v>61.200001</v>
      </c>
      <c r="X617" s="349">
        <f t="shared" si="30"/>
        <v>-5.2015442132640199E-3</v>
      </c>
      <c r="Y617" s="198">
        <v>1997.650024</v>
      </c>
      <c r="Z617" s="349">
        <f t="shared" si="31"/>
        <v>-1.5344211306420608E-3</v>
      </c>
      <c r="AA617" s="324"/>
      <c r="AB617" s="324"/>
      <c r="AC617" s="324"/>
      <c r="AD617" s="324"/>
      <c r="AE617" s="324"/>
      <c r="AF617" s="324"/>
    </row>
    <row r="618" spans="1:32">
      <c r="A618" s="324"/>
      <c r="B618" s="244"/>
      <c r="C618" s="294"/>
      <c r="D618" s="235"/>
      <c r="E618" s="294"/>
      <c r="F618" s="235"/>
      <c r="G618" s="324"/>
      <c r="H618" s="324"/>
      <c r="I618" s="324"/>
      <c r="J618" s="324"/>
      <c r="K618" s="324"/>
      <c r="L618" s="324"/>
      <c r="M618" s="294"/>
      <c r="N618" s="235"/>
      <c r="O618" s="324"/>
      <c r="P618" s="235"/>
      <c r="Q618" s="324"/>
      <c r="R618" s="324"/>
      <c r="S618" s="324"/>
      <c r="T618" s="324"/>
      <c r="U618" s="324"/>
      <c r="V618" s="377">
        <v>41885</v>
      </c>
      <c r="W618" s="198">
        <v>61.52</v>
      </c>
      <c r="X618" s="349">
        <f t="shared" si="30"/>
        <v>3.5889233864425663E-3</v>
      </c>
      <c r="Y618" s="198">
        <v>2000.719971</v>
      </c>
      <c r="Z618" s="349">
        <f t="shared" si="31"/>
        <v>-7.7914076822671596E-4</v>
      </c>
      <c r="AA618" s="324"/>
      <c r="AB618" s="324"/>
      <c r="AC618" s="324"/>
      <c r="AD618" s="324"/>
      <c r="AE618" s="324"/>
      <c r="AF618" s="324"/>
    </row>
    <row r="619" spans="1:32">
      <c r="A619" s="324"/>
      <c r="B619" s="244"/>
      <c r="C619" s="294"/>
      <c r="D619" s="235"/>
      <c r="E619" s="294"/>
      <c r="F619" s="235"/>
      <c r="G619" s="324"/>
      <c r="H619" s="324"/>
      <c r="I619" s="324"/>
      <c r="J619" s="324"/>
      <c r="K619" s="324"/>
      <c r="L619" s="324"/>
      <c r="M619" s="294"/>
      <c r="N619" s="235"/>
      <c r="O619" s="324"/>
      <c r="P619" s="235"/>
      <c r="Q619" s="324"/>
      <c r="R619" s="324"/>
      <c r="S619" s="324"/>
      <c r="T619" s="324"/>
      <c r="U619" s="324"/>
      <c r="V619" s="377">
        <v>41884</v>
      </c>
      <c r="W619" s="198">
        <v>61.299999</v>
      </c>
      <c r="X619" s="349">
        <f t="shared" si="30"/>
        <v>6.2377053919142611E-3</v>
      </c>
      <c r="Y619" s="198">
        <v>2002.280029</v>
      </c>
      <c r="Z619" s="349">
        <f t="shared" si="31"/>
        <v>-5.4406624972935802E-4</v>
      </c>
      <c r="AA619" s="324"/>
      <c r="AB619" s="324"/>
      <c r="AC619" s="324"/>
      <c r="AD619" s="324"/>
      <c r="AE619" s="324"/>
      <c r="AF619" s="324"/>
    </row>
    <row r="620" spans="1:32">
      <c r="A620" s="324"/>
      <c r="B620" s="244"/>
      <c r="C620" s="294"/>
      <c r="D620" s="235"/>
      <c r="E620" s="294"/>
      <c r="F620" s="235"/>
      <c r="G620" s="324"/>
      <c r="H620" s="324"/>
      <c r="I620" s="324"/>
      <c r="J620" s="324"/>
      <c r="K620" s="324"/>
      <c r="L620" s="324"/>
      <c r="M620" s="294"/>
      <c r="N620" s="235"/>
      <c r="O620" s="324"/>
      <c r="P620" s="235"/>
      <c r="Q620" s="324"/>
      <c r="R620" s="324"/>
      <c r="S620" s="324"/>
      <c r="T620" s="324"/>
      <c r="U620" s="324"/>
      <c r="V620" s="377">
        <v>41880</v>
      </c>
      <c r="W620" s="198">
        <v>60.919998</v>
      </c>
      <c r="X620" s="349">
        <f t="shared" si="30"/>
        <v>4.4517063659783584E-3</v>
      </c>
      <c r="Y620" s="198">
        <v>2003.369995</v>
      </c>
      <c r="Z620" s="349">
        <f t="shared" si="31"/>
        <v>3.3204147927141658E-3</v>
      </c>
      <c r="AA620" s="324"/>
      <c r="AB620" s="324"/>
      <c r="AC620" s="324"/>
      <c r="AD620" s="324"/>
      <c r="AE620" s="324"/>
      <c r="AF620" s="324"/>
    </row>
    <row r="621" spans="1:32">
      <c r="A621" s="324"/>
      <c r="B621" s="244"/>
      <c r="C621" s="294"/>
      <c r="D621" s="235"/>
      <c r="E621" s="294"/>
      <c r="F621" s="235"/>
      <c r="G621" s="324"/>
      <c r="H621" s="324"/>
      <c r="I621" s="324"/>
      <c r="J621" s="324"/>
      <c r="K621" s="324"/>
      <c r="L621" s="324"/>
      <c r="M621" s="294"/>
      <c r="N621" s="235"/>
      <c r="O621" s="324"/>
      <c r="P621" s="235"/>
      <c r="Q621" s="324"/>
      <c r="R621" s="324"/>
      <c r="S621" s="324"/>
      <c r="T621" s="324"/>
      <c r="U621" s="324"/>
      <c r="V621" s="377">
        <v>41879</v>
      </c>
      <c r="W621" s="198">
        <v>60.650002000000001</v>
      </c>
      <c r="X621" s="349">
        <f t="shared" si="30"/>
        <v>-6.877321106926515E-3</v>
      </c>
      <c r="Y621" s="198">
        <v>1996.73999</v>
      </c>
      <c r="Z621" s="349">
        <f t="shared" si="31"/>
        <v>-1.6899011101580985E-3</v>
      </c>
      <c r="AA621" s="324"/>
      <c r="AB621" s="324"/>
      <c r="AC621" s="324"/>
      <c r="AD621" s="324"/>
      <c r="AE621" s="324"/>
      <c r="AF621" s="324"/>
    </row>
    <row r="622" spans="1:32">
      <c r="A622" s="324"/>
      <c r="B622" s="244"/>
      <c r="C622" s="294"/>
      <c r="D622" s="235"/>
      <c r="E622" s="294"/>
      <c r="F622" s="235"/>
      <c r="G622" s="324"/>
      <c r="H622" s="324"/>
      <c r="I622" s="324"/>
      <c r="J622" s="324"/>
      <c r="K622" s="324"/>
      <c r="L622" s="324"/>
      <c r="M622" s="294"/>
      <c r="N622" s="235"/>
      <c r="O622" s="324"/>
      <c r="P622" s="235"/>
      <c r="Q622" s="324"/>
      <c r="R622" s="324"/>
      <c r="S622" s="324"/>
      <c r="T622" s="324"/>
      <c r="U622" s="324"/>
      <c r="V622" s="377">
        <v>41878</v>
      </c>
      <c r="W622" s="198">
        <v>61.07</v>
      </c>
      <c r="X622" s="349">
        <f t="shared" si="30"/>
        <v>-1.5476366523881402E-2</v>
      </c>
      <c r="Y622" s="198">
        <v>2000.119995</v>
      </c>
      <c r="Z622" s="349">
        <f t="shared" si="31"/>
        <v>4.9986999630213802E-5</v>
      </c>
      <c r="AA622" s="324"/>
      <c r="AB622" s="324"/>
      <c r="AC622" s="324"/>
      <c r="AD622" s="324"/>
      <c r="AE622" s="324"/>
      <c r="AF622" s="324"/>
    </row>
    <row r="623" spans="1:32">
      <c r="A623" s="324"/>
      <c r="B623" s="244"/>
      <c r="C623" s="294"/>
      <c r="D623" s="235"/>
      <c r="E623" s="294"/>
      <c r="F623" s="235"/>
      <c r="G623" s="324"/>
      <c r="H623" s="324"/>
      <c r="I623" s="324"/>
      <c r="J623" s="324"/>
      <c r="K623" s="324"/>
      <c r="L623" s="324"/>
      <c r="M623" s="294"/>
      <c r="N623" s="235"/>
      <c r="O623" s="324"/>
      <c r="P623" s="235"/>
      <c r="Q623" s="324"/>
      <c r="R623" s="324"/>
      <c r="S623" s="324"/>
      <c r="T623" s="324"/>
      <c r="U623" s="324"/>
      <c r="V623" s="377">
        <v>41877</v>
      </c>
      <c r="W623" s="198">
        <v>62.029998999999997</v>
      </c>
      <c r="X623" s="349">
        <f t="shared" si="30"/>
        <v>1.1083961241530993E-2</v>
      </c>
      <c r="Y623" s="198">
        <v>2000.0200199999999</v>
      </c>
      <c r="Z623" s="349">
        <f t="shared" si="31"/>
        <v>1.0510811012214294E-3</v>
      </c>
      <c r="AA623" s="324"/>
      <c r="AB623" s="324"/>
      <c r="AC623" s="324"/>
      <c r="AD623" s="324"/>
      <c r="AE623" s="324"/>
      <c r="AF623" s="324"/>
    </row>
    <row r="624" spans="1:32">
      <c r="A624" s="324"/>
      <c r="B624" s="244"/>
      <c r="C624" s="294"/>
      <c r="D624" s="235"/>
      <c r="E624" s="294"/>
      <c r="F624" s="235"/>
      <c r="G624" s="324"/>
      <c r="H624" s="324"/>
      <c r="I624" s="324"/>
      <c r="J624" s="324"/>
      <c r="K624" s="324"/>
      <c r="L624" s="324"/>
      <c r="M624" s="294"/>
      <c r="N624" s="235"/>
      <c r="O624" s="324"/>
      <c r="P624" s="235"/>
      <c r="Q624" s="324"/>
      <c r="R624" s="324"/>
      <c r="S624" s="324"/>
      <c r="T624" s="324"/>
      <c r="U624" s="324"/>
      <c r="V624" s="377">
        <v>41876</v>
      </c>
      <c r="W624" s="198">
        <v>61.349997999999999</v>
      </c>
      <c r="X624" s="349">
        <f t="shared" si="30"/>
        <v>-1.2236402958679671E-2</v>
      </c>
      <c r="Y624" s="198">
        <v>1997.920044</v>
      </c>
      <c r="Z624" s="349">
        <f t="shared" si="31"/>
        <v>4.7877790611010607E-3</v>
      </c>
      <c r="AA624" s="324"/>
      <c r="AB624" s="324"/>
      <c r="AC624" s="324"/>
      <c r="AD624" s="324"/>
      <c r="AE624" s="324"/>
      <c r="AF624" s="324"/>
    </row>
    <row r="625" spans="1:32">
      <c r="A625" s="324"/>
      <c r="B625" s="244"/>
      <c r="C625" s="294"/>
      <c r="D625" s="235"/>
      <c r="E625" s="294"/>
      <c r="F625" s="235"/>
      <c r="G625" s="324"/>
      <c r="H625" s="324"/>
      <c r="I625" s="324"/>
      <c r="J625" s="324"/>
      <c r="K625" s="324"/>
      <c r="L625" s="324"/>
      <c r="M625" s="294"/>
      <c r="N625" s="235"/>
      <c r="O625" s="324"/>
      <c r="P625" s="235"/>
      <c r="Q625" s="324"/>
      <c r="R625" s="324"/>
      <c r="S625" s="324"/>
      <c r="T625" s="324"/>
      <c r="U625" s="324"/>
      <c r="V625" s="377">
        <v>41873</v>
      </c>
      <c r="W625" s="198">
        <v>62.110000999999997</v>
      </c>
      <c r="X625" s="349">
        <f t="shared" si="30"/>
        <v>8.7705213578039842E-3</v>
      </c>
      <c r="Y625" s="198">
        <v>1988.400024</v>
      </c>
      <c r="Z625" s="349">
        <f t="shared" si="31"/>
        <v>-1.9925872252457566E-3</v>
      </c>
      <c r="AA625" s="324"/>
      <c r="AB625" s="324"/>
      <c r="AC625" s="324"/>
      <c r="AD625" s="324"/>
      <c r="AE625" s="324"/>
      <c r="AF625" s="324"/>
    </row>
    <row r="626" spans="1:32">
      <c r="A626" s="324"/>
      <c r="B626" s="244"/>
      <c r="C626" s="294"/>
      <c r="D626" s="235"/>
      <c r="E626" s="294"/>
      <c r="F626" s="235"/>
      <c r="G626" s="324"/>
      <c r="H626" s="324"/>
      <c r="I626" s="324"/>
      <c r="J626" s="324"/>
      <c r="K626" s="324"/>
      <c r="L626" s="324"/>
      <c r="M626" s="294"/>
      <c r="N626" s="235"/>
      <c r="O626" s="324"/>
      <c r="P626" s="235"/>
      <c r="Q626" s="324"/>
      <c r="R626" s="324"/>
      <c r="S626" s="324"/>
      <c r="T626" s="324"/>
      <c r="U626" s="324"/>
      <c r="V626" s="377">
        <v>41872</v>
      </c>
      <c r="W626" s="198">
        <v>61.57</v>
      </c>
      <c r="X626" s="349">
        <f t="shared" si="30"/>
        <v>-1.783398184176388E-3</v>
      </c>
      <c r="Y626" s="198">
        <v>1992.369995</v>
      </c>
      <c r="Z626" s="349">
        <f t="shared" si="31"/>
        <v>2.9498894898596362E-3</v>
      </c>
      <c r="AA626" s="324"/>
      <c r="AB626" s="324"/>
      <c r="AC626" s="324"/>
      <c r="AD626" s="324"/>
      <c r="AE626" s="324"/>
      <c r="AF626" s="324"/>
    </row>
    <row r="627" spans="1:32">
      <c r="A627" s="324"/>
      <c r="B627" s="244"/>
      <c r="C627" s="294"/>
      <c r="D627" s="235"/>
      <c r="E627" s="294"/>
      <c r="F627" s="235"/>
      <c r="G627" s="324"/>
      <c r="H627" s="324"/>
      <c r="I627" s="324"/>
      <c r="J627" s="324"/>
      <c r="K627" s="324"/>
      <c r="L627" s="324"/>
      <c r="M627" s="294"/>
      <c r="N627" s="235"/>
      <c r="O627" s="324"/>
      <c r="P627" s="235"/>
      <c r="Q627" s="324"/>
      <c r="R627" s="324"/>
      <c r="S627" s="324"/>
      <c r="T627" s="324"/>
      <c r="U627" s="324"/>
      <c r="V627" s="377">
        <v>41871</v>
      </c>
      <c r="W627" s="198">
        <v>61.68</v>
      </c>
      <c r="X627" s="349">
        <f t="shared" si="30"/>
        <v>-1.3751215002378969E-2</v>
      </c>
      <c r="Y627" s="198">
        <v>1986.51001</v>
      </c>
      <c r="Z627" s="349">
        <f t="shared" si="31"/>
        <v>2.4778129084919165E-3</v>
      </c>
      <c r="AA627" s="324"/>
      <c r="AB627" s="324"/>
      <c r="AC627" s="324"/>
      <c r="AD627" s="324"/>
      <c r="AE627" s="324"/>
      <c r="AF627" s="324"/>
    </row>
    <row r="628" spans="1:32">
      <c r="A628" s="324"/>
      <c r="B628" s="244"/>
      <c r="C628" s="294"/>
      <c r="D628" s="235"/>
      <c r="E628" s="294"/>
      <c r="F628" s="235"/>
      <c r="G628" s="324"/>
      <c r="H628" s="324"/>
      <c r="I628" s="324"/>
      <c r="J628" s="324"/>
      <c r="K628" s="324"/>
      <c r="L628" s="324"/>
      <c r="M628" s="294"/>
      <c r="N628" s="235"/>
      <c r="O628" s="324"/>
      <c r="P628" s="235"/>
      <c r="Q628" s="324"/>
      <c r="R628" s="324"/>
      <c r="S628" s="324"/>
      <c r="T628" s="324"/>
      <c r="U628" s="324"/>
      <c r="V628" s="377">
        <v>41870</v>
      </c>
      <c r="W628" s="198">
        <v>62.540000999999997</v>
      </c>
      <c r="X628" s="349">
        <f t="shared" si="30"/>
        <v>2.5750368611606067E-2</v>
      </c>
      <c r="Y628" s="198">
        <v>1981.599976</v>
      </c>
      <c r="Z628" s="349">
        <f t="shared" si="31"/>
        <v>5.0006522411709664E-3</v>
      </c>
      <c r="AA628" s="324"/>
      <c r="AB628" s="324"/>
      <c r="AC628" s="324"/>
      <c r="AD628" s="324"/>
      <c r="AE628" s="324"/>
      <c r="AF628" s="324"/>
    </row>
    <row r="629" spans="1:32">
      <c r="A629" s="324"/>
      <c r="B629" s="244"/>
      <c r="C629" s="294"/>
      <c r="D629" s="235"/>
      <c r="E629" s="294"/>
      <c r="F629" s="235"/>
      <c r="G629" s="324"/>
      <c r="H629" s="324"/>
      <c r="I629" s="324"/>
      <c r="J629" s="324"/>
      <c r="K629" s="324"/>
      <c r="L629" s="324"/>
      <c r="M629" s="294"/>
      <c r="N629" s="235"/>
      <c r="O629" s="324"/>
      <c r="P629" s="235"/>
      <c r="Q629" s="324"/>
      <c r="R629" s="324"/>
      <c r="S629" s="324"/>
      <c r="T629" s="324"/>
      <c r="U629" s="324"/>
      <c r="V629" s="377">
        <v>41869</v>
      </c>
      <c r="W629" s="198">
        <v>60.970001000000003</v>
      </c>
      <c r="X629" s="349">
        <f t="shared" si="30"/>
        <v>1.871350104305769E-2</v>
      </c>
      <c r="Y629" s="198">
        <v>1971.73999</v>
      </c>
      <c r="Z629" s="349">
        <f t="shared" si="31"/>
        <v>8.5316719162744636E-3</v>
      </c>
      <c r="AA629" s="324"/>
      <c r="AB629" s="324"/>
      <c r="AC629" s="324"/>
      <c r="AD629" s="324"/>
      <c r="AE629" s="324"/>
      <c r="AF629" s="324"/>
    </row>
    <row r="630" spans="1:32">
      <c r="A630" s="324"/>
      <c r="B630" s="244"/>
      <c r="C630" s="294"/>
      <c r="D630" s="235"/>
      <c r="E630" s="294"/>
      <c r="F630" s="235"/>
      <c r="G630" s="324"/>
      <c r="H630" s="324"/>
      <c r="I630" s="324"/>
      <c r="J630" s="324"/>
      <c r="K630" s="324"/>
      <c r="L630" s="324"/>
      <c r="M630" s="294"/>
      <c r="N630" s="235"/>
      <c r="O630" s="324"/>
      <c r="P630" s="235"/>
      <c r="Q630" s="324"/>
      <c r="R630" s="324"/>
      <c r="S630" s="324"/>
      <c r="T630" s="324"/>
      <c r="U630" s="324"/>
      <c r="V630" s="377">
        <v>41866</v>
      </c>
      <c r="W630" s="198">
        <v>59.849997999999999</v>
      </c>
      <c r="X630" s="349">
        <f t="shared" si="30"/>
        <v>3.3421359404273154E-4</v>
      </c>
      <c r="Y630" s="198">
        <v>1955.0600589999999</v>
      </c>
      <c r="Z630" s="349">
        <f t="shared" si="31"/>
        <v>-6.1372864230357926E-5</v>
      </c>
      <c r="AA630" s="324"/>
      <c r="AB630" s="324"/>
      <c r="AC630" s="324"/>
      <c r="AD630" s="324"/>
      <c r="AE630" s="324"/>
      <c r="AF630" s="324"/>
    </row>
    <row r="631" spans="1:32">
      <c r="A631" s="324"/>
      <c r="B631" s="244"/>
      <c r="C631" s="294"/>
      <c r="D631" s="235"/>
      <c r="E631" s="294"/>
      <c r="F631" s="235"/>
      <c r="G631" s="324"/>
      <c r="H631" s="324"/>
      <c r="I631" s="324"/>
      <c r="J631" s="324"/>
      <c r="K631" s="324"/>
      <c r="L631" s="324"/>
      <c r="M631" s="294"/>
      <c r="N631" s="235"/>
      <c r="O631" s="324"/>
      <c r="P631" s="235"/>
      <c r="Q631" s="324"/>
      <c r="R631" s="324"/>
      <c r="S631" s="324"/>
      <c r="T631" s="324"/>
      <c r="U631" s="324"/>
      <c r="V631" s="377">
        <v>41865</v>
      </c>
      <c r="W631" s="198">
        <v>59.830002</v>
      </c>
      <c r="X631" s="349">
        <f t="shared" si="30"/>
        <v>8.3645033182433437E-4</v>
      </c>
      <c r="Y631" s="198">
        <v>1955.1800539999999</v>
      </c>
      <c r="Z631" s="349">
        <f t="shared" si="31"/>
        <v>4.3458140492873554E-3</v>
      </c>
      <c r="AA631" s="324"/>
      <c r="AB631" s="324"/>
      <c r="AC631" s="324"/>
      <c r="AD631" s="324"/>
      <c r="AE631" s="324"/>
      <c r="AF631" s="324"/>
    </row>
    <row r="632" spans="1:32">
      <c r="A632" s="324"/>
      <c r="B632" s="244"/>
      <c r="C632" s="294"/>
      <c r="D632" s="235"/>
      <c r="E632" s="294"/>
      <c r="F632" s="235"/>
      <c r="G632" s="324"/>
      <c r="H632" s="324"/>
      <c r="I632" s="324"/>
      <c r="J632" s="324"/>
      <c r="K632" s="324"/>
      <c r="L632" s="324"/>
      <c r="M632" s="294"/>
      <c r="N632" s="235"/>
      <c r="O632" s="324"/>
      <c r="P632" s="235"/>
      <c r="Q632" s="324"/>
      <c r="R632" s="324"/>
      <c r="S632" s="324"/>
      <c r="T632" s="324"/>
      <c r="U632" s="324"/>
      <c r="V632" s="377">
        <v>41864</v>
      </c>
      <c r="W632" s="198">
        <v>59.779998999999997</v>
      </c>
      <c r="X632" s="349">
        <f t="shared" si="30"/>
        <v>8.7749074848093578E-3</v>
      </c>
      <c r="Y632" s="198">
        <v>1946.719971</v>
      </c>
      <c r="Z632" s="349">
        <f t="shared" si="31"/>
        <v>6.7071601809953751E-3</v>
      </c>
      <c r="AA632" s="324"/>
      <c r="AB632" s="324"/>
      <c r="AC632" s="324"/>
      <c r="AD632" s="324"/>
      <c r="AE632" s="324"/>
      <c r="AF632" s="324"/>
    </row>
    <row r="633" spans="1:32">
      <c r="A633" s="324"/>
      <c r="B633" s="244"/>
      <c r="C633" s="294"/>
      <c r="D633" s="235"/>
      <c r="E633" s="294"/>
      <c r="F633" s="235"/>
      <c r="G633" s="324"/>
      <c r="H633" s="324"/>
      <c r="I633" s="324"/>
      <c r="J633" s="324"/>
      <c r="K633" s="324"/>
      <c r="L633" s="324"/>
      <c r="M633" s="294"/>
      <c r="N633" s="235"/>
      <c r="O633" s="324"/>
      <c r="P633" s="235"/>
      <c r="Q633" s="324"/>
      <c r="R633" s="324"/>
      <c r="S633" s="324"/>
      <c r="T633" s="324"/>
      <c r="U633" s="324"/>
      <c r="V633" s="377">
        <v>41863</v>
      </c>
      <c r="W633" s="198">
        <v>59.259998000000003</v>
      </c>
      <c r="X633" s="349">
        <f t="shared" si="30"/>
        <v>1.521041119521449E-3</v>
      </c>
      <c r="Y633" s="198">
        <v>1933.75</v>
      </c>
      <c r="Z633" s="349">
        <f t="shared" si="31"/>
        <v>-1.6366416413624574E-3</v>
      </c>
      <c r="AA633" s="324"/>
      <c r="AB633" s="324"/>
      <c r="AC633" s="324"/>
      <c r="AD633" s="324"/>
      <c r="AE633" s="324"/>
      <c r="AF633" s="324"/>
    </row>
    <row r="634" spans="1:32">
      <c r="A634" s="324"/>
      <c r="B634" s="244"/>
      <c r="C634" s="294"/>
      <c r="D634" s="235"/>
      <c r="E634" s="294"/>
      <c r="F634" s="235"/>
      <c r="G634" s="324"/>
      <c r="H634" s="324"/>
      <c r="I634" s="324"/>
      <c r="J634" s="324"/>
      <c r="K634" s="324"/>
      <c r="L634" s="324"/>
      <c r="M634" s="294"/>
      <c r="N634" s="235"/>
      <c r="O634" s="324"/>
      <c r="P634" s="235"/>
      <c r="Q634" s="324"/>
      <c r="R634" s="324"/>
      <c r="S634" s="324"/>
      <c r="T634" s="324"/>
      <c r="U634" s="324"/>
      <c r="V634" s="377">
        <v>41862</v>
      </c>
      <c r="W634" s="198">
        <v>59.169998</v>
      </c>
      <c r="X634" s="349">
        <f t="shared" si="30"/>
        <v>6.1213568080027425E-3</v>
      </c>
      <c r="Y634" s="198">
        <v>1936.920044</v>
      </c>
      <c r="Z634" s="349">
        <f t="shared" si="31"/>
        <v>2.7594251853759744E-3</v>
      </c>
      <c r="AA634" s="324"/>
      <c r="AB634" s="324"/>
      <c r="AC634" s="324"/>
      <c r="AD634" s="324"/>
      <c r="AE634" s="324"/>
      <c r="AF634" s="324"/>
    </row>
    <row r="635" spans="1:32">
      <c r="A635" s="324"/>
      <c r="B635" s="244"/>
      <c r="C635" s="294"/>
      <c r="D635" s="235"/>
      <c r="E635" s="294"/>
      <c r="F635" s="235"/>
      <c r="G635" s="324"/>
      <c r="H635" s="324"/>
      <c r="I635" s="324"/>
      <c r="J635" s="324"/>
      <c r="K635" s="324"/>
      <c r="L635" s="324"/>
      <c r="M635" s="294"/>
      <c r="N635" s="235"/>
      <c r="O635" s="324"/>
      <c r="P635" s="235"/>
      <c r="Q635" s="324"/>
      <c r="R635" s="324"/>
      <c r="S635" s="324"/>
      <c r="T635" s="324"/>
      <c r="U635" s="324"/>
      <c r="V635" s="377">
        <v>41859</v>
      </c>
      <c r="W635" s="198">
        <v>58.810001</v>
      </c>
      <c r="X635" s="349">
        <f t="shared" si="30"/>
        <v>7.3655360163491501E-3</v>
      </c>
      <c r="Y635" s="198">
        <v>1931.589966</v>
      </c>
      <c r="Z635" s="349">
        <f t="shared" si="31"/>
        <v>1.1531402683691017E-2</v>
      </c>
      <c r="AA635" s="324"/>
      <c r="AB635" s="324"/>
      <c r="AC635" s="324"/>
      <c r="AD635" s="324"/>
      <c r="AE635" s="324"/>
      <c r="AF635" s="324"/>
    </row>
    <row r="636" spans="1:32">
      <c r="A636" s="324"/>
      <c r="B636" s="244"/>
      <c r="C636" s="294"/>
      <c r="D636" s="235"/>
      <c r="E636" s="294"/>
      <c r="F636" s="235"/>
      <c r="G636" s="324"/>
      <c r="H636" s="324"/>
      <c r="I636" s="324"/>
      <c r="J636" s="324"/>
      <c r="K636" s="324"/>
      <c r="L636" s="324"/>
      <c r="M636" s="294"/>
      <c r="N636" s="235"/>
      <c r="O636" s="324"/>
      <c r="P636" s="235"/>
      <c r="Q636" s="324"/>
      <c r="R636" s="324"/>
      <c r="S636" s="324"/>
      <c r="T636" s="324"/>
      <c r="U636" s="324"/>
      <c r="V636" s="377">
        <v>41858</v>
      </c>
      <c r="W636" s="198">
        <v>58.380001</v>
      </c>
      <c r="X636" s="349">
        <f t="shared" si="30"/>
        <v>1.7158888420709673E-3</v>
      </c>
      <c r="Y636" s="198">
        <v>1909.5699460000001</v>
      </c>
      <c r="Z636" s="349">
        <f t="shared" si="31"/>
        <v>-5.5566200347696437E-3</v>
      </c>
      <c r="AA636" s="324"/>
      <c r="AB636" s="324"/>
      <c r="AC636" s="324"/>
      <c r="AD636" s="324"/>
      <c r="AE636" s="324"/>
      <c r="AF636" s="324"/>
    </row>
    <row r="637" spans="1:32">
      <c r="A637" s="324"/>
      <c r="B637" s="244"/>
      <c r="C637" s="294"/>
      <c r="D637" s="235"/>
      <c r="E637" s="294"/>
      <c r="F637" s="235"/>
      <c r="G637" s="324"/>
      <c r="H637" s="324"/>
      <c r="I637" s="324"/>
      <c r="J637" s="324"/>
      <c r="K637" s="324"/>
      <c r="L637" s="324"/>
      <c r="M637" s="294"/>
      <c r="N637" s="235"/>
      <c r="O637" s="324"/>
      <c r="P637" s="235"/>
      <c r="Q637" s="324"/>
      <c r="R637" s="324"/>
      <c r="S637" s="324"/>
      <c r="T637" s="324"/>
      <c r="U637" s="324"/>
      <c r="V637" s="377">
        <v>41857</v>
      </c>
      <c r="W637" s="198">
        <v>58.279998999999997</v>
      </c>
      <c r="X637" s="349">
        <f t="shared" si="30"/>
        <v>-2.737850833981037E-3</v>
      </c>
      <c r="Y637" s="198">
        <v>1920.23999</v>
      </c>
      <c r="Z637" s="349">
        <f t="shared" si="31"/>
        <v>1.5638394035066838E-5</v>
      </c>
      <c r="AA637" s="324"/>
      <c r="AB637" s="324"/>
      <c r="AC637" s="324"/>
      <c r="AD637" s="324"/>
      <c r="AE637" s="324"/>
      <c r="AF637" s="324"/>
    </row>
    <row r="638" spans="1:32">
      <c r="A638" s="324"/>
      <c r="B638" s="244"/>
      <c r="C638" s="294"/>
      <c r="D638" s="235"/>
      <c r="E638" s="294"/>
      <c r="F638" s="235"/>
      <c r="G638" s="324"/>
      <c r="H638" s="324"/>
      <c r="I638" s="324"/>
      <c r="J638" s="324"/>
      <c r="K638" s="324"/>
      <c r="L638" s="324"/>
      <c r="M638" s="294"/>
      <c r="N638" s="235"/>
      <c r="O638" s="324"/>
      <c r="P638" s="235"/>
      <c r="Q638" s="324"/>
      <c r="R638" s="324"/>
      <c r="S638" s="324"/>
      <c r="T638" s="324"/>
      <c r="U638" s="324"/>
      <c r="V638" s="377">
        <v>41856</v>
      </c>
      <c r="W638" s="198">
        <v>58.439999</v>
      </c>
      <c r="X638" s="349">
        <f t="shared" si="30"/>
        <v>-2.9005629943599232E-3</v>
      </c>
      <c r="Y638" s="198">
        <v>1920.209961</v>
      </c>
      <c r="Z638" s="349">
        <f t="shared" si="31"/>
        <v>-9.6854698048235432E-3</v>
      </c>
      <c r="AA638" s="324"/>
      <c r="AB638" s="324"/>
      <c r="AC638" s="324"/>
      <c r="AD638" s="324"/>
      <c r="AE638" s="324"/>
      <c r="AF638" s="324"/>
    </row>
    <row r="639" spans="1:32">
      <c r="A639" s="324"/>
      <c r="B639" s="244"/>
      <c r="C639" s="294"/>
      <c r="D639" s="235"/>
      <c r="E639" s="294"/>
      <c r="F639" s="235"/>
      <c r="G639" s="324"/>
      <c r="H639" s="324"/>
      <c r="I639" s="324"/>
      <c r="J639" s="324"/>
      <c r="K639" s="324"/>
      <c r="L639" s="324"/>
      <c r="M639" s="294"/>
      <c r="N639" s="235"/>
      <c r="O639" s="324"/>
      <c r="P639" s="235"/>
      <c r="Q639" s="324"/>
      <c r="R639" s="324"/>
      <c r="S639" s="324"/>
      <c r="T639" s="324"/>
      <c r="U639" s="324"/>
      <c r="V639" s="377">
        <v>41855</v>
      </c>
      <c r="W639" s="198">
        <v>58.610000999999997</v>
      </c>
      <c r="X639" s="349">
        <f t="shared" si="30"/>
        <v>3.7678027704708406E-3</v>
      </c>
      <c r="Y639" s="198">
        <v>1938.98999</v>
      </c>
      <c r="Z639" s="349">
        <f t="shared" si="31"/>
        <v>7.1890324532961625E-3</v>
      </c>
      <c r="AA639" s="324"/>
      <c r="AB639" s="324"/>
      <c r="AC639" s="324"/>
      <c r="AD639" s="324"/>
      <c r="AE639" s="324"/>
      <c r="AF639" s="324"/>
    </row>
    <row r="640" spans="1:32">
      <c r="A640" s="324"/>
      <c r="B640" s="244"/>
      <c r="C640" s="294"/>
      <c r="D640" s="235"/>
      <c r="E640" s="294"/>
      <c r="F640" s="235"/>
      <c r="G640" s="324"/>
      <c r="H640" s="324"/>
      <c r="I640" s="324"/>
      <c r="J640" s="324"/>
      <c r="K640" s="324"/>
      <c r="L640" s="324"/>
      <c r="M640" s="294"/>
      <c r="N640" s="235"/>
      <c r="O640" s="324"/>
      <c r="P640" s="235"/>
      <c r="Q640" s="324"/>
      <c r="R640" s="324"/>
      <c r="S640" s="324"/>
      <c r="T640" s="324"/>
      <c r="U640" s="324"/>
      <c r="V640" s="377">
        <v>41852</v>
      </c>
      <c r="W640" s="198">
        <v>58.389999000000003</v>
      </c>
      <c r="X640" s="349">
        <f t="shared" si="30"/>
        <v>4.6455609883957472E-3</v>
      </c>
      <c r="Y640" s="198">
        <v>1925.150024</v>
      </c>
      <c r="Z640" s="349">
        <f t="shared" si="31"/>
        <v>-2.8591213797275472E-3</v>
      </c>
      <c r="AA640" s="324"/>
      <c r="AB640" s="324"/>
      <c r="AC640" s="324"/>
      <c r="AD640" s="324"/>
      <c r="AE640" s="324"/>
      <c r="AF640" s="324"/>
    </row>
    <row r="641" spans="1:32">
      <c r="A641" s="324"/>
      <c r="B641" s="244"/>
      <c r="C641" s="294"/>
      <c r="D641" s="235"/>
      <c r="E641" s="294"/>
      <c r="F641" s="235"/>
      <c r="G641" s="324"/>
      <c r="H641" s="324"/>
      <c r="I641" s="324"/>
      <c r="J641" s="324"/>
      <c r="K641" s="324"/>
      <c r="L641" s="324"/>
      <c r="M641" s="294"/>
      <c r="N641" s="235"/>
      <c r="O641" s="324"/>
      <c r="P641" s="235"/>
      <c r="Q641" s="324"/>
      <c r="R641" s="324"/>
      <c r="S641" s="324"/>
      <c r="T641" s="324"/>
      <c r="U641" s="324"/>
      <c r="V641" s="377">
        <v>41851</v>
      </c>
      <c r="W641" s="198">
        <v>58.119999</v>
      </c>
      <c r="X641" s="349">
        <f t="shared" si="30"/>
        <v>-2.9164864828188364E-3</v>
      </c>
      <c r="Y641" s="198">
        <v>1930.670044</v>
      </c>
      <c r="Z641" s="349">
        <f t="shared" si="31"/>
        <v>-1.9999240169110255E-2</v>
      </c>
      <c r="AA641" s="324"/>
      <c r="AB641" s="324"/>
      <c r="AC641" s="324"/>
      <c r="AD641" s="324"/>
      <c r="AE641" s="324"/>
      <c r="AF641" s="324"/>
    </row>
    <row r="642" spans="1:32">
      <c r="A642" s="324"/>
      <c r="B642" s="244"/>
      <c r="C642" s="294"/>
      <c r="D642" s="235"/>
      <c r="E642" s="294"/>
      <c r="F642" s="235"/>
      <c r="G642" s="324"/>
      <c r="H642" s="324"/>
      <c r="I642" s="324"/>
      <c r="J642" s="324"/>
      <c r="K642" s="324"/>
      <c r="L642" s="324"/>
      <c r="M642" s="294"/>
      <c r="N642" s="235"/>
      <c r="O642" s="324"/>
      <c r="P642" s="235"/>
      <c r="Q642" s="324"/>
      <c r="R642" s="324"/>
      <c r="S642" s="324"/>
      <c r="T642" s="324"/>
      <c r="U642" s="324"/>
      <c r="V642" s="377">
        <v>41850</v>
      </c>
      <c r="W642" s="198">
        <v>58.290000999999997</v>
      </c>
      <c r="X642" s="349">
        <f t="shared" si="30"/>
        <v>3.8112180298764731E-2</v>
      </c>
      <c r="Y642" s="198">
        <v>1970.0699460000001</v>
      </c>
      <c r="Z642" s="349">
        <f t="shared" si="31"/>
        <v>6.0912715035721376E-5</v>
      </c>
      <c r="AA642" s="324"/>
      <c r="AB642" s="324"/>
      <c r="AC642" s="324"/>
      <c r="AD642" s="324"/>
      <c r="AE642" s="324"/>
      <c r="AF642" s="324"/>
    </row>
    <row r="643" spans="1:32">
      <c r="A643" s="324"/>
      <c r="B643" s="244"/>
      <c r="C643" s="294"/>
      <c r="D643" s="235"/>
      <c r="E643" s="294"/>
      <c r="F643" s="235"/>
      <c r="G643" s="324"/>
      <c r="H643" s="324"/>
      <c r="I643" s="324"/>
      <c r="J643" s="324"/>
      <c r="K643" s="324"/>
      <c r="L643" s="324"/>
      <c r="M643" s="294"/>
      <c r="N643" s="235"/>
      <c r="O643" s="324"/>
      <c r="P643" s="235"/>
      <c r="Q643" s="324"/>
      <c r="R643" s="324"/>
      <c r="S643" s="324"/>
      <c r="T643" s="324"/>
      <c r="U643" s="324"/>
      <c r="V643" s="377">
        <v>41849</v>
      </c>
      <c r="W643" s="198">
        <v>56.150002000000001</v>
      </c>
      <c r="X643" s="349">
        <f t="shared" si="30"/>
        <v>-9.7001585590801298E-3</v>
      </c>
      <c r="Y643" s="198">
        <v>1969.9499510000001</v>
      </c>
      <c r="Z643" s="349">
        <f t="shared" si="31"/>
        <v>-4.5277869362705392E-3</v>
      </c>
      <c r="AA643" s="324"/>
      <c r="AB643" s="324"/>
      <c r="AC643" s="324"/>
      <c r="AD643" s="324"/>
      <c r="AE643" s="324"/>
      <c r="AF643" s="324"/>
    </row>
    <row r="644" spans="1:32">
      <c r="A644" s="324"/>
      <c r="B644" s="244"/>
      <c r="C644" s="294"/>
      <c r="D644" s="235"/>
      <c r="E644" s="294"/>
      <c r="F644" s="235"/>
      <c r="G644" s="324"/>
      <c r="H644" s="324"/>
      <c r="I644" s="324"/>
      <c r="J644" s="324"/>
      <c r="K644" s="324"/>
      <c r="L644" s="324"/>
      <c r="M644" s="294"/>
      <c r="N644" s="235"/>
      <c r="O644" s="324"/>
      <c r="P644" s="235"/>
      <c r="Q644" s="324"/>
      <c r="R644" s="324"/>
      <c r="S644" s="324"/>
      <c r="T644" s="324"/>
      <c r="U644" s="324"/>
      <c r="V644" s="377">
        <v>41848</v>
      </c>
      <c r="W644" s="198">
        <v>56.700001</v>
      </c>
      <c r="X644" s="349">
        <f t="shared" si="30"/>
        <v>3.5287579393084023E-4</v>
      </c>
      <c r="Y644" s="198">
        <v>1978.910034</v>
      </c>
      <c r="Z644" s="349">
        <f t="shared" si="31"/>
        <v>2.8815472052179381E-4</v>
      </c>
      <c r="AA644" s="324"/>
      <c r="AB644" s="324"/>
      <c r="AC644" s="324"/>
      <c r="AD644" s="324"/>
      <c r="AE644" s="324"/>
      <c r="AF644" s="324"/>
    </row>
    <row r="645" spans="1:32">
      <c r="A645" s="324"/>
      <c r="B645" s="244"/>
      <c r="C645" s="294"/>
      <c r="D645" s="235"/>
      <c r="E645" s="294"/>
      <c r="F645" s="235"/>
      <c r="G645" s="324"/>
      <c r="H645" s="324"/>
      <c r="I645" s="324"/>
      <c r="J645" s="324"/>
      <c r="K645" s="324"/>
      <c r="L645" s="324"/>
      <c r="M645" s="294"/>
      <c r="N645" s="235"/>
      <c r="O645" s="324"/>
      <c r="P645" s="235"/>
      <c r="Q645" s="324"/>
      <c r="R645" s="324"/>
      <c r="S645" s="324"/>
      <c r="T645" s="324"/>
      <c r="U645" s="324"/>
      <c r="V645" s="377">
        <v>41845</v>
      </c>
      <c r="W645" s="198">
        <v>56.68</v>
      </c>
      <c r="X645" s="349">
        <f t="shared" si="30"/>
        <v>5.3210179971441285E-3</v>
      </c>
      <c r="Y645" s="198">
        <v>1978.339966</v>
      </c>
      <c r="Z645" s="349">
        <f t="shared" si="31"/>
        <v>-4.8491504426518839E-3</v>
      </c>
      <c r="AA645" s="324"/>
      <c r="AB645" s="324"/>
      <c r="AC645" s="324"/>
      <c r="AD645" s="324"/>
      <c r="AE645" s="324"/>
      <c r="AF645" s="324"/>
    </row>
    <row r="646" spans="1:32">
      <c r="A646" s="324"/>
      <c r="B646" s="244"/>
      <c r="C646" s="294"/>
      <c r="D646" s="235"/>
      <c r="E646" s="294"/>
      <c r="F646" s="235"/>
      <c r="G646" s="324"/>
      <c r="H646" s="324"/>
      <c r="I646" s="324"/>
      <c r="J646" s="324"/>
      <c r="K646" s="324"/>
      <c r="L646" s="324"/>
      <c r="M646" s="294"/>
      <c r="N646" s="235"/>
      <c r="O646" s="324"/>
      <c r="P646" s="235"/>
      <c r="Q646" s="324"/>
      <c r="R646" s="324"/>
      <c r="S646" s="324"/>
      <c r="T646" s="324"/>
      <c r="U646" s="324"/>
      <c r="V646" s="377">
        <v>41844</v>
      </c>
      <c r="W646" s="198">
        <v>56.380001</v>
      </c>
      <c r="X646" s="349">
        <f t="shared" si="30"/>
        <v>8.9477450080932552E-3</v>
      </c>
      <c r="Y646" s="198">
        <v>1987.9799800000001</v>
      </c>
      <c r="Z646" s="349">
        <f t="shared" si="31"/>
        <v>4.8815556797321413E-4</v>
      </c>
      <c r="AA646" s="324"/>
      <c r="AB646" s="324"/>
      <c r="AC646" s="324"/>
      <c r="AD646" s="324"/>
      <c r="AE646" s="324"/>
      <c r="AF646" s="324"/>
    </row>
    <row r="647" spans="1:32">
      <c r="A647" s="324"/>
      <c r="B647" s="244"/>
      <c r="C647" s="294"/>
      <c r="D647" s="235"/>
      <c r="E647" s="294"/>
      <c r="F647" s="235"/>
      <c r="G647" s="324"/>
      <c r="H647" s="324"/>
      <c r="I647" s="324"/>
      <c r="J647" s="324"/>
      <c r="K647" s="324"/>
      <c r="L647" s="324"/>
      <c r="M647" s="294"/>
      <c r="N647" s="235"/>
      <c r="O647" s="324"/>
      <c r="P647" s="235"/>
      <c r="Q647" s="324"/>
      <c r="R647" s="324"/>
      <c r="S647" s="324"/>
      <c r="T647" s="324"/>
      <c r="U647" s="324"/>
      <c r="V647" s="377">
        <v>41843</v>
      </c>
      <c r="W647" s="198">
        <v>55.880001</v>
      </c>
      <c r="X647" s="349">
        <f t="shared" si="30"/>
        <v>3.5919719827586238E-3</v>
      </c>
      <c r="Y647" s="198">
        <v>1987.01001</v>
      </c>
      <c r="Z647" s="349">
        <f t="shared" si="31"/>
        <v>1.7544382737448849E-3</v>
      </c>
      <c r="AA647" s="324"/>
      <c r="AB647" s="324"/>
      <c r="AC647" s="324"/>
      <c r="AD647" s="324"/>
      <c r="AE647" s="324"/>
      <c r="AF647" s="324"/>
    </row>
    <row r="648" spans="1:32">
      <c r="A648" s="324"/>
      <c r="B648" s="244"/>
      <c r="C648" s="294"/>
      <c r="D648" s="235"/>
      <c r="E648" s="294"/>
      <c r="F648" s="235"/>
      <c r="G648" s="324"/>
      <c r="H648" s="324"/>
      <c r="I648" s="324"/>
      <c r="J648" s="324"/>
      <c r="K648" s="324"/>
      <c r="L648" s="324"/>
      <c r="M648" s="294"/>
      <c r="N648" s="235"/>
      <c r="O648" s="324"/>
      <c r="P648" s="235"/>
      <c r="Q648" s="324"/>
      <c r="R648" s="324"/>
      <c r="S648" s="324"/>
      <c r="T648" s="324"/>
      <c r="U648" s="324"/>
      <c r="V648" s="377">
        <v>41842</v>
      </c>
      <c r="W648" s="198">
        <v>55.68</v>
      </c>
      <c r="X648" s="349">
        <f t="shared" si="30"/>
        <v>2.6170329014755911E-2</v>
      </c>
      <c r="Y648" s="198">
        <v>1983.530029</v>
      </c>
      <c r="Z648" s="349">
        <f t="shared" si="31"/>
        <v>5.0161499242102892E-3</v>
      </c>
      <c r="AA648" s="324"/>
      <c r="AB648" s="324"/>
      <c r="AC648" s="324"/>
      <c r="AD648" s="324"/>
      <c r="AE648" s="324"/>
      <c r="AF648" s="324"/>
    </row>
    <row r="649" spans="1:32">
      <c r="A649" s="324"/>
      <c r="B649" s="244"/>
      <c r="C649" s="294"/>
      <c r="D649" s="235"/>
      <c r="E649" s="294"/>
      <c r="F649" s="235"/>
      <c r="G649" s="324"/>
      <c r="H649" s="324"/>
      <c r="I649" s="324"/>
      <c r="J649" s="324"/>
      <c r="K649" s="324"/>
      <c r="L649" s="324"/>
      <c r="M649" s="294"/>
      <c r="N649" s="235"/>
      <c r="O649" s="324"/>
      <c r="P649" s="235"/>
      <c r="Q649" s="324"/>
      <c r="R649" s="324"/>
      <c r="S649" s="324"/>
      <c r="T649" s="324"/>
      <c r="U649" s="324"/>
      <c r="V649" s="377">
        <v>41841</v>
      </c>
      <c r="W649" s="198">
        <v>54.259998000000003</v>
      </c>
      <c r="X649" s="349">
        <f t="shared" ref="X649:X712" si="32">W649/W650-1</f>
        <v>-1.0936984853500031E-2</v>
      </c>
      <c r="Y649" s="198">
        <v>1973.630005</v>
      </c>
      <c r="Z649" s="349">
        <f t="shared" ref="Z649:Z712" si="33">Y649/Y650-1</f>
        <v>-2.3202505622667013E-3</v>
      </c>
      <c r="AA649" s="324"/>
      <c r="AB649" s="324"/>
      <c r="AC649" s="324"/>
      <c r="AD649" s="324"/>
      <c r="AE649" s="324"/>
      <c r="AF649" s="324"/>
    </row>
    <row r="650" spans="1:32">
      <c r="A650" s="324"/>
      <c r="B650" s="244"/>
      <c r="C650" s="294"/>
      <c r="D650" s="235"/>
      <c r="E650" s="294"/>
      <c r="F650" s="235"/>
      <c r="G650" s="324"/>
      <c r="H650" s="324"/>
      <c r="I650" s="324"/>
      <c r="J650" s="324"/>
      <c r="K650" s="324"/>
      <c r="L650" s="324"/>
      <c r="M650" s="294"/>
      <c r="N650" s="235"/>
      <c r="O650" s="324"/>
      <c r="P650" s="235"/>
      <c r="Q650" s="324"/>
      <c r="R650" s="324"/>
      <c r="S650" s="324"/>
      <c r="T650" s="324"/>
      <c r="U650" s="324"/>
      <c r="V650" s="377">
        <v>41838</v>
      </c>
      <c r="W650" s="198">
        <v>54.860000999999997</v>
      </c>
      <c r="X650" s="349">
        <f t="shared" si="32"/>
        <v>1.7244594845169603E-2</v>
      </c>
      <c r="Y650" s="198">
        <v>1978.219971</v>
      </c>
      <c r="Z650" s="349">
        <f t="shared" si="33"/>
        <v>1.0264935780914586E-2</v>
      </c>
      <c r="AA650" s="324"/>
      <c r="AB650" s="324"/>
      <c r="AC650" s="324"/>
      <c r="AD650" s="324"/>
      <c r="AE650" s="324"/>
      <c r="AF650" s="324"/>
    </row>
    <row r="651" spans="1:32">
      <c r="A651" s="324"/>
      <c r="B651" s="244"/>
      <c r="C651" s="294"/>
      <c r="D651" s="235"/>
      <c r="E651" s="294"/>
      <c r="F651" s="235"/>
      <c r="G651" s="324"/>
      <c r="H651" s="324"/>
      <c r="I651" s="324"/>
      <c r="J651" s="324"/>
      <c r="K651" s="324"/>
      <c r="L651" s="324"/>
      <c r="M651" s="294"/>
      <c r="N651" s="235"/>
      <c r="O651" s="324"/>
      <c r="P651" s="235"/>
      <c r="Q651" s="324"/>
      <c r="R651" s="324"/>
      <c r="S651" s="324"/>
      <c r="T651" s="324"/>
      <c r="U651" s="324"/>
      <c r="V651" s="377">
        <v>41837</v>
      </c>
      <c r="W651" s="198">
        <v>53.93</v>
      </c>
      <c r="X651" s="349">
        <f t="shared" si="32"/>
        <v>-1.6593727206418718E-2</v>
      </c>
      <c r="Y651" s="198">
        <v>1958.119995</v>
      </c>
      <c r="Z651" s="349">
        <f t="shared" si="33"/>
        <v>-1.1834026372541717E-2</v>
      </c>
      <c r="AA651" s="324"/>
      <c r="AB651" s="324"/>
      <c r="AC651" s="324"/>
      <c r="AD651" s="324"/>
      <c r="AE651" s="324"/>
      <c r="AF651" s="324"/>
    </row>
    <row r="652" spans="1:32">
      <c r="A652" s="324"/>
      <c r="B652" s="244"/>
      <c r="C652" s="294"/>
      <c r="D652" s="235"/>
      <c r="E652" s="294"/>
      <c r="F652" s="235"/>
      <c r="G652" s="324"/>
      <c r="H652" s="324"/>
      <c r="I652" s="324"/>
      <c r="J652" s="324"/>
      <c r="K652" s="324"/>
      <c r="L652" s="324"/>
      <c r="M652" s="294"/>
      <c r="N652" s="235"/>
      <c r="O652" s="324"/>
      <c r="P652" s="235"/>
      <c r="Q652" s="324"/>
      <c r="R652" s="324"/>
      <c r="S652" s="324"/>
      <c r="T652" s="324"/>
      <c r="U652" s="324"/>
      <c r="V652" s="377">
        <v>41836</v>
      </c>
      <c r="W652" s="198">
        <v>54.84</v>
      </c>
      <c r="X652" s="349">
        <f t="shared" si="32"/>
        <v>8.2735982399999575E-3</v>
      </c>
      <c r="Y652" s="198">
        <v>1981.5699460000001</v>
      </c>
      <c r="Z652" s="349">
        <f t="shared" si="33"/>
        <v>4.2010849337998923E-3</v>
      </c>
      <c r="AA652" s="324"/>
      <c r="AB652" s="324"/>
      <c r="AC652" s="324"/>
      <c r="AD652" s="324"/>
      <c r="AE652" s="324"/>
      <c r="AF652" s="324"/>
    </row>
    <row r="653" spans="1:32">
      <c r="A653" s="324"/>
      <c r="B653" s="244"/>
      <c r="C653" s="294"/>
      <c r="D653" s="235"/>
      <c r="E653" s="294"/>
      <c r="F653" s="235"/>
      <c r="G653" s="324"/>
      <c r="H653" s="324"/>
      <c r="I653" s="324"/>
      <c r="J653" s="324"/>
      <c r="K653" s="324"/>
      <c r="L653" s="324"/>
      <c r="M653" s="294"/>
      <c r="N653" s="235"/>
      <c r="O653" s="324"/>
      <c r="P653" s="235"/>
      <c r="Q653" s="324"/>
      <c r="R653" s="324"/>
      <c r="S653" s="324"/>
      <c r="T653" s="324"/>
      <c r="U653" s="324"/>
      <c r="V653" s="377">
        <v>41835</v>
      </c>
      <c r="W653" s="198">
        <v>54.389999000000003</v>
      </c>
      <c r="X653" s="349">
        <f t="shared" si="32"/>
        <v>-1.50308218936831E-2</v>
      </c>
      <c r="Y653" s="198">
        <v>1973.280029</v>
      </c>
      <c r="Z653" s="349">
        <f t="shared" si="33"/>
        <v>-1.9320960226444361E-3</v>
      </c>
      <c r="AA653" s="324"/>
      <c r="AB653" s="324"/>
      <c r="AC653" s="324"/>
      <c r="AD653" s="324"/>
      <c r="AE653" s="324"/>
      <c r="AF653" s="324"/>
    </row>
    <row r="654" spans="1:32">
      <c r="A654" s="324"/>
      <c r="B654" s="244"/>
      <c r="C654" s="294"/>
      <c r="D654" s="235"/>
      <c r="E654" s="294"/>
      <c r="F654" s="235"/>
      <c r="G654" s="324"/>
      <c r="H654" s="324"/>
      <c r="I654" s="324"/>
      <c r="J654" s="324"/>
      <c r="K654" s="324"/>
      <c r="L654" s="324"/>
      <c r="M654" s="294"/>
      <c r="N654" s="235"/>
      <c r="O654" s="324"/>
      <c r="P654" s="235"/>
      <c r="Q654" s="324"/>
      <c r="R654" s="324"/>
      <c r="S654" s="324"/>
      <c r="T654" s="324"/>
      <c r="U654" s="324"/>
      <c r="V654" s="377">
        <v>41834</v>
      </c>
      <c r="W654" s="198">
        <v>55.220001000000003</v>
      </c>
      <c r="X654" s="349">
        <f t="shared" si="32"/>
        <v>8.9530604787138035E-3</v>
      </c>
      <c r="Y654" s="198">
        <v>1977.099976</v>
      </c>
      <c r="Z654" s="349">
        <f t="shared" si="33"/>
        <v>4.8435533483188742E-3</v>
      </c>
      <c r="AA654" s="324"/>
      <c r="AB654" s="324"/>
      <c r="AC654" s="324"/>
      <c r="AD654" s="324"/>
      <c r="AE654" s="324"/>
      <c r="AF654" s="324"/>
    </row>
    <row r="655" spans="1:32">
      <c r="A655" s="324"/>
      <c r="B655" s="244"/>
      <c r="C655" s="294"/>
      <c r="D655" s="235"/>
      <c r="E655" s="294"/>
      <c r="F655" s="235"/>
      <c r="G655" s="324"/>
      <c r="H655" s="324"/>
      <c r="I655" s="324"/>
      <c r="J655" s="324"/>
      <c r="K655" s="324"/>
      <c r="L655" s="324"/>
      <c r="M655" s="294"/>
      <c r="N655" s="235"/>
      <c r="O655" s="324"/>
      <c r="P655" s="235"/>
      <c r="Q655" s="324"/>
      <c r="R655" s="324"/>
      <c r="S655" s="324"/>
      <c r="T655" s="324"/>
      <c r="U655" s="324"/>
      <c r="V655" s="377">
        <v>41831</v>
      </c>
      <c r="W655" s="198">
        <v>54.73</v>
      </c>
      <c r="X655" s="349">
        <f t="shared" si="32"/>
        <v>-9.12723638421431E-4</v>
      </c>
      <c r="Y655" s="198">
        <v>1967.5699460000001</v>
      </c>
      <c r="Z655" s="349">
        <f t="shared" si="33"/>
        <v>1.4709224507656327E-3</v>
      </c>
      <c r="AA655" s="324"/>
      <c r="AB655" s="324"/>
      <c r="AC655" s="324"/>
      <c r="AD655" s="324"/>
      <c r="AE655" s="324"/>
      <c r="AF655" s="324"/>
    </row>
    <row r="656" spans="1:32">
      <c r="A656" s="324"/>
      <c r="B656" s="244"/>
      <c r="C656" s="294"/>
      <c r="D656" s="235"/>
      <c r="E656" s="294"/>
      <c r="F656" s="235"/>
      <c r="G656" s="324"/>
      <c r="H656" s="324"/>
      <c r="I656" s="324"/>
      <c r="J656" s="324"/>
      <c r="K656" s="324"/>
      <c r="L656" s="324"/>
      <c r="M656" s="294"/>
      <c r="N656" s="235"/>
      <c r="O656" s="324"/>
      <c r="P656" s="235"/>
      <c r="Q656" s="324"/>
      <c r="R656" s="324"/>
      <c r="S656" s="324"/>
      <c r="T656" s="324"/>
      <c r="U656" s="324"/>
      <c r="V656" s="377">
        <v>41830</v>
      </c>
      <c r="W656" s="198">
        <v>54.779998999999997</v>
      </c>
      <c r="X656" s="349">
        <f t="shared" si="32"/>
        <v>-2.7307664300019185E-3</v>
      </c>
      <c r="Y656" s="198">
        <v>1964.6800539999999</v>
      </c>
      <c r="Z656" s="349">
        <f t="shared" si="33"/>
        <v>-4.1310716999271024E-3</v>
      </c>
      <c r="AA656" s="324"/>
      <c r="AB656" s="324"/>
      <c r="AC656" s="324"/>
      <c r="AD656" s="324"/>
      <c r="AE656" s="324"/>
      <c r="AF656" s="324"/>
    </row>
    <row r="657" spans="1:32">
      <c r="A657" s="324"/>
      <c r="B657" s="244"/>
      <c r="C657" s="294"/>
      <c r="D657" s="235"/>
      <c r="E657" s="294"/>
      <c r="F657" s="235"/>
      <c r="G657" s="324"/>
      <c r="H657" s="324"/>
      <c r="I657" s="324"/>
      <c r="J657" s="324"/>
      <c r="K657" s="324"/>
      <c r="L657" s="324"/>
      <c r="M657" s="294"/>
      <c r="N657" s="235"/>
      <c r="O657" s="324"/>
      <c r="P657" s="235"/>
      <c r="Q657" s="324"/>
      <c r="R657" s="324"/>
      <c r="S657" s="324"/>
      <c r="T657" s="324"/>
      <c r="U657" s="324"/>
      <c r="V657" s="377">
        <v>41829</v>
      </c>
      <c r="W657" s="198">
        <v>54.93</v>
      </c>
      <c r="X657" s="349">
        <f t="shared" si="32"/>
        <v>8.2599118942732197E-3</v>
      </c>
      <c r="Y657" s="198">
        <v>1972.829956</v>
      </c>
      <c r="Z657" s="349">
        <f t="shared" si="33"/>
        <v>4.6442678303448837E-3</v>
      </c>
      <c r="AA657" s="324"/>
      <c r="AB657" s="324"/>
      <c r="AC657" s="324"/>
      <c r="AD657" s="324"/>
      <c r="AE657" s="324"/>
      <c r="AF657" s="324"/>
    </row>
    <row r="658" spans="1:32">
      <c r="A658" s="324"/>
      <c r="B658" s="244"/>
      <c r="C658" s="294"/>
      <c r="D658" s="235"/>
      <c r="E658" s="294"/>
      <c r="F658" s="235"/>
      <c r="G658" s="324"/>
      <c r="H658" s="324"/>
      <c r="I658" s="324"/>
      <c r="J658" s="324"/>
      <c r="K658" s="324"/>
      <c r="L658" s="324"/>
      <c r="M658" s="294"/>
      <c r="N658" s="235"/>
      <c r="O658" s="324"/>
      <c r="P658" s="235"/>
      <c r="Q658" s="324"/>
      <c r="R658" s="324"/>
      <c r="S658" s="324"/>
      <c r="T658" s="324"/>
      <c r="U658" s="324"/>
      <c r="V658" s="377">
        <v>41828</v>
      </c>
      <c r="W658" s="198">
        <v>54.48</v>
      </c>
      <c r="X658" s="349">
        <f t="shared" si="32"/>
        <v>-2.2429571146599714E-2</v>
      </c>
      <c r="Y658" s="198">
        <v>1963.709961</v>
      </c>
      <c r="Z658" s="349">
        <f t="shared" si="33"/>
        <v>-7.0488017752527998E-3</v>
      </c>
      <c r="AA658" s="324"/>
      <c r="AB658" s="324"/>
      <c r="AC658" s="324"/>
      <c r="AD658" s="324"/>
      <c r="AE658" s="324"/>
      <c r="AF658" s="324"/>
    </row>
    <row r="659" spans="1:32">
      <c r="A659" s="324"/>
      <c r="B659" s="244"/>
      <c r="C659" s="294"/>
      <c r="D659" s="235"/>
      <c r="E659" s="294"/>
      <c r="F659" s="235"/>
      <c r="G659" s="324"/>
      <c r="H659" s="324"/>
      <c r="I659" s="324"/>
      <c r="J659" s="324"/>
      <c r="K659" s="324"/>
      <c r="L659" s="324"/>
      <c r="M659" s="294"/>
      <c r="N659" s="235"/>
      <c r="O659" s="324"/>
      <c r="P659" s="235"/>
      <c r="Q659" s="324"/>
      <c r="R659" s="324"/>
      <c r="S659" s="324"/>
      <c r="T659" s="324"/>
      <c r="U659" s="324"/>
      <c r="V659" s="377">
        <v>41827</v>
      </c>
      <c r="W659" s="198">
        <v>55.73</v>
      </c>
      <c r="X659" s="349">
        <f t="shared" si="32"/>
        <v>-6.5953300033986251E-3</v>
      </c>
      <c r="Y659" s="198">
        <v>1977.650024</v>
      </c>
      <c r="Z659" s="349">
        <f t="shared" si="33"/>
        <v>-3.9235218548472339E-3</v>
      </c>
      <c r="AA659" s="324"/>
      <c r="AB659" s="324"/>
      <c r="AC659" s="324"/>
      <c r="AD659" s="324"/>
      <c r="AE659" s="324"/>
      <c r="AF659" s="324"/>
    </row>
    <row r="660" spans="1:32">
      <c r="A660" s="324"/>
      <c r="B660" s="244"/>
      <c r="C660" s="294"/>
      <c r="D660" s="235"/>
      <c r="E660" s="294"/>
      <c r="F660" s="235"/>
      <c r="G660" s="324"/>
      <c r="H660" s="324"/>
      <c r="I660" s="324"/>
      <c r="J660" s="324"/>
      <c r="K660" s="324"/>
      <c r="L660" s="324"/>
      <c r="M660" s="294"/>
      <c r="N660" s="235"/>
      <c r="O660" s="324"/>
      <c r="P660" s="235"/>
      <c r="Q660" s="324"/>
      <c r="R660" s="324"/>
      <c r="S660" s="324"/>
      <c r="T660" s="324"/>
      <c r="U660" s="324"/>
      <c r="V660" s="377">
        <v>41823</v>
      </c>
      <c r="W660" s="198">
        <v>56.099997999999999</v>
      </c>
      <c r="X660" s="349">
        <f t="shared" si="32"/>
        <v>-5.3452698139089261E-4</v>
      </c>
      <c r="Y660" s="198">
        <v>1985.4399410000001</v>
      </c>
      <c r="Z660" s="349">
        <f t="shared" si="33"/>
        <v>5.4795079698359839E-3</v>
      </c>
      <c r="AA660" s="324"/>
      <c r="AB660" s="324"/>
      <c r="AC660" s="324"/>
      <c r="AD660" s="324"/>
      <c r="AE660" s="324"/>
      <c r="AF660" s="324"/>
    </row>
    <row r="661" spans="1:32">
      <c r="A661" s="324"/>
      <c r="B661" s="244"/>
      <c r="C661" s="294"/>
      <c r="D661" s="235"/>
      <c r="E661" s="294"/>
      <c r="F661" s="235"/>
      <c r="G661" s="324"/>
      <c r="H661" s="324"/>
      <c r="I661" s="324"/>
      <c r="J661" s="324"/>
      <c r="K661" s="324"/>
      <c r="L661" s="324"/>
      <c r="M661" s="294"/>
      <c r="N661" s="235"/>
      <c r="O661" s="324"/>
      <c r="P661" s="235"/>
      <c r="Q661" s="324"/>
      <c r="R661" s="324"/>
      <c r="S661" s="324"/>
      <c r="T661" s="324"/>
      <c r="U661" s="324"/>
      <c r="V661" s="377">
        <v>41822</v>
      </c>
      <c r="W661" s="198">
        <v>56.130001</v>
      </c>
      <c r="X661" s="349">
        <f t="shared" si="32"/>
        <v>-7.1207052562116679E-4</v>
      </c>
      <c r="Y661" s="198">
        <v>1974.619995</v>
      </c>
      <c r="Z661" s="349">
        <f t="shared" si="33"/>
        <v>6.5881308433302088E-4</v>
      </c>
      <c r="AA661" s="324"/>
      <c r="AB661" s="324"/>
      <c r="AC661" s="324"/>
      <c r="AD661" s="324"/>
      <c r="AE661" s="324"/>
      <c r="AF661" s="324"/>
    </row>
    <row r="662" spans="1:32">
      <c r="A662" s="324"/>
      <c r="B662" s="244"/>
      <c r="C662" s="294"/>
      <c r="D662" s="235"/>
      <c r="E662" s="294"/>
      <c r="F662" s="235"/>
      <c r="G662" s="324"/>
      <c r="H662" s="324"/>
      <c r="I662" s="324"/>
      <c r="J662" s="324"/>
      <c r="K662" s="324"/>
      <c r="L662" s="324"/>
      <c r="M662" s="294"/>
      <c r="N662" s="235"/>
      <c r="O662" s="324"/>
      <c r="P662" s="235"/>
      <c r="Q662" s="324"/>
      <c r="R662" s="324"/>
      <c r="S662" s="324"/>
      <c r="T662" s="324"/>
      <c r="U662" s="324"/>
      <c r="V662" s="377">
        <v>41821</v>
      </c>
      <c r="W662" s="198">
        <v>56.169998</v>
      </c>
      <c r="X662" s="349">
        <f t="shared" si="32"/>
        <v>1.6283662022797074E-2</v>
      </c>
      <c r="Y662" s="198">
        <v>1973.3199460000001</v>
      </c>
      <c r="Z662" s="349">
        <f t="shared" si="33"/>
        <v>6.6777705338432192E-3</v>
      </c>
      <c r="AA662" s="324"/>
      <c r="AB662" s="324"/>
      <c r="AC662" s="324"/>
      <c r="AD662" s="324"/>
      <c r="AE662" s="324"/>
      <c r="AF662" s="324"/>
    </row>
    <row r="663" spans="1:32">
      <c r="A663" s="324"/>
      <c r="B663" s="244"/>
      <c r="C663" s="294"/>
      <c r="D663" s="235"/>
      <c r="E663" s="294"/>
      <c r="F663" s="235"/>
      <c r="G663" s="324"/>
      <c r="H663" s="324"/>
      <c r="I663" s="324"/>
      <c r="J663" s="324"/>
      <c r="K663" s="324"/>
      <c r="L663" s="324"/>
      <c r="M663" s="294"/>
      <c r="N663" s="235"/>
      <c r="O663" s="324"/>
      <c r="P663" s="235"/>
      <c r="Q663" s="324"/>
      <c r="R663" s="324"/>
      <c r="S663" s="324"/>
      <c r="T663" s="324"/>
      <c r="U663" s="324"/>
      <c r="V663" s="377">
        <v>41820</v>
      </c>
      <c r="W663" s="198">
        <v>55.27</v>
      </c>
      <c r="X663" s="349">
        <f t="shared" si="32"/>
        <v>1.9941986947065171E-3</v>
      </c>
      <c r="Y663" s="198">
        <v>1960.2299800000001</v>
      </c>
      <c r="Z663" s="349">
        <f t="shared" si="33"/>
        <v>-3.722569631802175E-4</v>
      </c>
      <c r="AA663" s="324"/>
      <c r="AB663" s="324"/>
      <c r="AC663" s="324"/>
      <c r="AD663" s="324"/>
      <c r="AE663" s="324"/>
      <c r="AF663" s="324"/>
    </row>
    <row r="664" spans="1:32">
      <c r="A664" s="324"/>
      <c r="B664" s="244"/>
      <c r="C664" s="294"/>
      <c r="D664" s="235"/>
      <c r="E664" s="294"/>
      <c r="F664" s="235"/>
      <c r="G664" s="324"/>
      <c r="H664" s="324"/>
      <c r="I664" s="324"/>
      <c r="J664" s="324"/>
      <c r="K664" s="324"/>
      <c r="L664" s="324"/>
      <c r="M664" s="294"/>
      <c r="N664" s="235"/>
      <c r="O664" s="324"/>
      <c r="P664" s="235"/>
      <c r="Q664" s="324"/>
      <c r="R664" s="324"/>
      <c r="S664" s="324"/>
      <c r="T664" s="324"/>
      <c r="U664" s="324"/>
      <c r="V664" s="377">
        <v>41817</v>
      </c>
      <c r="W664" s="198">
        <v>55.16</v>
      </c>
      <c r="X664" s="349">
        <f t="shared" si="32"/>
        <v>-3.0725102811310911E-3</v>
      </c>
      <c r="Y664" s="198">
        <v>1960.959961</v>
      </c>
      <c r="Z664" s="349">
        <f t="shared" si="33"/>
        <v>1.9108685050301943E-3</v>
      </c>
      <c r="AA664" s="324"/>
      <c r="AB664" s="324"/>
      <c r="AC664" s="324"/>
      <c r="AD664" s="324"/>
      <c r="AE664" s="324"/>
      <c r="AF664" s="324"/>
    </row>
    <row r="665" spans="1:32">
      <c r="A665" s="324"/>
      <c r="B665" s="244"/>
      <c r="C665" s="294"/>
      <c r="D665" s="235"/>
      <c r="E665" s="294"/>
      <c r="F665" s="235"/>
      <c r="G665" s="324"/>
      <c r="H665" s="324"/>
      <c r="I665" s="324"/>
      <c r="J665" s="324"/>
      <c r="K665" s="324"/>
      <c r="L665" s="324"/>
      <c r="M665" s="294"/>
      <c r="N665" s="235"/>
      <c r="O665" s="324"/>
      <c r="P665" s="235"/>
      <c r="Q665" s="324"/>
      <c r="R665" s="324"/>
      <c r="S665" s="324"/>
      <c r="T665" s="324"/>
      <c r="U665" s="324"/>
      <c r="V665" s="377">
        <v>41816</v>
      </c>
      <c r="W665" s="198">
        <v>55.330002</v>
      </c>
      <c r="X665" s="349">
        <f t="shared" si="32"/>
        <v>-1.4437466161342227E-3</v>
      </c>
      <c r="Y665" s="198">
        <v>1957.219971</v>
      </c>
      <c r="Z665" s="349">
        <f t="shared" si="33"/>
        <v>-1.1788836944636172E-3</v>
      </c>
      <c r="AA665" s="324"/>
      <c r="AB665" s="324"/>
      <c r="AC665" s="324"/>
      <c r="AD665" s="324"/>
      <c r="AE665" s="324"/>
      <c r="AF665" s="324"/>
    </row>
    <row r="666" spans="1:32">
      <c r="A666" s="324"/>
      <c r="B666" s="244"/>
      <c r="C666" s="294"/>
      <c r="D666" s="235"/>
      <c r="E666" s="294"/>
      <c r="F666" s="235"/>
      <c r="G666" s="324"/>
      <c r="H666" s="324"/>
      <c r="I666" s="324"/>
      <c r="J666" s="324"/>
      <c r="K666" s="324"/>
      <c r="L666" s="324"/>
      <c r="M666" s="294"/>
      <c r="N666" s="235"/>
      <c r="O666" s="324"/>
      <c r="P666" s="235"/>
      <c r="Q666" s="324"/>
      <c r="R666" s="324"/>
      <c r="S666" s="324"/>
      <c r="T666" s="324"/>
      <c r="U666" s="324"/>
      <c r="V666" s="377">
        <v>41815</v>
      </c>
      <c r="W666" s="198">
        <v>55.41</v>
      </c>
      <c r="X666" s="349">
        <f t="shared" si="32"/>
        <v>1.2054794520547807E-2</v>
      </c>
      <c r="Y666" s="198">
        <v>1959.530029</v>
      </c>
      <c r="Z666" s="349">
        <f t="shared" si="33"/>
        <v>4.8975113067570852E-3</v>
      </c>
      <c r="AA666" s="324"/>
      <c r="AB666" s="324"/>
      <c r="AC666" s="324"/>
      <c r="AD666" s="324"/>
      <c r="AE666" s="324"/>
      <c r="AF666" s="324"/>
    </row>
    <row r="667" spans="1:32">
      <c r="A667" s="324"/>
      <c r="B667" s="244"/>
      <c r="C667" s="294"/>
      <c r="D667" s="235"/>
      <c r="E667" s="294"/>
      <c r="F667" s="235"/>
      <c r="G667" s="324"/>
      <c r="H667" s="324"/>
      <c r="I667" s="324"/>
      <c r="J667" s="324"/>
      <c r="K667" s="324"/>
      <c r="L667" s="324"/>
      <c r="M667" s="294"/>
      <c r="N667" s="235"/>
      <c r="O667" s="324"/>
      <c r="P667" s="235"/>
      <c r="Q667" s="324"/>
      <c r="R667" s="324"/>
      <c r="S667" s="324"/>
      <c r="T667" s="324"/>
      <c r="U667" s="324"/>
      <c r="V667" s="377">
        <v>41814</v>
      </c>
      <c r="W667" s="198">
        <v>54.75</v>
      </c>
      <c r="X667" s="349">
        <f t="shared" si="32"/>
        <v>-4.7263771941966626E-3</v>
      </c>
      <c r="Y667" s="198">
        <v>1949.9799800000001</v>
      </c>
      <c r="Z667" s="349">
        <f t="shared" si="33"/>
        <v>-6.4353106814546424E-3</v>
      </c>
      <c r="AA667" s="324"/>
      <c r="AB667" s="324"/>
      <c r="AC667" s="324"/>
      <c r="AD667" s="324"/>
      <c r="AE667" s="324"/>
      <c r="AF667" s="324"/>
    </row>
    <row r="668" spans="1:32">
      <c r="A668" s="324"/>
      <c r="B668" s="244"/>
      <c r="C668" s="294"/>
      <c r="D668" s="235"/>
      <c r="E668" s="294"/>
      <c r="F668" s="235"/>
      <c r="G668" s="324"/>
      <c r="H668" s="324"/>
      <c r="I668" s="324"/>
      <c r="J668" s="324"/>
      <c r="K668" s="324"/>
      <c r="L668" s="324"/>
      <c r="M668" s="294"/>
      <c r="N668" s="235"/>
      <c r="O668" s="324"/>
      <c r="P668" s="235"/>
      <c r="Q668" s="324"/>
      <c r="R668" s="324"/>
      <c r="S668" s="324"/>
      <c r="T668" s="324"/>
      <c r="U668" s="324"/>
      <c r="V668" s="377">
        <v>41813</v>
      </c>
      <c r="W668" s="198">
        <v>55.009998000000003</v>
      </c>
      <c r="X668" s="349">
        <f t="shared" si="32"/>
        <v>-1.2709512973509973E-3</v>
      </c>
      <c r="Y668" s="198">
        <v>1962.6099850000001</v>
      </c>
      <c r="Z668" s="349">
        <f t="shared" si="33"/>
        <v>-1.3246419817014576E-4</v>
      </c>
      <c r="AA668" s="324"/>
      <c r="AB668" s="324"/>
      <c r="AC668" s="324"/>
      <c r="AD668" s="324"/>
      <c r="AE668" s="324"/>
      <c r="AF668" s="324"/>
    </row>
    <row r="669" spans="1:32">
      <c r="A669" s="324"/>
      <c r="B669" s="244"/>
      <c r="C669" s="294"/>
      <c r="D669" s="235"/>
      <c r="E669" s="294"/>
      <c r="F669" s="235"/>
      <c r="G669" s="324"/>
      <c r="H669" s="324"/>
      <c r="I669" s="324"/>
      <c r="J669" s="324"/>
      <c r="K669" s="324"/>
      <c r="L669" s="324"/>
      <c r="M669" s="294"/>
      <c r="N669" s="235"/>
      <c r="O669" s="324"/>
      <c r="P669" s="235"/>
      <c r="Q669" s="324"/>
      <c r="R669" s="324"/>
      <c r="S669" s="324"/>
      <c r="T669" s="324"/>
      <c r="U669" s="324"/>
      <c r="V669" s="377">
        <v>41810</v>
      </c>
      <c r="W669" s="198">
        <v>55.080002</v>
      </c>
      <c r="X669" s="349">
        <f t="shared" si="32"/>
        <v>-5.4434765842226174E-4</v>
      </c>
      <c r="Y669" s="198">
        <v>1962.869995</v>
      </c>
      <c r="Z669" s="349">
        <f t="shared" si="33"/>
        <v>1.7300585025625814E-3</v>
      </c>
      <c r="AA669" s="324"/>
      <c r="AB669" s="324"/>
      <c r="AC669" s="324"/>
      <c r="AD669" s="324"/>
      <c r="AE669" s="324"/>
      <c r="AF669" s="324"/>
    </row>
    <row r="670" spans="1:32">
      <c r="A670" s="324"/>
      <c r="B670" s="244"/>
      <c r="C670" s="294"/>
      <c r="D670" s="235"/>
      <c r="E670" s="294"/>
      <c r="F670" s="235"/>
      <c r="G670" s="324"/>
      <c r="H670" s="324"/>
      <c r="I670" s="324"/>
      <c r="J670" s="324"/>
      <c r="K670" s="324"/>
      <c r="L670" s="324"/>
      <c r="M670" s="294"/>
      <c r="N670" s="235"/>
      <c r="O670" s="324"/>
      <c r="P670" s="235"/>
      <c r="Q670" s="324"/>
      <c r="R670" s="324"/>
      <c r="S670" s="324"/>
      <c r="T670" s="324"/>
      <c r="U670" s="324"/>
      <c r="V670" s="377">
        <v>41809</v>
      </c>
      <c r="W670" s="198">
        <v>55.110000999999997</v>
      </c>
      <c r="X670" s="349">
        <f t="shared" si="32"/>
        <v>3.7853165267539124E-2</v>
      </c>
      <c r="Y670" s="198">
        <v>1959.4799800000001</v>
      </c>
      <c r="Z670" s="349">
        <f t="shared" si="33"/>
        <v>1.2774785769653629E-3</v>
      </c>
      <c r="AA670" s="324"/>
      <c r="AB670" s="324"/>
      <c r="AC670" s="324"/>
      <c r="AD670" s="324"/>
      <c r="AE670" s="324"/>
      <c r="AF670" s="324"/>
    </row>
    <row r="671" spans="1:32">
      <c r="A671" s="324"/>
      <c r="B671" s="244"/>
      <c r="C671" s="294"/>
      <c r="D671" s="235"/>
      <c r="E671" s="294"/>
      <c r="F671" s="235"/>
      <c r="G671" s="324"/>
      <c r="H671" s="324"/>
      <c r="I671" s="324"/>
      <c r="J671" s="324"/>
      <c r="K671" s="324"/>
      <c r="L671" s="324"/>
      <c r="M671" s="294"/>
      <c r="N671" s="235"/>
      <c r="O671" s="324"/>
      <c r="P671" s="235"/>
      <c r="Q671" s="324"/>
      <c r="R671" s="324"/>
      <c r="S671" s="324"/>
      <c r="T671" s="324"/>
      <c r="U671" s="324"/>
      <c r="V671" s="377">
        <v>41808</v>
      </c>
      <c r="W671" s="198">
        <v>53.099997999999999</v>
      </c>
      <c r="X671" s="349">
        <f t="shared" si="32"/>
        <v>1.2778905206942692E-2</v>
      </c>
      <c r="Y671" s="198">
        <v>1956.9799800000001</v>
      </c>
      <c r="Z671" s="349">
        <f t="shared" si="33"/>
        <v>7.7188811874360219E-3</v>
      </c>
      <c r="AA671" s="324"/>
      <c r="AB671" s="324"/>
      <c r="AC671" s="324"/>
      <c r="AD671" s="324"/>
      <c r="AE671" s="324"/>
      <c r="AF671" s="324"/>
    </row>
    <row r="672" spans="1:32">
      <c r="A672" s="324"/>
      <c r="B672" s="244"/>
      <c r="C672" s="294"/>
      <c r="D672" s="235"/>
      <c r="E672" s="294"/>
      <c r="F672" s="235"/>
      <c r="G672" s="324"/>
      <c r="H672" s="324"/>
      <c r="I672" s="324"/>
      <c r="J672" s="324"/>
      <c r="K672" s="324"/>
      <c r="L672" s="324"/>
      <c r="M672" s="294"/>
      <c r="N672" s="235"/>
      <c r="O672" s="324"/>
      <c r="P672" s="235"/>
      <c r="Q672" s="324"/>
      <c r="R672" s="324"/>
      <c r="S672" s="324"/>
      <c r="T672" s="324"/>
      <c r="U672" s="324"/>
      <c r="V672" s="377">
        <v>41807</v>
      </c>
      <c r="W672" s="198">
        <v>52.43</v>
      </c>
      <c r="X672" s="349">
        <f t="shared" si="32"/>
        <v>5.5619678857299348E-3</v>
      </c>
      <c r="Y672" s="198">
        <v>1941.98999</v>
      </c>
      <c r="Z672" s="349">
        <f t="shared" si="33"/>
        <v>2.1725690929803587E-3</v>
      </c>
      <c r="AA672" s="324"/>
      <c r="AB672" s="324"/>
      <c r="AC672" s="324"/>
      <c r="AD672" s="324"/>
      <c r="AE672" s="324"/>
      <c r="AF672" s="324"/>
    </row>
    <row r="673" spans="1:32">
      <c r="A673" s="324"/>
      <c r="B673" s="244"/>
      <c r="C673" s="294"/>
      <c r="D673" s="235"/>
      <c r="E673" s="294"/>
      <c r="F673" s="235"/>
      <c r="G673" s="324"/>
      <c r="H673" s="324"/>
      <c r="I673" s="324"/>
      <c r="J673" s="324"/>
      <c r="K673" s="324"/>
      <c r="L673" s="324"/>
      <c r="M673" s="294"/>
      <c r="N673" s="235"/>
      <c r="O673" s="324"/>
      <c r="P673" s="235"/>
      <c r="Q673" s="324"/>
      <c r="R673" s="324"/>
      <c r="S673" s="324"/>
      <c r="T673" s="324"/>
      <c r="U673" s="324"/>
      <c r="V673" s="377">
        <v>41806</v>
      </c>
      <c r="W673" s="198">
        <v>52.139999000000003</v>
      </c>
      <c r="X673" s="349">
        <f t="shared" si="32"/>
        <v>4.2373075592183618E-3</v>
      </c>
      <c r="Y673" s="198">
        <v>1937.780029</v>
      </c>
      <c r="Z673" s="349">
        <f t="shared" si="33"/>
        <v>8.3670511298250538E-4</v>
      </c>
      <c r="AA673" s="324"/>
      <c r="AB673" s="324"/>
      <c r="AC673" s="324"/>
      <c r="AD673" s="324"/>
      <c r="AE673" s="324"/>
      <c r="AF673" s="324"/>
    </row>
    <row r="674" spans="1:32">
      <c r="A674" s="324"/>
      <c r="B674" s="244"/>
      <c r="C674" s="294"/>
      <c r="D674" s="235"/>
      <c r="E674" s="294"/>
      <c r="F674" s="235"/>
      <c r="G674" s="324"/>
      <c r="H674" s="324"/>
      <c r="I674" s="324"/>
      <c r="J674" s="324"/>
      <c r="K674" s="324"/>
      <c r="L674" s="324"/>
      <c r="M674" s="294"/>
      <c r="N674" s="235"/>
      <c r="O674" s="324"/>
      <c r="P674" s="235"/>
      <c r="Q674" s="324"/>
      <c r="R674" s="324"/>
      <c r="S674" s="324"/>
      <c r="T674" s="324"/>
      <c r="U674" s="324"/>
      <c r="V674" s="377">
        <v>41803</v>
      </c>
      <c r="W674" s="198">
        <v>51.919998</v>
      </c>
      <c r="X674" s="349">
        <f t="shared" si="32"/>
        <v>2.8322359741637548E-2</v>
      </c>
      <c r="Y674" s="198">
        <v>1936.160034</v>
      </c>
      <c r="Z674" s="349">
        <f t="shared" si="33"/>
        <v>3.134561785089085E-3</v>
      </c>
      <c r="AA674" s="324"/>
      <c r="AB674" s="324"/>
      <c r="AC674" s="324"/>
      <c r="AD674" s="324"/>
      <c r="AE674" s="324"/>
      <c r="AF674" s="324"/>
    </row>
    <row r="675" spans="1:32">
      <c r="A675" s="324"/>
      <c r="B675" s="244"/>
      <c r="C675" s="294"/>
      <c r="D675" s="235"/>
      <c r="E675" s="294"/>
      <c r="F675" s="235"/>
      <c r="G675" s="324"/>
      <c r="H675" s="324"/>
      <c r="I675" s="324"/>
      <c r="J675" s="324"/>
      <c r="K675" s="324"/>
      <c r="L675" s="324"/>
      <c r="M675" s="294"/>
      <c r="N675" s="235"/>
      <c r="O675" s="324"/>
      <c r="P675" s="235"/>
      <c r="Q675" s="324"/>
      <c r="R675" s="324"/>
      <c r="S675" s="324"/>
      <c r="T675" s="324"/>
      <c r="U675" s="324"/>
      <c r="V675" s="377">
        <v>41802</v>
      </c>
      <c r="W675" s="198">
        <v>50.490001999999997</v>
      </c>
      <c r="X675" s="349">
        <f t="shared" si="32"/>
        <v>-1.9040197803765424E-2</v>
      </c>
      <c r="Y675" s="198">
        <v>1930.1099850000001</v>
      </c>
      <c r="Z675" s="349">
        <f t="shared" si="33"/>
        <v>-7.088893864193202E-3</v>
      </c>
      <c r="AA675" s="324"/>
      <c r="AB675" s="324"/>
      <c r="AC675" s="324"/>
      <c r="AD675" s="324"/>
      <c r="AE675" s="324"/>
      <c r="AF675" s="324"/>
    </row>
    <row r="676" spans="1:32">
      <c r="A676" s="324"/>
      <c r="B676" s="244"/>
      <c r="C676" s="294"/>
      <c r="D676" s="235"/>
      <c r="E676" s="294"/>
      <c r="F676" s="235"/>
      <c r="G676" s="324"/>
      <c r="H676" s="324"/>
      <c r="I676" s="324"/>
      <c r="J676" s="324"/>
      <c r="K676" s="324"/>
      <c r="L676" s="324"/>
      <c r="M676" s="294"/>
      <c r="N676" s="235"/>
      <c r="O676" s="324"/>
      <c r="P676" s="235"/>
      <c r="Q676" s="324"/>
      <c r="R676" s="324"/>
      <c r="S676" s="324"/>
      <c r="T676" s="324"/>
      <c r="U676" s="324"/>
      <c r="V676" s="377">
        <v>41801</v>
      </c>
      <c r="W676" s="198">
        <v>51.470001000000003</v>
      </c>
      <c r="X676" s="349">
        <f t="shared" si="32"/>
        <v>2.7274302463500266E-3</v>
      </c>
      <c r="Y676" s="198">
        <v>1943.8900149999999</v>
      </c>
      <c r="Z676" s="349">
        <f t="shared" si="33"/>
        <v>-3.5370408204140613E-3</v>
      </c>
      <c r="AA676" s="324"/>
      <c r="AB676" s="324"/>
      <c r="AC676" s="324"/>
      <c r="AD676" s="324"/>
      <c r="AE676" s="324"/>
      <c r="AF676" s="324"/>
    </row>
    <row r="677" spans="1:32">
      <c r="A677" s="324"/>
      <c r="B677" s="244"/>
      <c r="C677" s="294"/>
      <c r="D677" s="235"/>
      <c r="E677" s="294"/>
      <c r="F677" s="235"/>
      <c r="G677" s="324"/>
      <c r="H677" s="324"/>
      <c r="I677" s="324"/>
      <c r="J677" s="324"/>
      <c r="K677" s="324"/>
      <c r="L677" s="324"/>
      <c r="M677" s="294"/>
      <c r="N677" s="235"/>
      <c r="O677" s="324"/>
      <c r="P677" s="235"/>
      <c r="Q677" s="324"/>
      <c r="R677" s="324"/>
      <c r="S677" s="324"/>
      <c r="T677" s="324"/>
      <c r="U677" s="324"/>
      <c r="V677" s="377">
        <v>41800</v>
      </c>
      <c r="W677" s="198">
        <v>51.330002</v>
      </c>
      <c r="X677" s="349">
        <f t="shared" si="32"/>
        <v>-1.9443515457904237E-3</v>
      </c>
      <c r="Y677" s="198">
        <v>1950.790039</v>
      </c>
      <c r="Z677" s="349">
        <f t="shared" si="33"/>
        <v>-2.4598389514540742E-4</v>
      </c>
      <c r="AA677" s="324"/>
      <c r="AB677" s="324"/>
      <c r="AC677" s="324"/>
      <c r="AD677" s="324"/>
      <c r="AE677" s="324"/>
      <c r="AF677" s="324"/>
    </row>
    <row r="678" spans="1:32">
      <c r="A678" s="324"/>
      <c r="B678" s="244"/>
      <c r="C678" s="294"/>
      <c r="D678" s="235"/>
      <c r="E678" s="294"/>
      <c r="F678" s="235"/>
      <c r="G678" s="324"/>
      <c r="H678" s="324"/>
      <c r="I678" s="324"/>
      <c r="J678" s="324"/>
      <c r="K678" s="324"/>
      <c r="L678" s="324"/>
      <c r="M678" s="294"/>
      <c r="N678" s="235"/>
      <c r="O678" s="324"/>
      <c r="P678" s="235"/>
      <c r="Q678" s="324"/>
      <c r="R678" s="324"/>
      <c r="S678" s="324"/>
      <c r="T678" s="324"/>
      <c r="U678" s="324"/>
      <c r="V678" s="377">
        <v>41799</v>
      </c>
      <c r="W678" s="198">
        <v>51.43</v>
      </c>
      <c r="X678" s="349">
        <f t="shared" si="32"/>
        <v>1.1406136141834278E-2</v>
      </c>
      <c r="Y678" s="198">
        <v>1951.2700199999999</v>
      </c>
      <c r="Z678" s="349">
        <f t="shared" si="33"/>
        <v>9.3877167565414865E-4</v>
      </c>
      <c r="AA678" s="324"/>
      <c r="AB678" s="324"/>
      <c r="AC678" s="324"/>
      <c r="AD678" s="324"/>
      <c r="AE678" s="324"/>
      <c r="AF678" s="324"/>
    </row>
    <row r="679" spans="1:32">
      <c r="A679" s="324"/>
      <c r="B679" s="244"/>
      <c r="C679" s="294"/>
      <c r="D679" s="235"/>
      <c r="E679" s="294"/>
      <c r="F679" s="235"/>
      <c r="G679" s="324"/>
      <c r="H679" s="324"/>
      <c r="I679" s="324"/>
      <c r="J679" s="324"/>
      <c r="K679" s="324"/>
      <c r="L679" s="324"/>
      <c r="M679" s="294"/>
      <c r="N679" s="235"/>
      <c r="O679" s="324"/>
      <c r="P679" s="235"/>
      <c r="Q679" s="324"/>
      <c r="R679" s="324"/>
      <c r="S679" s="324"/>
      <c r="T679" s="324"/>
      <c r="U679" s="324"/>
      <c r="V679" s="377">
        <v>41796</v>
      </c>
      <c r="W679" s="198">
        <v>50.849997999999999</v>
      </c>
      <c r="X679" s="349">
        <f t="shared" si="32"/>
        <v>1.0733392750280402E-2</v>
      </c>
      <c r="Y679" s="198">
        <v>1949.4399410000001</v>
      </c>
      <c r="Z679" s="349">
        <f t="shared" si="33"/>
        <v>4.6277584595830756E-3</v>
      </c>
      <c r="AA679" s="324"/>
      <c r="AB679" s="324"/>
      <c r="AC679" s="324"/>
      <c r="AD679" s="324"/>
      <c r="AE679" s="324"/>
      <c r="AF679" s="324"/>
    </row>
    <row r="680" spans="1:32">
      <c r="A680" s="324"/>
      <c r="B680" s="244"/>
      <c r="C680" s="294"/>
      <c r="D680" s="235"/>
      <c r="E680" s="294"/>
      <c r="F680" s="235"/>
      <c r="G680" s="324"/>
      <c r="H680" s="324"/>
      <c r="I680" s="324"/>
      <c r="J680" s="324"/>
      <c r="K680" s="324"/>
      <c r="L680" s="324"/>
      <c r="M680" s="294"/>
      <c r="N680" s="235"/>
      <c r="O680" s="324"/>
      <c r="P680" s="235"/>
      <c r="Q680" s="324"/>
      <c r="R680" s="324"/>
      <c r="S680" s="324"/>
      <c r="T680" s="324"/>
      <c r="U680" s="324"/>
      <c r="V680" s="377">
        <v>41795</v>
      </c>
      <c r="W680" s="198">
        <v>50.310001</v>
      </c>
      <c r="X680" s="349">
        <f t="shared" si="32"/>
        <v>1.2070046511165611E-2</v>
      </c>
      <c r="Y680" s="198">
        <v>1940.459961</v>
      </c>
      <c r="Z680" s="349">
        <f t="shared" si="33"/>
        <v>6.5252795647932071E-3</v>
      </c>
      <c r="AA680" s="324"/>
      <c r="AB680" s="324"/>
      <c r="AC680" s="324"/>
      <c r="AD680" s="324"/>
      <c r="AE680" s="324"/>
      <c r="AF680" s="324"/>
    </row>
    <row r="681" spans="1:32">
      <c r="A681" s="324"/>
      <c r="B681" s="244"/>
      <c r="C681" s="294"/>
      <c r="D681" s="235"/>
      <c r="E681" s="294"/>
      <c r="F681" s="235"/>
      <c r="G681" s="324"/>
      <c r="H681" s="324"/>
      <c r="I681" s="324"/>
      <c r="J681" s="324"/>
      <c r="K681" s="324"/>
      <c r="L681" s="324"/>
      <c r="M681" s="294"/>
      <c r="N681" s="235"/>
      <c r="O681" s="324"/>
      <c r="P681" s="235"/>
      <c r="Q681" s="324"/>
      <c r="R681" s="324"/>
      <c r="S681" s="324"/>
      <c r="T681" s="324"/>
      <c r="U681" s="324"/>
      <c r="V681" s="377">
        <v>41794</v>
      </c>
      <c r="W681" s="198">
        <v>49.709999000000003</v>
      </c>
      <c r="X681" s="349">
        <f t="shared" si="32"/>
        <v>-5.601180011955087E-3</v>
      </c>
      <c r="Y681" s="198">
        <v>1927.880005</v>
      </c>
      <c r="Z681" s="349">
        <f t="shared" si="33"/>
        <v>1.891663731611759E-3</v>
      </c>
      <c r="AA681" s="324"/>
      <c r="AB681" s="324"/>
      <c r="AC681" s="324"/>
      <c r="AD681" s="324"/>
      <c r="AE681" s="324"/>
      <c r="AF681" s="324"/>
    </row>
    <row r="682" spans="1:32">
      <c r="A682" s="324"/>
      <c r="B682" s="244"/>
      <c r="C682" s="294"/>
      <c r="D682" s="235"/>
      <c r="E682" s="294"/>
      <c r="F682" s="235"/>
      <c r="G682" s="324"/>
      <c r="H682" s="324"/>
      <c r="I682" s="324"/>
      <c r="J682" s="324"/>
      <c r="K682" s="324"/>
      <c r="L682" s="324"/>
      <c r="M682" s="294"/>
      <c r="N682" s="235"/>
      <c r="O682" s="324"/>
      <c r="P682" s="235"/>
      <c r="Q682" s="324"/>
      <c r="R682" s="324"/>
      <c r="S682" s="324"/>
      <c r="T682" s="324"/>
      <c r="U682" s="324"/>
      <c r="V682" s="377">
        <v>41793</v>
      </c>
      <c r="W682" s="198">
        <v>49.990001999999997</v>
      </c>
      <c r="X682" s="349">
        <f t="shared" si="32"/>
        <v>-1.1987412826921506E-3</v>
      </c>
      <c r="Y682" s="198">
        <v>1924.23999</v>
      </c>
      <c r="Z682" s="349">
        <f t="shared" si="33"/>
        <v>-3.7921682467634277E-4</v>
      </c>
      <c r="AA682" s="324"/>
      <c r="AB682" s="324"/>
      <c r="AC682" s="324"/>
      <c r="AD682" s="324"/>
      <c r="AE682" s="324"/>
      <c r="AF682" s="324"/>
    </row>
    <row r="683" spans="1:32">
      <c r="A683" s="324"/>
      <c r="B683" s="244"/>
      <c r="C683" s="294"/>
      <c r="D683" s="235"/>
      <c r="E683" s="294"/>
      <c r="F683" s="235"/>
      <c r="G683" s="324"/>
      <c r="H683" s="324"/>
      <c r="I683" s="324"/>
      <c r="J683" s="324"/>
      <c r="K683" s="324"/>
      <c r="L683" s="324"/>
      <c r="M683" s="294"/>
      <c r="N683" s="235"/>
      <c r="O683" s="324"/>
      <c r="P683" s="235"/>
      <c r="Q683" s="324"/>
      <c r="R683" s="324"/>
      <c r="S683" s="324"/>
      <c r="T683" s="324"/>
      <c r="U683" s="324"/>
      <c r="V683" s="377">
        <v>41792</v>
      </c>
      <c r="W683" s="198">
        <v>50.049999</v>
      </c>
      <c r="X683" s="349">
        <f t="shared" si="32"/>
        <v>-1.3966480725587926E-3</v>
      </c>
      <c r="Y683" s="198">
        <v>1924.969971</v>
      </c>
      <c r="Z683" s="349">
        <f t="shared" si="33"/>
        <v>7.2782640574686752E-4</v>
      </c>
      <c r="AA683" s="324"/>
      <c r="AB683" s="324"/>
      <c r="AC683" s="324"/>
      <c r="AD683" s="324"/>
      <c r="AE683" s="324"/>
      <c r="AF683" s="324"/>
    </row>
    <row r="684" spans="1:32">
      <c r="A684" s="324"/>
      <c r="B684" s="244"/>
      <c r="C684" s="294"/>
      <c r="D684" s="235"/>
      <c r="E684" s="294"/>
      <c r="F684" s="235"/>
      <c r="G684" s="324"/>
      <c r="H684" s="324"/>
      <c r="I684" s="324"/>
      <c r="J684" s="324"/>
      <c r="K684" s="324"/>
      <c r="L684" s="324"/>
      <c r="M684" s="294"/>
      <c r="N684" s="235"/>
      <c r="O684" s="324"/>
      <c r="P684" s="235"/>
      <c r="Q684" s="324"/>
      <c r="R684" s="324"/>
      <c r="S684" s="324"/>
      <c r="T684" s="324"/>
      <c r="U684" s="324"/>
      <c r="V684" s="377">
        <v>41789</v>
      </c>
      <c r="W684" s="198">
        <v>50.119999</v>
      </c>
      <c r="X684" s="349">
        <f t="shared" si="32"/>
        <v>-8.3102887156649707E-3</v>
      </c>
      <c r="Y684" s="198">
        <v>1923.5699460000001</v>
      </c>
      <c r="Z684" s="349">
        <f t="shared" si="33"/>
        <v>1.8436779355184285E-3</v>
      </c>
      <c r="AA684" s="324"/>
      <c r="AB684" s="324"/>
      <c r="AC684" s="324"/>
      <c r="AD684" s="324"/>
      <c r="AE684" s="324"/>
      <c r="AF684" s="324"/>
    </row>
    <row r="685" spans="1:32">
      <c r="A685" s="324"/>
      <c r="B685" s="244"/>
      <c r="C685" s="294"/>
      <c r="D685" s="235"/>
      <c r="E685" s="294"/>
      <c r="F685" s="235"/>
      <c r="G685" s="324"/>
      <c r="H685" s="324"/>
      <c r="I685" s="324"/>
      <c r="J685" s="324"/>
      <c r="K685" s="324"/>
      <c r="L685" s="324"/>
      <c r="M685" s="294"/>
      <c r="N685" s="235"/>
      <c r="O685" s="324"/>
      <c r="P685" s="235"/>
      <c r="Q685" s="324"/>
      <c r="R685" s="324"/>
      <c r="S685" s="324"/>
      <c r="T685" s="324"/>
      <c r="U685" s="324"/>
      <c r="V685" s="377">
        <v>41788</v>
      </c>
      <c r="W685" s="198">
        <v>50.540000999999997</v>
      </c>
      <c r="X685" s="349">
        <f t="shared" si="32"/>
        <v>1.0800020000000021E-2</v>
      </c>
      <c r="Y685" s="198">
        <v>1920.030029</v>
      </c>
      <c r="Z685" s="349">
        <f t="shared" si="33"/>
        <v>5.3671102662891101E-3</v>
      </c>
      <c r="AA685" s="324"/>
      <c r="AB685" s="324"/>
      <c r="AC685" s="324"/>
      <c r="AD685" s="324"/>
      <c r="AE685" s="324"/>
      <c r="AF685" s="324"/>
    </row>
    <row r="686" spans="1:32">
      <c r="A686" s="324"/>
      <c r="B686" s="244"/>
      <c r="C686" s="294"/>
      <c r="D686" s="235"/>
      <c r="E686" s="294"/>
      <c r="F686" s="235"/>
      <c r="G686" s="324"/>
      <c r="H686" s="324"/>
      <c r="I686" s="324"/>
      <c r="J686" s="324"/>
      <c r="K686" s="324"/>
      <c r="L686" s="324"/>
      <c r="M686" s="294"/>
      <c r="N686" s="235"/>
      <c r="O686" s="324"/>
      <c r="P686" s="235"/>
      <c r="Q686" s="324"/>
      <c r="R686" s="324"/>
      <c r="S686" s="324"/>
      <c r="T686" s="324"/>
      <c r="U686" s="324"/>
      <c r="V686" s="377">
        <v>41787</v>
      </c>
      <c r="W686" s="198">
        <v>50</v>
      </c>
      <c r="X686" s="349">
        <f t="shared" si="32"/>
        <v>-1.5941763118642704E-2</v>
      </c>
      <c r="Y686" s="198">
        <v>1909.780029</v>
      </c>
      <c r="Z686" s="349">
        <f t="shared" si="33"/>
        <v>-1.1140717722704085E-3</v>
      </c>
      <c r="AA686" s="324"/>
      <c r="AB686" s="324"/>
      <c r="AC686" s="324"/>
      <c r="AD686" s="324"/>
      <c r="AE686" s="324"/>
      <c r="AF686" s="324"/>
    </row>
    <row r="687" spans="1:32">
      <c r="A687" s="324"/>
      <c r="B687" s="244"/>
      <c r="C687" s="294"/>
      <c r="D687" s="235"/>
      <c r="E687" s="294"/>
      <c r="F687" s="235"/>
      <c r="G687" s="324"/>
      <c r="H687" s="324"/>
      <c r="I687" s="324"/>
      <c r="J687" s="324"/>
      <c r="K687" s="324"/>
      <c r="L687" s="324"/>
      <c r="M687" s="294"/>
      <c r="N687" s="235"/>
      <c r="O687" s="324"/>
      <c r="P687" s="235"/>
      <c r="Q687" s="324"/>
      <c r="R687" s="324"/>
      <c r="S687" s="324"/>
      <c r="T687" s="324"/>
      <c r="U687" s="324"/>
      <c r="V687" s="377">
        <v>41786</v>
      </c>
      <c r="W687" s="198">
        <v>50.810001</v>
      </c>
      <c r="X687" s="349">
        <f t="shared" si="32"/>
        <v>2.3673703367008692E-3</v>
      </c>
      <c r="Y687" s="198">
        <v>1911.910034</v>
      </c>
      <c r="Z687" s="349">
        <f t="shared" si="33"/>
        <v>5.9878059416866858E-3</v>
      </c>
      <c r="AA687" s="324"/>
      <c r="AB687" s="324"/>
      <c r="AC687" s="324"/>
      <c r="AD687" s="324"/>
      <c r="AE687" s="324"/>
      <c r="AF687" s="324"/>
    </row>
    <row r="688" spans="1:32">
      <c r="A688" s="324"/>
      <c r="B688" s="244"/>
      <c r="C688" s="294"/>
      <c r="D688" s="235"/>
      <c r="E688" s="294"/>
      <c r="F688" s="235"/>
      <c r="G688" s="324"/>
      <c r="H688" s="324"/>
      <c r="I688" s="324"/>
      <c r="J688" s="324"/>
      <c r="K688" s="324"/>
      <c r="L688" s="324"/>
      <c r="M688" s="294"/>
      <c r="N688" s="235"/>
      <c r="O688" s="324"/>
      <c r="P688" s="235"/>
      <c r="Q688" s="324"/>
      <c r="R688" s="324"/>
      <c r="S688" s="324"/>
      <c r="T688" s="324"/>
      <c r="U688" s="324"/>
      <c r="V688" s="377">
        <v>41782</v>
      </c>
      <c r="W688" s="198">
        <v>50.689999</v>
      </c>
      <c r="X688" s="349">
        <f t="shared" si="32"/>
        <v>4.5580658850190581E-3</v>
      </c>
      <c r="Y688" s="198">
        <v>1900.530029</v>
      </c>
      <c r="Z688" s="349">
        <f t="shared" si="33"/>
        <v>4.2483918237263829E-3</v>
      </c>
      <c r="AA688" s="324"/>
      <c r="AB688" s="324"/>
      <c r="AC688" s="324"/>
      <c r="AD688" s="324"/>
      <c r="AE688" s="324"/>
      <c r="AF688" s="324"/>
    </row>
    <row r="689" spans="1:32">
      <c r="A689" s="324"/>
      <c r="B689" s="244"/>
      <c r="C689" s="294"/>
      <c r="D689" s="235"/>
      <c r="E689" s="294"/>
      <c r="F689" s="235"/>
      <c r="G689" s="324"/>
      <c r="H689" s="324"/>
      <c r="I689" s="324"/>
      <c r="J689" s="324"/>
      <c r="K689" s="324"/>
      <c r="L689" s="324"/>
      <c r="M689" s="294"/>
      <c r="N689" s="235"/>
      <c r="O689" s="324"/>
      <c r="P689" s="235"/>
      <c r="Q689" s="324"/>
      <c r="R689" s="324"/>
      <c r="S689" s="324"/>
      <c r="T689" s="324"/>
      <c r="U689" s="324"/>
      <c r="V689" s="377">
        <v>41781</v>
      </c>
      <c r="W689" s="198">
        <v>50.459999000000003</v>
      </c>
      <c r="X689" s="349">
        <f t="shared" si="32"/>
        <v>6.9845937540493619E-3</v>
      </c>
      <c r="Y689" s="198">
        <v>1892.48999</v>
      </c>
      <c r="Z689" s="349">
        <f t="shared" si="33"/>
        <v>2.362229907096447E-3</v>
      </c>
      <c r="AA689" s="324"/>
      <c r="AB689" s="324"/>
      <c r="AC689" s="324"/>
      <c r="AD689" s="324"/>
      <c r="AE689" s="324"/>
      <c r="AF689" s="324"/>
    </row>
    <row r="690" spans="1:32">
      <c r="A690" s="324"/>
      <c r="B690" s="244"/>
      <c r="C690" s="294"/>
      <c r="D690" s="235"/>
      <c r="E690" s="294"/>
      <c r="F690" s="235"/>
      <c r="G690" s="324"/>
      <c r="H690" s="324"/>
      <c r="I690" s="324"/>
      <c r="J690" s="324"/>
      <c r="K690" s="324"/>
      <c r="L690" s="324"/>
      <c r="M690" s="294"/>
      <c r="N690" s="235"/>
      <c r="O690" s="324"/>
      <c r="P690" s="235"/>
      <c r="Q690" s="324"/>
      <c r="R690" s="324"/>
      <c r="S690" s="324"/>
      <c r="T690" s="324"/>
      <c r="U690" s="324"/>
      <c r="V690" s="377">
        <v>41780</v>
      </c>
      <c r="W690" s="198">
        <v>50.110000999999997</v>
      </c>
      <c r="X690" s="349">
        <f t="shared" si="32"/>
        <v>7.641282927810078E-3</v>
      </c>
      <c r="Y690" s="198">
        <v>1888.030029</v>
      </c>
      <c r="Z690" s="349">
        <f t="shared" si="33"/>
        <v>8.116098822161355E-3</v>
      </c>
      <c r="AA690" s="324"/>
      <c r="AB690" s="324"/>
      <c r="AC690" s="324"/>
      <c r="AD690" s="324"/>
      <c r="AE690" s="324"/>
      <c r="AF690" s="324"/>
    </row>
    <row r="691" spans="1:32">
      <c r="A691" s="324"/>
      <c r="B691" s="244"/>
      <c r="C691" s="294"/>
      <c r="D691" s="235"/>
      <c r="E691" s="294"/>
      <c r="F691" s="235"/>
      <c r="G691" s="324"/>
      <c r="H691" s="324"/>
      <c r="I691" s="324"/>
      <c r="J691" s="324"/>
      <c r="K691" s="324"/>
      <c r="L691" s="324"/>
      <c r="M691" s="294"/>
      <c r="N691" s="235"/>
      <c r="O691" s="324"/>
      <c r="P691" s="235"/>
      <c r="Q691" s="324"/>
      <c r="R691" s="324"/>
      <c r="S691" s="324"/>
      <c r="T691" s="324"/>
      <c r="U691" s="324"/>
      <c r="V691" s="377">
        <v>41779</v>
      </c>
      <c r="W691" s="198">
        <v>49.73</v>
      </c>
      <c r="X691" s="349">
        <f t="shared" si="32"/>
        <v>-7.5833365080156812E-3</v>
      </c>
      <c r="Y691" s="198">
        <v>1872.829956</v>
      </c>
      <c r="Z691" s="349">
        <f t="shared" si="33"/>
        <v>-6.4983980976560662E-3</v>
      </c>
      <c r="AA691" s="324"/>
      <c r="AB691" s="324"/>
      <c r="AC691" s="324"/>
      <c r="AD691" s="324"/>
      <c r="AE691" s="324"/>
      <c r="AF691" s="324"/>
    </row>
    <row r="692" spans="1:32">
      <c r="A692" s="324"/>
      <c r="B692" s="244"/>
      <c r="C692" s="294"/>
      <c r="D692" s="235"/>
      <c r="E692" s="294"/>
      <c r="F692" s="235"/>
      <c r="G692" s="324"/>
      <c r="H692" s="324"/>
      <c r="I692" s="324"/>
      <c r="J692" s="324"/>
      <c r="K692" s="324"/>
      <c r="L692" s="324"/>
      <c r="M692" s="294"/>
      <c r="N692" s="235"/>
      <c r="O692" s="324"/>
      <c r="P692" s="235"/>
      <c r="Q692" s="324"/>
      <c r="R692" s="324"/>
      <c r="S692" s="324"/>
      <c r="T692" s="324"/>
      <c r="U692" s="324"/>
      <c r="V692" s="377">
        <v>41778</v>
      </c>
      <c r="W692" s="198">
        <v>50.110000999999997</v>
      </c>
      <c r="X692" s="349">
        <f t="shared" si="32"/>
        <v>1.7993002798879498E-3</v>
      </c>
      <c r="Y692" s="198">
        <v>1885.079956</v>
      </c>
      <c r="Z692" s="349">
        <f t="shared" si="33"/>
        <v>3.8447866495221472E-3</v>
      </c>
      <c r="AA692" s="324"/>
      <c r="AB692" s="324"/>
      <c r="AC692" s="324"/>
      <c r="AD692" s="324"/>
      <c r="AE692" s="324"/>
      <c r="AF692" s="324"/>
    </row>
    <row r="693" spans="1:32">
      <c r="A693" s="324"/>
      <c r="B693" s="244"/>
      <c r="C693" s="294"/>
      <c r="D693" s="235"/>
      <c r="E693" s="294"/>
      <c r="F693" s="235"/>
      <c r="G693" s="324"/>
      <c r="H693" s="324"/>
      <c r="I693" s="324"/>
      <c r="J693" s="324"/>
      <c r="K693" s="324"/>
      <c r="L693" s="324"/>
      <c r="M693" s="294"/>
      <c r="N693" s="235"/>
      <c r="O693" s="324"/>
      <c r="P693" s="235"/>
      <c r="Q693" s="324"/>
      <c r="R693" s="324"/>
      <c r="S693" s="324"/>
      <c r="T693" s="324"/>
      <c r="U693" s="324"/>
      <c r="V693" s="377">
        <v>41775</v>
      </c>
      <c r="W693" s="198">
        <v>50.02</v>
      </c>
      <c r="X693" s="349">
        <f t="shared" si="32"/>
        <v>1.0913500404203802E-2</v>
      </c>
      <c r="Y693" s="198">
        <v>1877.8599850000001</v>
      </c>
      <c r="Z693" s="349">
        <f t="shared" si="33"/>
        <v>3.7469647967112163E-3</v>
      </c>
      <c r="AA693" s="324"/>
      <c r="AB693" s="324"/>
      <c r="AC693" s="324"/>
      <c r="AD693" s="324"/>
      <c r="AE693" s="324"/>
      <c r="AF693" s="324"/>
    </row>
    <row r="694" spans="1:32">
      <c r="A694" s="324"/>
      <c r="B694" s="244"/>
      <c r="C694" s="294"/>
      <c r="D694" s="235"/>
      <c r="E694" s="294"/>
      <c r="F694" s="235"/>
      <c r="G694" s="324"/>
      <c r="H694" s="324"/>
      <c r="I694" s="324"/>
      <c r="J694" s="324"/>
      <c r="K694" s="324"/>
      <c r="L694" s="324"/>
      <c r="M694" s="294"/>
      <c r="N694" s="235"/>
      <c r="O694" s="324"/>
      <c r="P694" s="235"/>
      <c r="Q694" s="324"/>
      <c r="R694" s="324"/>
      <c r="S694" s="324"/>
      <c r="T694" s="324"/>
      <c r="U694" s="324"/>
      <c r="V694" s="377">
        <v>41774</v>
      </c>
      <c r="W694" s="198">
        <v>49.48</v>
      </c>
      <c r="X694" s="349">
        <f t="shared" si="32"/>
        <v>1.8222515048034182E-3</v>
      </c>
      <c r="Y694" s="198">
        <v>1870.849976</v>
      </c>
      <c r="Z694" s="349">
        <f t="shared" si="33"/>
        <v>-9.3618066583573967E-3</v>
      </c>
      <c r="AA694" s="324"/>
      <c r="AB694" s="324"/>
      <c r="AC694" s="324"/>
      <c r="AD694" s="324"/>
      <c r="AE694" s="324"/>
      <c r="AF694" s="324"/>
    </row>
    <row r="695" spans="1:32">
      <c r="A695" s="324"/>
      <c r="B695" s="244"/>
      <c r="C695" s="294"/>
      <c r="D695" s="235"/>
      <c r="E695" s="294"/>
      <c r="F695" s="235"/>
      <c r="G695" s="324"/>
      <c r="H695" s="324"/>
      <c r="I695" s="324"/>
      <c r="J695" s="324"/>
      <c r="K695" s="324"/>
      <c r="L695" s="324"/>
      <c r="M695" s="294"/>
      <c r="N695" s="235"/>
      <c r="O695" s="324"/>
      <c r="P695" s="235"/>
      <c r="Q695" s="324"/>
      <c r="R695" s="324"/>
      <c r="S695" s="324"/>
      <c r="T695" s="324"/>
      <c r="U695" s="324"/>
      <c r="V695" s="377">
        <v>41773</v>
      </c>
      <c r="W695" s="198">
        <v>49.389999000000003</v>
      </c>
      <c r="X695" s="349">
        <f t="shared" si="32"/>
        <v>1.6223483751298673E-3</v>
      </c>
      <c r="Y695" s="198">
        <v>1888.530029</v>
      </c>
      <c r="Z695" s="349">
        <f t="shared" si="33"/>
        <v>-4.7010051544701392E-3</v>
      </c>
      <c r="AA695" s="324"/>
      <c r="AB695" s="324"/>
      <c r="AC695" s="324"/>
      <c r="AD695" s="324"/>
      <c r="AE695" s="324"/>
      <c r="AF695" s="324"/>
    </row>
    <row r="696" spans="1:32">
      <c r="A696" s="324"/>
      <c r="B696" s="244"/>
      <c r="C696" s="294"/>
      <c r="D696" s="235"/>
      <c r="E696" s="294"/>
      <c r="F696" s="235"/>
      <c r="G696" s="324"/>
      <c r="H696" s="324"/>
      <c r="I696" s="324"/>
      <c r="J696" s="324"/>
      <c r="K696" s="324"/>
      <c r="L696" s="324"/>
      <c r="M696" s="294"/>
      <c r="N696" s="235"/>
      <c r="O696" s="324"/>
      <c r="P696" s="235"/>
      <c r="Q696" s="324"/>
      <c r="R696" s="324"/>
      <c r="S696" s="324"/>
      <c r="T696" s="324"/>
      <c r="U696" s="324"/>
      <c r="V696" s="377">
        <v>41772</v>
      </c>
      <c r="W696" s="198">
        <v>49.310001</v>
      </c>
      <c r="X696" s="349">
        <f t="shared" si="32"/>
        <v>-1.3799980000000045E-2</v>
      </c>
      <c r="Y696" s="198">
        <v>1897.4499510000001</v>
      </c>
      <c r="Z696" s="349">
        <f t="shared" si="33"/>
        <v>4.2175783084807961E-4</v>
      </c>
      <c r="AA696" s="324"/>
      <c r="AB696" s="324"/>
      <c r="AC696" s="324"/>
      <c r="AD696" s="324"/>
      <c r="AE696" s="324"/>
      <c r="AF696" s="324"/>
    </row>
    <row r="697" spans="1:32">
      <c r="A697" s="324"/>
      <c r="B697" s="244"/>
      <c r="C697" s="294"/>
      <c r="D697" s="235"/>
      <c r="E697" s="294"/>
      <c r="F697" s="235"/>
      <c r="G697" s="324"/>
      <c r="H697" s="324"/>
      <c r="I697" s="324"/>
      <c r="J697" s="324"/>
      <c r="K697" s="324"/>
      <c r="L697" s="324"/>
      <c r="M697" s="294"/>
      <c r="N697" s="235"/>
      <c r="O697" s="324"/>
      <c r="P697" s="235"/>
      <c r="Q697" s="324"/>
      <c r="R697" s="324"/>
      <c r="S697" s="324"/>
      <c r="T697" s="324"/>
      <c r="U697" s="324"/>
      <c r="V697" s="377">
        <v>41771</v>
      </c>
      <c r="W697" s="198">
        <v>50</v>
      </c>
      <c r="X697" s="349">
        <f t="shared" si="32"/>
        <v>2.5851414614221913E-2</v>
      </c>
      <c r="Y697" s="198">
        <v>1896.650024</v>
      </c>
      <c r="Z697" s="349">
        <f t="shared" si="33"/>
        <v>9.6727376354577288E-3</v>
      </c>
      <c r="AA697" s="324"/>
      <c r="AB697" s="324"/>
      <c r="AC697" s="324"/>
      <c r="AD697" s="324"/>
      <c r="AE697" s="324"/>
      <c r="AF697" s="324"/>
    </row>
    <row r="698" spans="1:32">
      <c r="A698" s="324"/>
      <c r="B698" s="244"/>
      <c r="C698" s="294"/>
      <c r="D698" s="235"/>
      <c r="E698" s="294"/>
      <c r="F698" s="235"/>
      <c r="G698" s="324"/>
      <c r="H698" s="324"/>
      <c r="I698" s="324"/>
      <c r="J698" s="324"/>
      <c r="K698" s="324"/>
      <c r="L698" s="324"/>
      <c r="M698" s="294"/>
      <c r="N698" s="235"/>
      <c r="O698" s="324"/>
      <c r="P698" s="235"/>
      <c r="Q698" s="324"/>
      <c r="R698" s="324"/>
      <c r="S698" s="324"/>
      <c r="T698" s="324"/>
      <c r="U698" s="324"/>
      <c r="V698" s="377">
        <v>41768</v>
      </c>
      <c r="W698" s="198">
        <v>48.740001999999997</v>
      </c>
      <c r="X698" s="349">
        <f t="shared" si="32"/>
        <v>8.483343327815307E-3</v>
      </c>
      <c r="Y698" s="198">
        <v>1878.4799800000001</v>
      </c>
      <c r="Z698" s="349">
        <f t="shared" si="33"/>
        <v>1.5194761186390071E-3</v>
      </c>
      <c r="AA698" s="324"/>
      <c r="AB698" s="324"/>
      <c r="AC698" s="324"/>
      <c r="AD698" s="324"/>
      <c r="AE698" s="324"/>
      <c r="AF698" s="324"/>
    </row>
    <row r="699" spans="1:32">
      <c r="A699" s="324"/>
      <c r="B699" s="244"/>
      <c r="C699" s="294"/>
      <c r="D699" s="235"/>
      <c r="E699" s="294"/>
      <c r="F699" s="235"/>
      <c r="G699" s="324"/>
      <c r="H699" s="324"/>
      <c r="I699" s="324"/>
      <c r="J699" s="324"/>
      <c r="K699" s="324"/>
      <c r="L699" s="324"/>
      <c r="M699" s="294"/>
      <c r="N699" s="235"/>
      <c r="O699" s="324"/>
      <c r="P699" s="235"/>
      <c r="Q699" s="324"/>
      <c r="R699" s="324"/>
      <c r="S699" s="324"/>
      <c r="T699" s="324"/>
      <c r="U699" s="324"/>
      <c r="V699" s="377">
        <v>41767</v>
      </c>
      <c r="W699" s="198">
        <v>48.330002</v>
      </c>
      <c r="X699" s="349">
        <f t="shared" si="32"/>
        <v>-8.8186221828803202E-3</v>
      </c>
      <c r="Y699" s="198">
        <v>1875.630005</v>
      </c>
      <c r="Z699" s="349">
        <f t="shared" si="33"/>
        <v>-1.3736249160485325E-3</v>
      </c>
      <c r="AA699" s="324"/>
      <c r="AB699" s="324"/>
      <c r="AC699" s="324"/>
      <c r="AD699" s="324"/>
      <c r="AE699" s="324"/>
      <c r="AF699" s="324"/>
    </row>
    <row r="700" spans="1:32">
      <c r="A700" s="324"/>
      <c r="B700" s="244"/>
      <c r="C700" s="294"/>
      <c r="D700" s="235"/>
      <c r="E700" s="294"/>
      <c r="F700" s="235"/>
      <c r="G700" s="324"/>
      <c r="H700" s="324"/>
      <c r="I700" s="324"/>
      <c r="J700" s="324"/>
      <c r="K700" s="324"/>
      <c r="L700" s="324"/>
      <c r="M700" s="294"/>
      <c r="N700" s="235"/>
      <c r="O700" s="324"/>
      <c r="P700" s="235"/>
      <c r="Q700" s="324"/>
      <c r="R700" s="324"/>
      <c r="S700" s="324"/>
      <c r="T700" s="324"/>
      <c r="U700" s="324"/>
      <c r="V700" s="377">
        <v>41766</v>
      </c>
      <c r="W700" s="198">
        <v>48.759998000000003</v>
      </c>
      <c r="X700" s="349">
        <f t="shared" si="32"/>
        <v>-2.0467252958098481E-3</v>
      </c>
      <c r="Y700" s="198">
        <v>1878.209961</v>
      </c>
      <c r="Z700" s="349">
        <f t="shared" si="33"/>
        <v>5.6164682944326305E-3</v>
      </c>
      <c r="AA700" s="324"/>
      <c r="AB700" s="324"/>
      <c r="AC700" s="324"/>
      <c r="AD700" s="324"/>
      <c r="AE700" s="324"/>
      <c r="AF700" s="324"/>
    </row>
    <row r="701" spans="1:32">
      <c r="A701" s="324"/>
      <c r="B701" s="244"/>
      <c r="C701" s="294"/>
      <c r="D701" s="235"/>
      <c r="E701" s="294"/>
      <c r="F701" s="235"/>
      <c r="G701" s="324"/>
      <c r="H701" s="324"/>
      <c r="I701" s="324"/>
      <c r="J701" s="324"/>
      <c r="K701" s="324"/>
      <c r="L701" s="324"/>
      <c r="M701" s="294"/>
      <c r="N701" s="235"/>
      <c r="O701" s="324"/>
      <c r="P701" s="235"/>
      <c r="Q701" s="324"/>
      <c r="R701" s="324"/>
      <c r="S701" s="324"/>
      <c r="T701" s="324"/>
      <c r="U701" s="324"/>
      <c r="V701" s="377">
        <v>41765</v>
      </c>
      <c r="W701" s="198">
        <v>48.860000999999997</v>
      </c>
      <c r="X701" s="349">
        <f t="shared" si="32"/>
        <v>-1.1331384513613374E-2</v>
      </c>
      <c r="Y701" s="198">
        <v>1867.719971</v>
      </c>
      <c r="Z701" s="349">
        <f t="shared" si="33"/>
        <v>-8.9883919085642638E-3</v>
      </c>
      <c r="AA701" s="324"/>
      <c r="AB701" s="324"/>
      <c r="AC701" s="324"/>
      <c r="AD701" s="324"/>
      <c r="AE701" s="324"/>
      <c r="AF701" s="324"/>
    </row>
    <row r="702" spans="1:32">
      <c r="A702" s="324"/>
      <c r="B702" s="244"/>
      <c r="C702" s="294"/>
      <c r="D702" s="235"/>
      <c r="E702" s="294"/>
      <c r="F702" s="235"/>
      <c r="G702" s="324"/>
      <c r="H702" s="324"/>
      <c r="I702" s="324"/>
      <c r="J702" s="324"/>
      <c r="K702" s="324"/>
      <c r="L702" s="324"/>
      <c r="M702" s="294"/>
      <c r="N702" s="235"/>
      <c r="O702" s="324"/>
      <c r="P702" s="235"/>
      <c r="Q702" s="324"/>
      <c r="R702" s="324"/>
      <c r="S702" s="324"/>
      <c r="T702" s="324"/>
      <c r="U702" s="324"/>
      <c r="V702" s="377">
        <v>41764</v>
      </c>
      <c r="W702" s="198">
        <v>49.419998</v>
      </c>
      <c r="X702" s="349">
        <f t="shared" si="32"/>
        <v>1.7500473543339501E-2</v>
      </c>
      <c r="Y702" s="198">
        <v>1884.660034</v>
      </c>
      <c r="Z702" s="349">
        <f t="shared" si="33"/>
        <v>1.8712158435478798E-3</v>
      </c>
      <c r="AA702" s="324"/>
      <c r="AB702" s="324"/>
      <c r="AC702" s="324"/>
      <c r="AD702" s="324"/>
      <c r="AE702" s="324"/>
      <c r="AF702" s="324"/>
    </row>
    <row r="703" spans="1:32">
      <c r="A703" s="324"/>
      <c r="B703" s="244"/>
      <c r="C703" s="294"/>
      <c r="D703" s="235"/>
      <c r="E703" s="294"/>
      <c r="F703" s="235"/>
      <c r="G703" s="324"/>
      <c r="H703" s="324"/>
      <c r="I703" s="324"/>
      <c r="J703" s="324"/>
      <c r="K703" s="324"/>
      <c r="L703" s="324"/>
      <c r="M703" s="294"/>
      <c r="N703" s="235"/>
      <c r="O703" s="324"/>
      <c r="P703" s="235"/>
      <c r="Q703" s="324"/>
      <c r="R703" s="324"/>
      <c r="S703" s="324"/>
      <c r="T703" s="324"/>
      <c r="U703" s="324"/>
      <c r="V703" s="377">
        <v>41761</v>
      </c>
      <c r="W703" s="198">
        <v>48.57</v>
      </c>
      <c r="X703" s="349">
        <f t="shared" si="32"/>
        <v>-3.6923076923076614E-3</v>
      </c>
      <c r="Y703" s="198">
        <v>1881.1400149999999</v>
      </c>
      <c r="Z703" s="349">
        <f t="shared" si="33"/>
        <v>-1.3484450263229197E-3</v>
      </c>
      <c r="AA703" s="324"/>
      <c r="AB703" s="324"/>
      <c r="AC703" s="324"/>
      <c r="AD703" s="324"/>
      <c r="AE703" s="324"/>
      <c r="AF703" s="324"/>
    </row>
    <row r="704" spans="1:32">
      <c r="A704" s="324"/>
      <c r="B704" s="244"/>
      <c r="C704" s="294"/>
      <c r="D704" s="235"/>
      <c r="E704" s="294"/>
      <c r="F704" s="235"/>
      <c r="G704" s="324"/>
      <c r="H704" s="324"/>
      <c r="I704" s="324"/>
      <c r="J704" s="324"/>
      <c r="K704" s="324"/>
      <c r="L704" s="324"/>
      <c r="M704" s="294"/>
      <c r="N704" s="235"/>
      <c r="O704" s="324"/>
      <c r="P704" s="235"/>
      <c r="Q704" s="324"/>
      <c r="R704" s="324"/>
      <c r="S704" s="324"/>
      <c r="T704" s="324"/>
      <c r="U704" s="324"/>
      <c r="V704" s="377">
        <v>41760</v>
      </c>
      <c r="W704" s="198">
        <v>48.75</v>
      </c>
      <c r="X704" s="349">
        <f t="shared" si="32"/>
        <v>2.0554572639071012E-3</v>
      </c>
      <c r="Y704" s="198">
        <v>1883.6800539999999</v>
      </c>
      <c r="Z704" s="349">
        <f t="shared" si="33"/>
        <v>-1.4326123677377289E-4</v>
      </c>
      <c r="AA704" s="324"/>
      <c r="AB704" s="324"/>
      <c r="AC704" s="324"/>
      <c r="AD704" s="324"/>
      <c r="AE704" s="324"/>
      <c r="AF704" s="324"/>
    </row>
    <row r="705" spans="1:32">
      <c r="A705" s="324"/>
      <c r="B705" s="244"/>
      <c r="C705" s="294"/>
      <c r="D705" s="235"/>
      <c r="E705" s="294"/>
      <c r="F705" s="235"/>
      <c r="G705" s="324"/>
      <c r="H705" s="324"/>
      <c r="I705" s="324"/>
      <c r="J705" s="324"/>
      <c r="K705" s="324"/>
      <c r="L705" s="324"/>
      <c r="M705" s="294"/>
      <c r="N705" s="235"/>
      <c r="O705" s="324"/>
      <c r="P705" s="235"/>
      <c r="Q705" s="324"/>
      <c r="R705" s="324"/>
      <c r="S705" s="324"/>
      <c r="T705" s="324"/>
      <c r="U705" s="324"/>
      <c r="V705" s="377">
        <v>41759</v>
      </c>
      <c r="W705" s="198">
        <v>48.650002000000001</v>
      </c>
      <c r="X705" s="349">
        <f t="shared" si="32"/>
        <v>2.4727591690245632E-3</v>
      </c>
      <c r="Y705" s="198">
        <v>1883.9499510000001</v>
      </c>
      <c r="Z705" s="349">
        <f t="shared" si="33"/>
        <v>2.9920169148385245E-3</v>
      </c>
      <c r="AA705" s="324"/>
      <c r="AB705" s="324"/>
      <c r="AC705" s="324"/>
      <c r="AD705" s="324"/>
      <c r="AE705" s="324"/>
      <c r="AF705" s="324"/>
    </row>
    <row r="706" spans="1:32">
      <c r="A706" s="324"/>
      <c r="B706" s="244"/>
      <c r="C706" s="294"/>
      <c r="D706" s="235"/>
      <c r="E706" s="294"/>
      <c r="F706" s="235"/>
      <c r="G706" s="324"/>
      <c r="H706" s="324"/>
      <c r="I706" s="324"/>
      <c r="J706" s="324"/>
      <c r="K706" s="324"/>
      <c r="L706" s="324"/>
      <c r="M706" s="294"/>
      <c r="N706" s="235"/>
      <c r="O706" s="324"/>
      <c r="P706" s="235"/>
      <c r="Q706" s="324"/>
      <c r="R706" s="324"/>
      <c r="S706" s="324"/>
      <c r="T706" s="324"/>
      <c r="U706" s="324"/>
      <c r="V706" s="377">
        <v>41758</v>
      </c>
      <c r="W706" s="198">
        <v>48.529998999999997</v>
      </c>
      <c r="X706" s="349">
        <f t="shared" si="32"/>
        <v>7.0554058322349622E-3</v>
      </c>
      <c r="Y706" s="198">
        <v>1878.329956</v>
      </c>
      <c r="Z706" s="349">
        <f t="shared" si="33"/>
        <v>4.7607568846756987E-3</v>
      </c>
      <c r="AA706" s="324"/>
      <c r="AB706" s="324"/>
      <c r="AC706" s="324"/>
      <c r="AD706" s="324"/>
      <c r="AE706" s="324"/>
      <c r="AF706" s="324"/>
    </row>
    <row r="707" spans="1:32">
      <c r="A707" s="324"/>
      <c r="B707" s="244"/>
      <c r="C707" s="294"/>
      <c r="D707" s="235"/>
      <c r="E707" s="294"/>
      <c r="F707" s="235"/>
      <c r="G707" s="324"/>
      <c r="H707" s="324"/>
      <c r="I707" s="324"/>
      <c r="J707" s="324"/>
      <c r="K707" s="324"/>
      <c r="L707" s="324"/>
      <c r="M707" s="294"/>
      <c r="N707" s="235"/>
      <c r="O707" s="324"/>
      <c r="P707" s="235"/>
      <c r="Q707" s="324"/>
      <c r="R707" s="324"/>
      <c r="S707" s="324"/>
      <c r="T707" s="324"/>
      <c r="U707" s="324"/>
      <c r="V707" s="377">
        <v>41757</v>
      </c>
      <c r="W707" s="198">
        <v>48.189999</v>
      </c>
      <c r="X707" s="349">
        <f t="shared" si="32"/>
        <v>-3.7213149415198377E-3</v>
      </c>
      <c r="Y707" s="198">
        <v>1869.4300539999999</v>
      </c>
      <c r="Z707" s="349">
        <f t="shared" si="33"/>
        <v>3.2360362360925876E-3</v>
      </c>
      <c r="AA707" s="324"/>
      <c r="AB707" s="324"/>
      <c r="AC707" s="324"/>
      <c r="AD707" s="324"/>
      <c r="AE707" s="324"/>
      <c r="AF707" s="324"/>
    </row>
    <row r="708" spans="1:32">
      <c r="A708" s="324"/>
      <c r="B708" s="244"/>
      <c r="C708" s="294"/>
      <c r="D708" s="235"/>
      <c r="E708" s="294"/>
      <c r="F708" s="235"/>
      <c r="G708" s="324"/>
      <c r="H708" s="324"/>
      <c r="I708" s="324"/>
      <c r="J708" s="324"/>
      <c r="K708" s="324"/>
      <c r="L708" s="324"/>
      <c r="M708" s="294"/>
      <c r="N708" s="235"/>
      <c r="O708" s="324"/>
      <c r="P708" s="235"/>
      <c r="Q708" s="324"/>
      <c r="R708" s="324"/>
      <c r="S708" s="324"/>
      <c r="T708" s="324"/>
      <c r="U708" s="324"/>
      <c r="V708" s="377">
        <v>41754</v>
      </c>
      <c r="W708" s="198">
        <v>48.369999</v>
      </c>
      <c r="X708" s="349">
        <f t="shared" si="32"/>
        <v>-2.5387910026437477E-2</v>
      </c>
      <c r="Y708" s="198">
        <v>1863.400024</v>
      </c>
      <c r="Z708" s="349">
        <f t="shared" si="33"/>
        <v>-8.0963910132735295E-3</v>
      </c>
      <c r="AA708" s="324"/>
      <c r="AB708" s="324"/>
      <c r="AC708" s="324"/>
      <c r="AD708" s="324"/>
      <c r="AE708" s="324"/>
      <c r="AF708" s="324"/>
    </row>
    <row r="709" spans="1:32">
      <c r="A709" s="324"/>
      <c r="B709" s="244"/>
      <c r="C709" s="294"/>
      <c r="D709" s="235"/>
      <c r="E709" s="294"/>
      <c r="F709" s="235"/>
      <c r="G709" s="324"/>
      <c r="H709" s="324"/>
      <c r="I709" s="324"/>
      <c r="J709" s="324"/>
      <c r="K709" s="324"/>
      <c r="L709" s="324"/>
      <c r="M709" s="294"/>
      <c r="N709" s="235"/>
      <c r="O709" s="324"/>
      <c r="P709" s="235"/>
      <c r="Q709" s="324"/>
      <c r="R709" s="324"/>
      <c r="S709" s="324"/>
      <c r="T709" s="324"/>
      <c r="U709" s="324"/>
      <c r="V709" s="377">
        <v>41753</v>
      </c>
      <c r="W709" s="198">
        <v>49.630001</v>
      </c>
      <c r="X709" s="349">
        <f t="shared" si="32"/>
        <v>-8.3915685992321798E-3</v>
      </c>
      <c r="Y709" s="198">
        <v>1878.6099850000001</v>
      </c>
      <c r="Z709" s="349">
        <f t="shared" si="33"/>
        <v>1.7169601918778366E-3</v>
      </c>
      <c r="AA709" s="324"/>
      <c r="AB709" s="324"/>
      <c r="AC709" s="324"/>
      <c r="AD709" s="324"/>
      <c r="AE709" s="324"/>
      <c r="AF709" s="324"/>
    </row>
    <row r="710" spans="1:32">
      <c r="A710" s="324"/>
      <c r="B710" s="244"/>
      <c r="C710" s="294"/>
      <c r="D710" s="235"/>
      <c r="E710" s="294"/>
      <c r="F710" s="235"/>
      <c r="G710" s="324"/>
      <c r="H710" s="324"/>
      <c r="I710" s="324"/>
      <c r="J710" s="324"/>
      <c r="K710" s="324"/>
      <c r="L710" s="324"/>
      <c r="M710" s="294"/>
      <c r="N710" s="235"/>
      <c r="O710" s="324"/>
      <c r="P710" s="235"/>
      <c r="Q710" s="324"/>
      <c r="R710" s="324"/>
      <c r="S710" s="324"/>
      <c r="T710" s="324"/>
      <c r="U710" s="324"/>
      <c r="V710" s="377">
        <v>41752</v>
      </c>
      <c r="W710" s="198">
        <v>50.049999</v>
      </c>
      <c r="X710" s="349">
        <f t="shared" si="32"/>
        <v>-1.669946889196583E-2</v>
      </c>
      <c r="Y710" s="198">
        <v>1875.3900149999999</v>
      </c>
      <c r="Z710" s="349">
        <f t="shared" si="33"/>
        <v>-2.2133137674165138E-3</v>
      </c>
      <c r="AA710" s="324"/>
      <c r="AB710" s="324"/>
      <c r="AC710" s="324"/>
      <c r="AD710" s="324"/>
      <c r="AE710" s="324"/>
      <c r="AF710" s="324"/>
    </row>
    <row r="711" spans="1:32">
      <c r="A711" s="324"/>
      <c r="B711" s="244"/>
      <c r="C711" s="294"/>
      <c r="D711" s="235"/>
      <c r="E711" s="294"/>
      <c r="F711" s="235"/>
      <c r="G711" s="324"/>
      <c r="H711" s="324"/>
      <c r="I711" s="324"/>
      <c r="J711" s="324"/>
      <c r="K711" s="324"/>
      <c r="L711" s="324"/>
      <c r="M711" s="294"/>
      <c r="N711" s="235"/>
      <c r="O711" s="324"/>
      <c r="P711" s="235"/>
      <c r="Q711" s="324"/>
      <c r="R711" s="324"/>
      <c r="S711" s="324"/>
      <c r="T711" s="324"/>
      <c r="U711" s="324"/>
      <c r="V711" s="377">
        <v>41751</v>
      </c>
      <c r="W711" s="198">
        <v>50.900002000000001</v>
      </c>
      <c r="X711" s="349">
        <f t="shared" si="32"/>
        <v>-5.8900451600230053E-4</v>
      </c>
      <c r="Y711" s="198">
        <v>1879.5500489999999</v>
      </c>
      <c r="Z711" s="349">
        <f t="shared" si="33"/>
        <v>4.092138928365463E-3</v>
      </c>
      <c r="AA711" s="324"/>
      <c r="AB711" s="324"/>
      <c r="AC711" s="324"/>
      <c r="AD711" s="324"/>
      <c r="AE711" s="324"/>
      <c r="AF711" s="324"/>
    </row>
    <row r="712" spans="1:32">
      <c r="A712" s="324"/>
      <c r="B712" s="244"/>
      <c r="C712" s="294"/>
      <c r="D712" s="235"/>
      <c r="E712" s="294"/>
      <c r="F712" s="235"/>
      <c r="G712" s="324"/>
      <c r="H712" s="324"/>
      <c r="I712" s="324"/>
      <c r="J712" s="324"/>
      <c r="K712" s="324"/>
      <c r="L712" s="324"/>
      <c r="M712" s="294"/>
      <c r="N712" s="235"/>
      <c r="O712" s="324"/>
      <c r="P712" s="235"/>
      <c r="Q712" s="324"/>
      <c r="R712" s="324"/>
      <c r="S712" s="324"/>
      <c r="T712" s="324"/>
      <c r="U712" s="324"/>
      <c r="V712" s="377">
        <v>41750</v>
      </c>
      <c r="W712" s="198">
        <v>50.93</v>
      </c>
      <c r="X712" s="349">
        <f t="shared" si="32"/>
        <v>7.517329525565275E-3</v>
      </c>
      <c r="Y712" s="198">
        <v>1871.8900149999999</v>
      </c>
      <c r="Z712" s="349">
        <f t="shared" si="33"/>
        <v>3.7751235169600772E-3</v>
      </c>
      <c r="AA712" s="324"/>
      <c r="AB712" s="324"/>
      <c r="AC712" s="324"/>
      <c r="AD712" s="324"/>
      <c r="AE712" s="324"/>
      <c r="AF712" s="324"/>
    </row>
    <row r="713" spans="1:32">
      <c r="A713" s="324"/>
      <c r="B713" s="244"/>
      <c r="C713" s="294"/>
      <c r="D713" s="235"/>
      <c r="E713" s="294"/>
      <c r="F713" s="235"/>
      <c r="G713" s="324"/>
      <c r="H713" s="324"/>
      <c r="I713" s="324"/>
      <c r="J713" s="324"/>
      <c r="K713" s="324"/>
      <c r="L713" s="324"/>
      <c r="M713" s="294"/>
      <c r="N713" s="235"/>
      <c r="O713" s="324"/>
      <c r="P713" s="235"/>
      <c r="Q713" s="324"/>
      <c r="R713" s="324"/>
      <c r="S713" s="324"/>
      <c r="T713" s="324"/>
      <c r="U713" s="324"/>
      <c r="V713" s="377">
        <v>41746</v>
      </c>
      <c r="W713" s="198">
        <v>50.549999</v>
      </c>
      <c r="X713" s="349">
        <f t="shared" ref="X713:X776" si="34">W713/W714-1</f>
        <v>-1.3828526547382536E-3</v>
      </c>
      <c r="Y713" s="198">
        <v>1864.849976</v>
      </c>
      <c r="Z713" s="349">
        <f t="shared" ref="Z713:Z776" si="35">Y713/Y714-1</f>
        <v>1.3638529136033029E-3</v>
      </c>
      <c r="AA713" s="324"/>
      <c r="AB713" s="324"/>
      <c r="AC713" s="324"/>
      <c r="AD713" s="324"/>
      <c r="AE713" s="324"/>
      <c r="AF713" s="324"/>
    </row>
    <row r="714" spans="1:32">
      <c r="A714" s="324"/>
      <c r="B714" s="244"/>
      <c r="C714" s="294"/>
      <c r="D714" s="235"/>
      <c r="E714" s="294"/>
      <c r="F714" s="235"/>
      <c r="G714" s="324"/>
      <c r="H714" s="324"/>
      <c r="I714" s="324"/>
      <c r="J714" s="324"/>
      <c r="K714" s="324"/>
      <c r="L714" s="324"/>
      <c r="M714" s="294"/>
      <c r="N714" s="235"/>
      <c r="O714" s="324"/>
      <c r="P714" s="235"/>
      <c r="Q714" s="324"/>
      <c r="R714" s="324"/>
      <c r="S714" s="324"/>
      <c r="T714" s="324"/>
      <c r="U714" s="324"/>
      <c r="V714" s="377">
        <v>41745</v>
      </c>
      <c r="W714" s="198">
        <v>50.619999</v>
      </c>
      <c r="X714" s="349">
        <f t="shared" si="34"/>
        <v>1.0379261891387603E-2</v>
      </c>
      <c r="Y714" s="198">
        <v>1862.3100589999999</v>
      </c>
      <c r="Z714" s="349">
        <f t="shared" si="35"/>
        <v>1.0488491036131586E-2</v>
      </c>
      <c r="AA714" s="324"/>
      <c r="AB714" s="324"/>
      <c r="AC714" s="324"/>
      <c r="AD714" s="324"/>
      <c r="AE714" s="324"/>
      <c r="AF714" s="324"/>
    </row>
    <row r="715" spans="1:32">
      <c r="A715" s="324"/>
      <c r="B715" s="244"/>
      <c r="C715" s="294"/>
      <c r="D715" s="235"/>
      <c r="E715" s="294"/>
      <c r="F715" s="235"/>
      <c r="G715" s="324"/>
      <c r="H715" s="324"/>
      <c r="I715" s="324"/>
      <c r="J715" s="324"/>
      <c r="K715" s="324"/>
      <c r="L715" s="324"/>
      <c r="M715" s="294"/>
      <c r="N715" s="235"/>
      <c r="O715" s="324"/>
      <c r="P715" s="235"/>
      <c r="Q715" s="324"/>
      <c r="R715" s="324"/>
      <c r="S715" s="324"/>
      <c r="T715" s="324"/>
      <c r="U715" s="324"/>
      <c r="V715" s="377">
        <v>41744</v>
      </c>
      <c r="W715" s="198">
        <v>50.099997999999999</v>
      </c>
      <c r="X715" s="349">
        <f t="shared" si="34"/>
        <v>5.4183421465645587E-3</v>
      </c>
      <c r="Y715" s="198">
        <v>1842.9799800000001</v>
      </c>
      <c r="Z715" s="349">
        <f t="shared" si="35"/>
        <v>6.757307728767703E-3</v>
      </c>
      <c r="AA715" s="324"/>
      <c r="AB715" s="324"/>
      <c r="AC715" s="324"/>
      <c r="AD715" s="324"/>
      <c r="AE715" s="324"/>
      <c r="AF715" s="324"/>
    </row>
    <row r="716" spans="1:32">
      <c r="A716" s="324"/>
      <c r="B716" s="244"/>
      <c r="C716" s="294"/>
      <c r="D716" s="235"/>
      <c r="E716" s="294"/>
      <c r="F716" s="235"/>
      <c r="G716" s="324"/>
      <c r="H716" s="324"/>
      <c r="I716" s="324"/>
      <c r="J716" s="324"/>
      <c r="K716" s="324"/>
      <c r="L716" s="324"/>
      <c r="M716" s="294"/>
      <c r="N716" s="235"/>
      <c r="O716" s="324"/>
      <c r="P716" s="235"/>
      <c r="Q716" s="324"/>
      <c r="R716" s="324"/>
      <c r="S716" s="324"/>
      <c r="T716" s="324"/>
      <c r="U716" s="324"/>
      <c r="V716" s="377">
        <v>41743</v>
      </c>
      <c r="W716" s="198">
        <v>49.830002</v>
      </c>
      <c r="X716" s="349">
        <f t="shared" si="34"/>
        <v>9.5219001312418783E-3</v>
      </c>
      <c r="Y716" s="198">
        <v>1830.6099850000001</v>
      </c>
      <c r="Z716" s="349">
        <f t="shared" si="35"/>
        <v>8.2172862574667604E-3</v>
      </c>
      <c r="AA716" s="324"/>
      <c r="AB716" s="324"/>
      <c r="AC716" s="324"/>
      <c r="AD716" s="324"/>
      <c r="AE716" s="324"/>
      <c r="AF716" s="324"/>
    </row>
    <row r="717" spans="1:32">
      <c r="A717" s="324"/>
      <c r="B717" s="244"/>
      <c r="C717" s="294"/>
      <c r="D717" s="235"/>
      <c r="E717" s="294"/>
      <c r="F717" s="235"/>
      <c r="G717" s="324"/>
      <c r="H717" s="324"/>
      <c r="I717" s="324"/>
      <c r="J717" s="324"/>
      <c r="K717" s="324"/>
      <c r="L717" s="324"/>
      <c r="M717" s="294"/>
      <c r="N717" s="235"/>
      <c r="O717" s="324"/>
      <c r="P717" s="235"/>
      <c r="Q717" s="324"/>
      <c r="R717" s="324"/>
      <c r="S717" s="324"/>
      <c r="T717" s="324"/>
      <c r="U717" s="324"/>
      <c r="V717" s="377">
        <v>41740</v>
      </c>
      <c r="W717" s="198">
        <v>49.360000999999997</v>
      </c>
      <c r="X717" s="349">
        <f t="shared" si="34"/>
        <v>-1.3194702119152413E-2</v>
      </c>
      <c r="Y717" s="198">
        <v>1815.6899410000001</v>
      </c>
      <c r="Z717" s="349">
        <f t="shared" si="35"/>
        <v>-9.4867738546151603E-3</v>
      </c>
      <c r="AA717" s="324"/>
      <c r="AB717" s="324"/>
      <c r="AC717" s="324"/>
      <c r="AD717" s="324"/>
      <c r="AE717" s="324"/>
      <c r="AF717" s="324"/>
    </row>
    <row r="718" spans="1:32">
      <c r="A718" s="324"/>
      <c r="B718" s="244"/>
      <c r="C718" s="294"/>
      <c r="D718" s="235"/>
      <c r="E718" s="294"/>
      <c r="F718" s="235"/>
      <c r="G718" s="324"/>
      <c r="H718" s="324"/>
      <c r="I718" s="324"/>
      <c r="J718" s="324"/>
      <c r="K718" s="324"/>
      <c r="L718" s="324"/>
      <c r="M718" s="294"/>
      <c r="N718" s="235"/>
      <c r="O718" s="324"/>
      <c r="P718" s="235"/>
      <c r="Q718" s="324"/>
      <c r="R718" s="324"/>
      <c r="S718" s="324"/>
      <c r="T718" s="324"/>
      <c r="U718" s="324"/>
      <c r="V718" s="377">
        <v>41739</v>
      </c>
      <c r="W718" s="198">
        <v>50.02</v>
      </c>
      <c r="X718" s="349">
        <f t="shared" si="34"/>
        <v>-3.918557358460284E-2</v>
      </c>
      <c r="Y718" s="198">
        <v>1833.079956</v>
      </c>
      <c r="Z718" s="349">
        <f t="shared" si="35"/>
        <v>-2.0884795731297645E-2</v>
      </c>
      <c r="AA718" s="324"/>
      <c r="AB718" s="324"/>
      <c r="AC718" s="324"/>
      <c r="AD718" s="324"/>
      <c r="AE718" s="324"/>
      <c r="AF718" s="324"/>
    </row>
    <row r="719" spans="1:32">
      <c r="A719" s="324"/>
      <c r="B719" s="244"/>
      <c r="C719" s="294"/>
      <c r="D719" s="235"/>
      <c r="E719" s="294"/>
      <c r="F719" s="235"/>
      <c r="G719" s="324"/>
      <c r="H719" s="324"/>
      <c r="I719" s="324"/>
      <c r="J719" s="324"/>
      <c r="K719" s="324"/>
      <c r="L719" s="324"/>
      <c r="M719" s="294"/>
      <c r="N719" s="235"/>
      <c r="O719" s="324"/>
      <c r="P719" s="235"/>
      <c r="Q719" s="324"/>
      <c r="R719" s="324"/>
      <c r="S719" s="324"/>
      <c r="T719" s="324"/>
      <c r="U719" s="324"/>
      <c r="V719" s="377">
        <v>41738</v>
      </c>
      <c r="W719" s="198">
        <v>52.060001</v>
      </c>
      <c r="X719" s="349">
        <f t="shared" si="34"/>
        <v>4.0991863267020978E-2</v>
      </c>
      <c r="Y719" s="198">
        <v>1872.1800539999999</v>
      </c>
      <c r="Z719" s="349">
        <f t="shared" si="35"/>
        <v>1.091821282630856E-2</v>
      </c>
      <c r="AA719" s="324"/>
      <c r="AB719" s="324"/>
      <c r="AC719" s="324"/>
      <c r="AD719" s="324"/>
      <c r="AE719" s="324"/>
      <c r="AF719" s="324"/>
    </row>
    <row r="720" spans="1:32">
      <c r="A720" s="324"/>
      <c r="B720" s="244"/>
      <c r="C720" s="294"/>
      <c r="D720" s="235"/>
      <c r="E720" s="294"/>
      <c r="F720" s="235"/>
      <c r="G720" s="324"/>
      <c r="H720" s="324"/>
      <c r="I720" s="324"/>
      <c r="J720" s="324"/>
      <c r="K720" s="324"/>
      <c r="L720" s="324"/>
      <c r="M720" s="294"/>
      <c r="N720" s="235"/>
      <c r="O720" s="324"/>
      <c r="P720" s="235"/>
      <c r="Q720" s="324"/>
      <c r="R720" s="324"/>
      <c r="S720" s="324"/>
      <c r="T720" s="324"/>
      <c r="U720" s="324"/>
      <c r="V720" s="377">
        <v>41737</v>
      </c>
      <c r="W720" s="198">
        <v>50.009998000000003</v>
      </c>
      <c r="X720" s="349">
        <f t="shared" si="34"/>
        <v>3.2096290154315366E-3</v>
      </c>
      <c r="Y720" s="198">
        <v>1851.959961</v>
      </c>
      <c r="Z720" s="349">
        <f t="shared" si="35"/>
        <v>3.7505538382520687E-3</v>
      </c>
      <c r="AA720" s="324"/>
      <c r="AB720" s="324"/>
      <c r="AC720" s="324"/>
      <c r="AD720" s="324"/>
      <c r="AE720" s="324"/>
      <c r="AF720" s="324"/>
    </row>
    <row r="721" spans="1:32">
      <c r="A721" s="324"/>
      <c r="B721" s="244"/>
      <c r="C721" s="294"/>
      <c r="D721" s="235"/>
      <c r="E721" s="294"/>
      <c r="F721" s="235"/>
      <c r="G721" s="324"/>
      <c r="H721" s="324"/>
      <c r="I721" s="324"/>
      <c r="J721" s="324"/>
      <c r="K721" s="324"/>
      <c r="L721" s="324"/>
      <c r="M721" s="294"/>
      <c r="N721" s="235"/>
      <c r="O721" s="324"/>
      <c r="P721" s="235"/>
      <c r="Q721" s="324"/>
      <c r="R721" s="324"/>
      <c r="S721" s="324"/>
      <c r="T721" s="324"/>
      <c r="U721" s="324"/>
      <c r="V721" s="377">
        <v>41736</v>
      </c>
      <c r="W721" s="198">
        <v>49.849997999999999</v>
      </c>
      <c r="X721" s="349">
        <f t="shared" si="34"/>
        <v>-1.2088803251859015E-2</v>
      </c>
      <c r="Y721" s="198">
        <v>1845.040039</v>
      </c>
      <c r="Z721" s="349">
        <f t="shared" si="35"/>
        <v>-1.0750112522990185E-2</v>
      </c>
      <c r="AA721" s="324"/>
      <c r="AB721" s="324"/>
      <c r="AC721" s="324"/>
      <c r="AD721" s="324"/>
      <c r="AE721" s="324"/>
      <c r="AF721" s="324"/>
    </row>
    <row r="722" spans="1:32">
      <c r="A722" s="324"/>
      <c r="B722" s="244"/>
      <c r="C722" s="294"/>
      <c r="D722" s="235"/>
      <c r="E722" s="294"/>
      <c r="F722" s="235"/>
      <c r="G722" s="324"/>
      <c r="H722" s="324"/>
      <c r="I722" s="324"/>
      <c r="J722" s="324"/>
      <c r="K722" s="324"/>
      <c r="L722" s="324"/>
      <c r="M722" s="294"/>
      <c r="N722" s="235"/>
      <c r="O722" s="324"/>
      <c r="P722" s="235"/>
      <c r="Q722" s="324"/>
      <c r="R722" s="324"/>
      <c r="S722" s="324"/>
      <c r="T722" s="324"/>
      <c r="U722" s="324"/>
      <c r="V722" s="377">
        <v>41733</v>
      </c>
      <c r="W722" s="198">
        <v>50.459999000000003</v>
      </c>
      <c r="X722" s="349">
        <f t="shared" si="34"/>
        <v>-1.7140650564861692E-2</v>
      </c>
      <c r="Y722" s="198">
        <v>1865.089966</v>
      </c>
      <c r="Z722" s="349">
        <f t="shared" si="35"/>
        <v>-1.2537288155389015E-2</v>
      </c>
      <c r="AA722" s="324"/>
      <c r="AB722" s="324"/>
      <c r="AC722" s="324"/>
      <c r="AD722" s="324"/>
      <c r="AE722" s="324"/>
      <c r="AF722" s="324"/>
    </row>
    <row r="723" spans="1:32">
      <c r="A723" s="324"/>
      <c r="B723" s="244"/>
      <c r="C723" s="294"/>
      <c r="D723" s="235"/>
      <c r="E723" s="294"/>
      <c r="F723" s="235"/>
      <c r="G723" s="324"/>
      <c r="H723" s="324"/>
      <c r="I723" s="324"/>
      <c r="J723" s="324"/>
      <c r="K723" s="324"/>
      <c r="L723" s="324"/>
      <c r="M723" s="294"/>
      <c r="N723" s="235"/>
      <c r="O723" s="324"/>
      <c r="P723" s="235"/>
      <c r="Q723" s="324"/>
      <c r="R723" s="324"/>
      <c r="S723" s="324"/>
      <c r="T723" s="324"/>
      <c r="U723" s="324"/>
      <c r="V723" s="377">
        <v>41732</v>
      </c>
      <c r="W723" s="198">
        <v>51.34</v>
      </c>
      <c r="X723" s="349">
        <f t="shared" si="34"/>
        <v>-3.3327075252738037E-2</v>
      </c>
      <c r="Y723" s="198">
        <v>1888.7700199999999</v>
      </c>
      <c r="Z723" s="349">
        <f t="shared" si="35"/>
        <v>-1.1264498244039078E-3</v>
      </c>
      <c r="AA723" s="324"/>
      <c r="AB723" s="324"/>
      <c r="AC723" s="324"/>
      <c r="AD723" s="324"/>
      <c r="AE723" s="324"/>
      <c r="AF723" s="324"/>
    </row>
    <row r="724" spans="1:32">
      <c r="A724" s="324"/>
      <c r="B724" s="244"/>
      <c r="C724" s="294"/>
      <c r="D724" s="235"/>
      <c r="E724" s="294"/>
      <c r="F724" s="235"/>
      <c r="G724" s="324"/>
      <c r="H724" s="324"/>
      <c r="I724" s="324"/>
      <c r="J724" s="324"/>
      <c r="K724" s="324"/>
      <c r="L724" s="324"/>
      <c r="M724" s="294"/>
      <c r="N724" s="235"/>
      <c r="O724" s="324"/>
      <c r="P724" s="235"/>
      <c r="Q724" s="324"/>
      <c r="R724" s="324"/>
      <c r="S724" s="324"/>
      <c r="T724" s="324"/>
      <c r="U724" s="324"/>
      <c r="V724" s="377">
        <v>41731</v>
      </c>
      <c r="W724" s="198">
        <v>53.110000999999997</v>
      </c>
      <c r="X724" s="349">
        <f t="shared" si="34"/>
        <v>-1.1171067048428074E-2</v>
      </c>
      <c r="Y724" s="198">
        <v>1890.900024</v>
      </c>
      <c r="Z724" s="349">
        <f t="shared" si="35"/>
        <v>2.8533263730607938E-3</v>
      </c>
      <c r="AA724" s="324"/>
      <c r="AB724" s="324"/>
      <c r="AC724" s="324"/>
      <c r="AD724" s="324"/>
      <c r="AE724" s="324"/>
      <c r="AF724" s="324"/>
    </row>
    <row r="725" spans="1:32">
      <c r="A725" s="324"/>
      <c r="B725" s="244"/>
      <c r="C725" s="294"/>
      <c r="D725" s="235"/>
      <c r="E725" s="294"/>
      <c r="F725" s="235"/>
      <c r="G725" s="324"/>
      <c r="H725" s="324"/>
      <c r="I725" s="324"/>
      <c r="J725" s="324"/>
      <c r="K725" s="324"/>
      <c r="L725" s="324"/>
      <c r="M725" s="294"/>
      <c r="N725" s="235"/>
      <c r="O725" s="324"/>
      <c r="P725" s="235"/>
      <c r="Q725" s="324"/>
      <c r="R725" s="324"/>
      <c r="S725" s="324"/>
      <c r="T725" s="324"/>
      <c r="U725" s="324"/>
      <c r="V725" s="377">
        <v>41730</v>
      </c>
      <c r="W725" s="198">
        <v>53.709999000000003</v>
      </c>
      <c r="X725" s="349">
        <f t="shared" si="34"/>
        <v>1.3778765571914153E-2</v>
      </c>
      <c r="Y725" s="198">
        <v>1885.5200199999999</v>
      </c>
      <c r="Z725" s="349">
        <f t="shared" si="35"/>
        <v>7.0393487504074592E-3</v>
      </c>
      <c r="AA725" s="324"/>
      <c r="AB725" s="324"/>
      <c r="AC725" s="324"/>
      <c r="AD725" s="324"/>
      <c r="AE725" s="324"/>
      <c r="AF725" s="324"/>
    </row>
    <row r="726" spans="1:32">
      <c r="A726" s="324"/>
      <c r="B726" s="244"/>
      <c r="C726" s="294"/>
      <c r="D726" s="235"/>
      <c r="E726" s="294"/>
      <c r="F726" s="235"/>
      <c r="G726" s="324"/>
      <c r="H726" s="324"/>
      <c r="I726" s="324"/>
      <c r="J726" s="324"/>
      <c r="K726" s="324"/>
      <c r="L726" s="324"/>
      <c r="M726" s="294"/>
      <c r="N726" s="235"/>
      <c r="O726" s="324"/>
      <c r="P726" s="235"/>
      <c r="Q726" s="324"/>
      <c r="R726" s="324"/>
      <c r="S726" s="324"/>
      <c r="T726" s="324"/>
      <c r="U726" s="324"/>
      <c r="V726" s="377">
        <v>41729</v>
      </c>
      <c r="W726" s="198">
        <v>52.98</v>
      </c>
      <c r="X726" s="349">
        <f t="shared" si="34"/>
        <v>1.4359563469270586E-2</v>
      </c>
      <c r="Y726" s="198">
        <v>1872.339966</v>
      </c>
      <c r="Z726" s="349">
        <f t="shared" si="35"/>
        <v>7.9241023673413125E-3</v>
      </c>
      <c r="AA726" s="324"/>
      <c r="AB726" s="324"/>
      <c r="AC726" s="324"/>
      <c r="AD726" s="324"/>
      <c r="AE726" s="324"/>
      <c r="AF726" s="324"/>
    </row>
    <row r="727" spans="1:32">
      <c r="A727" s="324"/>
      <c r="B727" s="244"/>
      <c r="C727" s="294"/>
      <c r="D727" s="235"/>
      <c r="E727" s="294"/>
      <c r="F727" s="235"/>
      <c r="G727" s="324"/>
      <c r="H727" s="324"/>
      <c r="I727" s="324"/>
      <c r="J727" s="324"/>
      <c r="K727" s="324"/>
      <c r="L727" s="324"/>
      <c r="M727" s="294"/>
      <c r="N727" s="235"/>
      <c r="O727" s="324"/>
      <c r="P727" s="235"/>
      <c r="Q727" s="324"/>
      <c r="R727" s="324"/>
      <c r="S727" s="324"/>
      <c r="T727" s="324"/>
      <c r="U727" s="324"/>
      <c r="V727" s="377">
        <v>41726</v>
      </c>
      <c r="W727" s="198">
        <v>52.23</v>
      </c>
      <c r="X727" s="349">
        <f t="shared" si="34"/>
        <v>-6.9481577240663173E-2</v>
      </c>
      <c r="Y727" s="198">
        <v>1857.619995</v>
      </c>
      <c r="Z727" s="349">
        <f t="shared" si="35"/>
        <v>4.6402218551417906E-3</v>
      </c>
      <c r="AA727" s="324"/>
      <c r="AB727" s="324"/>
      <c r="AC727" s="324"/>
      <c r="AD727" s="324"/>
      <c r="AE727" s="324"/>
      <c r="AF727" s="324"/>
    </row>
    <row r="728" spans="1:32">
      <c r="A728" s="324"/>
      <c r="B728" s="244"/>
      <c r="C728" s="294"/>
      <c r="D728" s="235"/>
      <c r="E728" s="294"/>
      <c r="F728" s="235"/>
      <c r="G728" s="324"/>
      <c r="H728" s="324"/>
      <c r="I728" s="324"/>
      <c r="J728" s="324"/>
      <c r="K728" s="324"/>
      <c r="L728" s="324"/>
      <c r="M728" s="294"/>
      <c r="N728" s="235"/>
      <c r="O728" s="324"/>
      <c r="P728" s="235"/>
      <c r="Q728" s="324"/>
      <c r="R728" s="324"/>
      <c r="S728" s="324"/>
      <c r="T728" s="324"/>
      <c r="U728" s="324"/>
      <c r="V728" s="377">
        <v>41725</v>
      </c>
      <c r="W728" s="198">
        <v>56.130001</v>
      </c>
      <c r="X728" s="349">
        <f t="shared" si="34"/>
        <v>2.6795462665238912E-3</v>
      </c>
      <c r="Y728" s="198">
        <v>1849.040039</v>
      </c>
      <c r="Z728" s="349">
        <f t="shared" si="35"/>
        <v>-1.9000841472853747E-3</v>
      </c>
      <c r="AA728" s="324"/>
      <c r="AB728" s="324"/>
      <c r="AC728" s="324"/>
      <c r="AD728" s="324"/>
      <c r="AE728" s="324"/>
      <c r="AF728" s="324"/>
    </row>
    <row r="729" spans="1:32">
      <c r="A729" s="324"/>
      <c r="B729" s="244"/>
      <c r="C729" s="294"/>
      <c r="D729" s="235"/>
      <c r="E729" s="294"/>
      <c r="F729" s="235"/>
      <c r="G729" s="324"/>
      <c r="H729" s="324"/>
      <c r="I729" s="324"/>
      <c r="J729" s="324"/>
      <c r="K729" s="324"/>
      <c r="L729" s="324"/>
      <c r="M729" s="294"/>
      <c r="N729" s="235"/>
      <c r="O729" s="324"/>
      <c r="P729" s="235"/>
      <c r="Q729" s="324"/>
      <c r="R729" s="324"/>
      <c r="S729" s="324"/>
      <c r="T729" s="324"/>
      <c r="U729" s="324"/>
      <c r="V729" s="377">
        <v>41724</v>
      </c>
      <c r="W729" s="198">
        <v>55.98</v>
      </c>
      <c r="X729" s="349">
        <f t="shared" si="34"/>
        <v>-2.3207136220430358E-2</v>
      </c>
      <c r="Y729" s="198">
        <v>1852.5600589999999</v>
      </c>
      <c r="Z729" s="349">
        <f t="shared" si="35"/>
        <v>-7.0003194836042448E-3</v>
      </c>
      <c r="AA729" s="324"/>
      <c r="AB729" s="324"/>
      <c r="AC729" s="324"/>
      <c r="AD729" s="324"/>
      <c r="AE729" s="324"/>
      <c r="AF729" s="324"/>
    </row>
    <row r="730" spans="1:32">
      <c r="A730" s="324"/>
      <c r="B730" s="244"/>
      <c r="C730" s="294"/>
      <c r="D730" s="235"/>
      <c r="E730" s="294"/>
      <c r="F730" s="235"/>
      <c r="G730" s="324"/>
      <c r="H730" s="324"/>
      <c r="I730" s="324"/>
      <c r="J730" s="324"/>
      <c r="K730" s="324"/>
      <c r="L730" s="324"/>
      <c r="M730" s="294"/>
      <c r="N730" s="235"/>
      <c r="O730" s="324"/>
      <c r="P730" s="235"/>
      <c r="Q730" s="324"/>
      <c r="R730" s="324"/>
      <c r="S730" s="324"/>
      <c r="T730" s="324"/>
      <c r="U730" s="324"/>
      <c r="V730" s="377">
        <v>41723</v>
      </c>
      <c r="W730" s="198">
        <v>57.310001</v>
      </c>
      <c r="X730" s="349">
        <f t="shared" si="34"/>
        <v>3.8535820634086893E-3</v>
      </c>
      <c r="Y730" s="198">
        <v>1865.619995</v>
      </c>
      <c r="Z730" s="349">
        <f t="shared" si="35"/>
        <v>4.4039399710529281E-3</v>
      </c>
      <c r="AA730" s="324"/>
      <c r="AB730" s="324"/>
      <c r="AC730" s="324"/>
      <c r="AD730" s="324"/>
      <c r="AE730" s="324"/>
      <c r="AF730" s="324"/>
    </row>
    <row r="731" spans="1:32">
      <c r="A731" s="324"/>
      <c r="B731" s="244"/>
      <c r="C731" s="294"/>
      <c r="D731" s="235"/>
      <c r="E731" s="294"/>
      <c r="F731" s="235"/>
      <c r="G731" s="324"/>
      <c r="H731" s="324"/>
      <c r="I731" s="324"/>
      <c r="J731" s="324"/>
      <c r="K731" s="324"/>
      <c r="L731" s="324"/>
      <c r="M731" s="294"/>
      <c r="N731" s="235"/>
      <c r="O731" s="324"/>
      <c r="P731" s="235"/>
      <c r="Q731" s="324"/>
      <c r="R731" s="324"/>
      <c r="S731" s="324"/>
      <c r="T731" s="324"/>
      <c r="U731" s="324"/>
      <c r="V731" s="377">
        <v>41722</v>
      </c>
      <c r="W731" s="198">
        <v>57.09</v>
      </c>
      <c r="X731" s="349">
        <f t="shared" si="34"/>
        <v>-5.4007315191382244E-3</v>
      </c>
      <c r="Y731" s="198">
        <v>1857.4399410000001</v>
      </c>
      <c r="Z731" s="349">
        <f t="shared" si="35"/>
        <v>-4.864710210823131E-3</v>
      </c>
      <c r="AA731" s="324"/>
      <c r="AB731" s="324"/>
      <c r="AC731" s="324"/>
      <c r="AD731" s="324"/>
      <c r="AE731" s="324"/>
      <c r="AF731" s="324"/>
    </row>
    <row r="732" spans="1:32">
      <c r="A732" s="324"/>
      <c r="B732" s="244"/>
      <c r="C732" s="294"/>
      <c r="D732" s="235"/>
      <c r="E732" s="294"/>
      <c r="F732" s="235"/>
      <c r="G732" s="324"/>
      <c r="H732" s="324"/>
      <c r="I732" s="324"/>
      <c r="J732" s="324"/>
      <c r="K732" s="324"/>
      <c r="L732" s="324"/>
      <c r="M732" s="294"/>
      <c r="N732" s="235"/>
      <c r="O732" s="324"/>
      <c r="P732" s="235"/>
      <c r="Q732" s="324"/>
      <c r="R732" s="324"/>
      <c r="S732" s="324"/>
      <c r="T732" s="324"/>
      <c r="U732" s="324"/>
      <c r="V732" s="377">
        <v>41719</v>
      </c>
      <c r="W732" s="198">
        <v>57.400002000000001</v>
      </c>
      <c r="X732" s="349">
        <f t="shared" si="34"/>
        <v>-1.829996548144408E-2</v>
      </c>
      <c r="Y732" s="198">
        <v>1866.5200199999999</v>
      </c>
      <c r="Z732" s="349">
        <f t="shared" si="35"/>
        <v>-2.9326712841669655E-3</v>
      </c>
      <c r="AA732" s="324"/>
      <c r="AB732" s="324"/>
      <c r="AC732" s="324"/>
      <c r="AD732" s="324"/>
      <c r="AE732" s="324"/>
      <c r="AF732" s="324"/>
    </row>
    <row r="733" spans="1:32">
      <c r="A733" s="324"/>
      <c r="B733" s="244"/>
      <c r="C733" s="294"/>
      <c r="D733" s="235"/>
      <c r="E733" s="294"/>
      <c r="F733" s="235"/>
      <c r="G733" s="324"/>
      <c r="H733" s="324"/>
      <c r="I733" s="324"/>
      <c r="J733" s="324"/>
      <c r="K733" s="324"/>
      <c r="L733" s="324"/>
      <c r="M733" s="294"/>
      <c r="N733" s="235"/>
      <c r="O733" s="324"/>
      <c r="P733" s="235"/>
      <c r="Q733" s="324"/>
      <c r="R733" s="324"/>
      <c r="S733" s="324"/>
      <c r="T733" s="324"/>
      <c r="U733" s="324"/>
      <c r="V733" s="377">
        <v>41718</v>
      </c>
      <c r="W733" s="198">
        <v>58.470001000000003</v>
      </c>
      <c r="X733" s="349">
        <f t="shared" si="34"/>
        <v>3.949158518229634E-3</v>
      </c>
      <c r="Y733" s="198">
        <v>1872.01001</v>
      </c>
      <c r="Z733" s="349">
        <f t="shared" si="35"/>
        <v>6.0405046723615019E-3</v>
      </c>
      <c r="AA733" s="324"/>
      <c r="AB733" s="324"/>
      <c r="AC733" s="324"/>
      <c r="AD733" s="324"/>
      <c r="AE733" s="324"/>
      <c r="AF733" s="324"/>
    </row>
    <row r="734" spans="1:32">
      <c r="A734" s="324"/>
      <c r="B734" s="244"/>
      <c r="C734" s="294"/>
      <c r="D734" s="235"/>
      <c r="E734" s="294"/>
      <c r="F734" s="235"/>
      <c r="G734" s="324"/>
      <c r="H734" s="324"/>
      <c r="I734" s="324"/>
      <c r="J734" s="324"/>
      <c r="K734" s="324"/>
      <c r="L734" s="324"/>
      <c r="M734" s="294"/>
      <c r="N734" s="235"/>
      <c r="O734" s="324"/>
      <c r="P734" s="235"/>
      <c r="Q734" s="324"/>
      <c r="R734" s="324"/>
      <c r="S734" s="324"/>
      <c r="T734" s="324"/>
      <c r="U734" s="324"/>
      <c r="V734" s="377">
        <v>41717</v>
      </c>
      <c r="W734" s="198">
        <v>58.240001999999997</v>
      </c>
      <c r="X734" s="349">
        <f t="shared" si="34"/>
        <v>-9.6922120440026127E-3</v>
      </c>
      <c r="Y734" s="198">
        <v>1860.7700199999999</v>
      </c>
      <c r="Z734" s="349">
        <f t="shared" si="35"/>
        <v>-6.1316490853251526E-3</v>
      </c>
      <c r="AA734" s="324"/>
      <c r="AB734" s="324"/>
      <c r="AC734" s="324"/>
      <c r="AD734" s="324"/>
      <c r="AE734" s="324"/>
      <c r="AF734" s="324"/>
    </row>
    <row r="735" spans="1:32">
      <c r="A735" s="324"/>
      <c r="B735" s="244"/>
      <c r="C735" s="294"/>
      <c r="D735" s="235"/>
      <c r="E735" s="294"/>
      <c r="F735" s="235"/>
      <c r="G735" s="324"/>
      <c r="H735" s="324"/>
      <c r="I735" s="324"/>
      <c r="J735" s="324"/>
      <c r="K735" s="324"/>
      <c r="L735" s="324"/>
      <c r="M735" s="294"/>
      <c r="N735" s="235"/>
      <c r="O735" s="324"/>
      <c r="P735" s="235"/>
      <c r="Q735" s="324"/>
      <c r="R735" s="324"/>
      <c r="S735" s="324"/>
      <c r="T735" s="324"/>
      <c r="U735" s="324"/>
      <c r="V735" s="377">
        <v>41716</v>
      </c>
      <c r="W735" s="198">
        <v>58.810001</v>
      </c>
      <c r="X735" s="349">
        <f t="shared" si="34"/>
        <v>3.0701005787121538E-3</v>
      </c>
      <c r="Y735" s="198">
        <v>1872.25</v>
      </c>
      <c r="Z735" s="349">
        <f t="shared" si="35"/>
        <v>7.2196189633604302E-3</v>
      </c>
      <c r="AA735" s="324"/>
      <c r="AB735" s="324"/>
      <c r="AC735" s="324"/>
      <c r="AD735" s="324"/>
      <c r="AE735" s="324"/>
      <c r="AF735" s="324"/>
    </row>
    <row r="736" spans="1:32">
      <c r="A736" s="324"/>
      <c r="B736" s="244"/>
      <c r="C736" s="294"/>
      <c r="D736" s="235"/>
      <c r="E736" s="294"/>
      <c r="F736" s="235"/>
      <c r="G736" s="324"/>
      <c r="H736" s="324"/>
      <c r="I736" s="324"/>
      <c r="J736" s="324"/>
      <c r="K736" s="324"/>
      <c r="L736" s="324"/>
      <c r="M736" s="294"/>
      <c r="N736" s="235"/>
      <c r="O736" s="324"/>
      <c r="P736" s="235"/>
      <c r="Q736" s="324"/>
      <c r="R736" s="324"/>
      <c r="S736" s="324"/>
      <c r="T736" s="324"/>
      <c r="U736" s="324"/>
      <c r="V736" s="377">
        <v>41715</v>
      </c>
      <c r="W736" s="198">
        <v>58.630001</v>
      </c>
      <c r="X736" s="349">
        <f t="shared" si="34"/>
        <v>1.7528670904697563E-2</v>
      </c>
      <c r="Y736" s="198">
        <v>1858.829956</v>
      </c>
      <c r="Z736" s="349">
        <f t="shared" si="35"/>
        <v>9.6136345352755281E-3</v>
      </c>
      <c r="AA736" s="324"/>
      <c r="AB736" s="324"/>
      <c r="AC736" s="324"/>
      <c r="AD736" s="324"/>
      <c r="AE736" s="324"/>
      <c r="AF736" s="324"/>
    </row>
    <row r="737" spans="1:32">
      <c r="A737" s="324"/>
      <c r="B737" s="244"/>
      <c r="C737" s="294"/>
      <c r="D737" s="235"/>
      <c r="E737" s="294"/>
      <c r="F737" s="235"/>
      <c r="G737" s="324"/>
      <c r="H737" s="324"/>
      <c r="I737" s="324"/>
      <c r="J737" s="324"/>
      <c r="K737" s="324"/>
      <c r="L737" s="324"/>
      <c r="M737" s="294"/>
      <c r="N737" s="235"/>
      <c r="O737" s="324"/>
      <c r="P737" s="235"/>
      <c r="Q737" s="324"/>
      <c r="R737" s="324"/>
      <c r="S737" s="324"/>
      <c r="T737" s="324"/>
      <c r="U737" s="324"/>
      <c r="V737" s="377">
        <v>41712</v>
      </c>
      <c r="W737" s="198">
        <v>57.619999</v>
      </c>
      <c r="X737" s="349">
        <f t="shared" si="34"/>
        <v>3.6578819021078068E-3</v>
      </c>
      <c r="Y737" s="198">
        <v>1841.130005</v>
      </c>
      <c r="Z737" s="349">
        <f t="shared" si="35"/>
        <v>-2.8217777310465264E-3</v>
      </c>
      <c r="AA737" s="324"/>
      <c r="AB737" s="324"/>
      <c r="AC737" s="324"/>
      <c r="AD737" s="324"/>
      <c r="AE737" s="324"/>
      <c r="AF737" s="324"/>
    </row>
    <row r="738" spans="1:32">
      <c r="A738" s="324"/>
      <c r="B738" s="244"/>
      <c r="C738" s="294"/>
      <c r="D738" s="235"/>
      <c r="E738" s="294"/>
      <c r="F738" s="235"/>
      <c r="G738" s="324"/>
      <c r="H738" s="324"/>
      <c r="I738" s="324"/>
      <c r="J738" s="324"/>
      <c r="K738" s="324"/>
      <c r="L738" s="324"/>
      <c r="M738" s="294"/>
      <c r="N738" s="235"/>
      <c r="O738" s="324"/>
      <c r="P738" s="235"/>
      <c r="Q738" s="324"/>
      <c r="R738" s="324"/>
      <c r="S738" s="324"/>
      <c r="T738" s="324"/>
      <c r="U738" s="324"/>
      <c r="V738" s="377">
        <v>41711</v>
      </c>
      <c r="W738" s="198">
        <v>57.41</v>
      </c>
      <c r="X738" s="349">
        <f t="shared" si="34"/>
        <v>-2.859556780357253E-2</v>
      </c>
      <c r="Y738" s="198">
        <v>1846.339966</v>
      </c>
      <c r="Z738" s="349">
        <f t="shared" si="35"/>
        <v>-1.1701094943450174E-2</v>
      </c>
      <c r="AA738" s="324"/>
      <c r="AB738" s="324"/>
      <c r="AC738" s="324"/>
      <c r="AD738" s="324"/>
      <c r="AE738" s="324"/>
      <c r="AF738" s="324"/>
    </row>
    <row r="739" spans="1:32">
      <c r="A739" s="324"/>
      <c r="B739" s="244"/>
      <c r="C739" s="294"/>
      <c r="D739" s="235"/>
      <c r="E739" s="294"/>
      <c r="F739" s="235"/>
      <c r="G739" s="324"/>
      <c r="H739" s="324"/>
      <c r="I739" s="324"/>
      <c r="J739" s="324"/>
      <c r="K739" s="324"/>
      <c r="L739" s="324"/>
      <c r="M739" s="294"/>
      <c r="N739" s="235"/>
      <c r="O739" s="324"/>
      <c r="P739" s="235"/>
      <c r="Q739" s="324"/>
      <c r="R739" s="324"/>
      <c r="S739" s="324"/>
      <c r="T739" s="324"/>
      <c r="U739" s="324"/>
      <c r="V739" s="377">
        <v>41710</v>
      </c>
      <c r="W739" s="198">
        <v>59.099997999999999</v>
      </c>
      <c r="X739" s="349">
        <f t="shared" si="34"/>
        <v>7.3291292766022309E-3</v>
      </c>
      <c r="Y739" s="198">
        <v>1868.1999510000001</v>
      </c>
      <c r="Z739" s="349">
        <f t="shared" si="35"/>
        <v>3.0517072357705288E-4</v>
      </c>
      <c r="AA739" s="324"/>
      <c r="AB739" s="324"/>
      <c r="AC739" s="324"/>
      <c r="AD739" s="324"/>
      <c r="AE739" s="324"/>
      <c r="AF739" s="324"/>
    </row>
    <row r="740" spans="1:32">
      <c r="A740" s="324"/>
      <c r="B740" s="244"/>
      <c r="C740" s="294"/>
      <c r="D740" s="235"/>
      <c r="E740" s="294"/>
      <c r="F740" s="235"/>
      <c r="G740" s="324"/>
      <c r="H740" s="324"/>
      <c r="I740" s="324"/>
      <c r="J740" s="324"/>
      <c r="K740" s="324"/>
      <c r="L740" s="324"/>
      <c r="M740" s="294"/>
      <c r="N740" s="235"/>
      <c r="O740" s="324"/>
      <c r="P740" s="235"/>
      <c r="Q740" s="324"/>
      <c r="R740" s="324"/>
      <c r="S740" s="324"/>
      <c r="T740" s="324"/>
      <c r="U740" s="324"/>
      <c r="V740" s="377">
        <v>41709</v>
      </c>
      <c r="W740" s="198">
        <v>58.669998</v>
      </c>
      <c r="X740" s="349">
        <f t="shared" si="34"/>
        <v>-1.4115275218123946E-2</v>
      </c>
      <c r="Y740" s="198">
        <v>1867.630005</v>
      </c>
      <c r="Z740" s="349">
        <f t="shared" si="35"/>
        <v>-5.0821389519254412E-3</v>
      </c>
      <c r="AA740" s="324"/>
      <c r="AB740" s="324"/>
      <c r="AC740" s="324"/>
      <c r="AD740" s="324"/>
      <c r="AE740" s="324"/>
      <c r="AF740" s="324"/>
    </row>
    <row r="741" spans="1:32">
      <c r="A741" s="324"/>
      <c r="B741" s="244"/>
      <c r="C741" s="294"/>
      <c r="D741" s="235"/>
      <c r="E741" s="294"/>
      <c r="F741" s="235"/>
      <c r="G741" s="324"/>
      <c r="H741" s="324"/>
      <c r="I741" s="324"/>
      <c r="J741" s="324"/>
      <c r="K741" s="324"/>
      <c r="L741" s="324"/>
      <c r="M741" s="294"/>
      <c r="N741" s="235"/>
      <c r="O741" s="324"/>
      <c r="P741" s="235"/>
      <c r="Q741" s="324"/>
      <c r="R741" s="324"/>
      <c r="S741" s="324"/>
      <c r="T741" s="324"/>
      <c r="U741" s="324"/>
      <c r="V741" s="377">
        <v>41708</v>
      </c>
      <c r="W741" s="198">
        <v>59.509998000000003</v>
      </c>
      <c r="X741" s="349">
        <f t="shared" si="34"/>
        <v>-1.6688730998017154E-2</v>
      </c>
      <c r="Y741" s="198">
        <v>1877.170044</v>
      </c>
      <c r="Z741" s="349">
        <f t="shared" si="35"/>
        <v>-4.6324624711580054E-4</v>
      </c>
      <c r="AA741" s="324"/>
      <c r="AB741" s="324"/>
      <c r="AC741" s="324"/>
      <c r="AD741" s="324"/>
      <c r="AE741" s="324"/>
      <c r="AF741" s="324"/>
    </row>
    <row r="742" spans="1:32">
      <c r="A742" s="324"/>
      <c r="B742" s="244"/>
      <c r="C742" s="294"/>
      <c r="D742" s="235"/>
      <c r="E742" s="294"/>
      <c r="F742" s="235"/>
      <c r="G742" s="324"/>
      <c r="H742" s="324"/>
      <c r="I742" s="324"/>
      <c r="J742" s="324"/>
      <c r="K742" s="324"/>
      <c r="L742" s="324"/>
      <c r="M742" s="294"/>
      <c r="N742" s="235"/>
      <c r="O742" s="324"/>
      <c r="P742" s="235"/>
      <c r="Q742" s="324"/>
      <c r="R742" s="324"/>
      <c r="S742" s="324"/>
      <c r="T742" s="324"/>
      <c r="U742" s="324"/>
      <c r="V742" s="377">
        <v>41705</v>
      </c>
      <c r="W742" s="198">
        <v>60.52</v>
      </c>
      <c r="X742" s="349">
        <f t="shared" si="34"/>
        <v>-5.5866085181298653E-3</v>
      </c>
      <c r="Y742" s="198">
        <v>1878.040039</v>
      </c>
      <c r="Z742" s="349">
        <f t="shared" si="35"/>
        <v>5.3808942019850647E-4</v>
      </c>
      <c r="AA742" s="324"/>
      <c r="AB742" s="324"/>
      <c r="AC742" s="324"/>
      <c r="AD742" s="324"/>
      <c r="AE742" s="324"/>
      <c r="AF742" s="324"/>
    </row>
    <row r="743" spans="1:32">
      <c r="A743" s="324"/>
      <c r="B743" s="244"/>
      <c r="C743" s="294"/>
      <c r="D743" s="235"/>
      <c r="E743" s="294"/>
      <c r="F743" s="235"/>
      <c r="G743" s="324"/>
      <c r="H743" s="324"/>
      <c r="I743" s="324"/>
      <c r="J743" s="324"/>
      <c r="K743" s="324"/>
      <c r="L743" s="324"/>
      <c r="M743" s="294"/>
      <c r="N743" s="235"/>
      <c r="O743" s="324"/>
      <c r="P743" s="235"/>
      <c r="Q743" s="324"/>
      <c r="R743" s="324"/>
      <c r="S743" s="324"/>
      <c r="T743" s="324"/>
      <c r="U743" s="324"/>
      <c r="V743" s="377">
        <v>41704</v>
      </c>
      <c r="W743" s="198">
        <v>60.860000999999997</v>
      </c>
      <c r="X743" s="349">
        <f t="shared" si="34"/>
        <v>5.1197688706814404E-3</v>
      </c>
      <c r="Y743" s="198">
        <v>1877.030029</v>
      </c>
      <c r="Z743" s="349">
        <f t="shared" si="35"/>
        <v>1.7184078954717297E-3</v>
      </c>
      <c r="AA743" s="324"/>
      <c r="AB743" s="324"/>
      <c r="AC743" s="324"/>
      <c r="AD743" s="324"/>
      <c r="AE743" s="324"/>
      <c r="AF743" s="324"/>
    </row>
    <row r="744" spans="1:32">
      <c r="A744" s="324"/>
      <c r="B744" s="244"/>
      <c r="C744" s="294"/>
      <c r="D744" s="235"/>
      <c r="E744" s="294"/>
      <c r="F744" s="235"/>
      <c r="G744" s="324"/>
      <c r="H744" s="324"/>
      <c r="I744" s="324"/>
      <c r="J744" s="324"/>
      <c r="K744" s="324"/>
      <c r="L744" s="324"/>
      <c r="M744" s="294"/>
      <c r="N744" s="235"/>
      <c r="O744" s="324"/>
      <c r="P744" s="235"/>
      <c r="Q744" s="324"/>
      <c r="R744" s="324"/>
      <c r="S744" s="324"/>
      <c r="T744" s="324"/>
      <c r="U744" s="324"/>
      <c r="V744" s="377">
        <v>41703</v>
      </c>
      <c r="W744" s="198">
        <v>60.549999</v>
      </c>
      <c r="X744" s="349">
        <f t="shared" si="34"/>
        <v>9.9184985975031559E-4</v>
      </c>
      <c r="Y744" s="198">
        <v>1873.8100589999999</v>
      </c>
      <c r="Z744" s="349">
        <f t="shared" si="35"/>
        <v>-5.3351013755253973E-5</v>
      </c>
      <c r="AA744" s="324"/>
      <c r="AB744" s="324"/>
      <c r="AC744" s="324"/>
      <c r="AD744" s="324"/>
      <c r="AE744" s="324"/>
      <c r="AF744" s="324"/>
    </row>
    <row r="745" spans="1:32">
      <c r="A745" s="324"/>
      <c r="B745" s="244"/>
      <c r="C745" s="294"/>
      <c r="D745" s="235"/>
      <c r="E745" s="294"/>
      <c r="F745" s="235"/>
      <c r="G745" s="324"/>
      <c r="H745" s="324"/>
      <c r="I745" s="324"/>
      <c r="J745" s="324"/>
      <c r="K745" s="324"/>
      <c r="L745" s="324"/>
      <c r="M745" s="294"/>
      <c r="N745" s="235"/>
      <c r="O745" s="324"/>
      <c r="P745" s="235"/>
      <c r="Q745" s="324"/>
      <c r="R745" s="324"/>
      <c r="S745" s="324"/>
      <c r="T745" s="324"/>
      <c r="U745" s="324"/>
      <c r="V745" s="377">
        <v>41702</v>
      </c>
      <c r="W745" s="198">
        <v>60.490001999999997</v>
      </c>
      <c r="X745" s="349">
        <f t="shared" si="34"/>
        <v>3.7920436477701491E-2</v>
      </c>
      <c r="Y745" s="198">
        <v>1873.910034</v>
      </c>
      <c r="Z745" s="349">
        <f t="shared" si="35"/>
        <v>1.5267701291821645E-2</v>
      </c>
      <c r="AA745" s="324"/>
      <c r="AB745" s="324"/>
      <c r="AC745" s="324"/>
      <c r="AD745" s="324"/>
      <c r="AE745" s="324"/>
      <c r="AF745" s="324"/>
    </row>
    <row r="746" spans="1:32">
      <c r="A746" s="324"/>
      <c r="B746" s="244"/>
      <c r="C746" s="294"/>
      <c r="D746" s="235"/>
      <c r="E746" s="294"/>
      <c r="F746" s="235"/>
      <c r="G746" s="324"/>
      <c r="H746" s="324"/>
      <c r="I746" s="324"/>
      <c r="J746" s="324"/>
      <c r="K746" s="324"/>
      <c r="L746" s="324"/>
      <c r="M746" s="294"/>
      <c r="N746" s="235"/>
      <c r="O746" s="324"/>
      <c r="P746" s="235"/>
      <c r="Q746" s="324"/>
      <c r="R746" s="324"/>
      <c r="S746" s="324"/>
      <c r="T746" s="324"/>
      <c r="U746" s="324"/>
      <c r="V746" s="377">
        <v>41701</v>
      </c>
      <c r="W746" s="198">
        <v>58.279998999999997</v>
      </c>
      <c r="X746" s="349">
        <f t="shared" si="34"/>
        <v>-1.2035988742634784E-2</v>
      </c>
      <c r="Y746" s="198">
        <v>1845.7299800000001</v>
      </c>
      <c r="Z746" s="349">
        <f t="shared" si="35"/>
        <v>-7.3785105066267453E-3</v>
      </c>
      <c r="AA746" s="324"/>
      <c r="AB746" s="324"/>
      <c r="AC746" s="324"/>
      <c r="AD746" s="324"/>
      <c r="AE746" s="324"/>
      <c r="AF746" s="324"/>
    </row>
    <row r="747" spans="1:32">
      <c r="A747" s="324"/>
      <c r="B747" s="244"/>
      <c r="C747" s="294"/>
      <c r="D747" s="235"/>
      <c r="E747" s="294"/>
      <c r="F747" s="235"/>
      <c r="G747" s="324"/>
      <c r="H747" s="324"/>
      <c r="I747" s="324"/>
      <c r="J747" s="324"/>
      <c r="K747" s="324"/>
      <c r="L747" s="324"/>
      <c r="M747" s="294"/>
      <c r="N747" s="235"/>
      <c r="O747" s="324"/>
      <c r="P747" s="235"/>
      <c r="Q747" s="324"/>
      <c r="R747" s="324"/>
      <c r="S747" s="324"/>
      <c r="T747" s="324"/>
      <c r="U747" s="324"/>
      <c r="V747" s="377">
        <v>41698</v>
      </c>
      <c r="W747" s="198">
        <v>58.990001999999997</v>
      </c>
      <c r="X747" s="349">
        <f t="shared" si="34"/>
        <v>-1.5684932421158093E-2</v>
      </c>
      <c r="Y747" s="198">
        <v>1859.4499510000001</v>
      </c>
      <c r="Z747" s="349">
        <f t="shared" si="35"/>
        <v>2.7826887334101436E-3</v>
      </c>
      <c r="AA747" s="324"/>
      <c r="AB747" s="324"/>
      <c r="AC747" s="324"/>
      <c r="AD747" s="324"/>
      <c r="AE747" s="324"/>
      <c r="AF747" s="324"/>
    </row>
    <row r="748" spans="1:32">
      <c r="A748" s="324"/>
      <c r="B748" s="244"/>
      <c r="C748" s="294"/>
      <c r="D748" s="235"/>
      <c r="E748" s="294"/>
      <c r="F748" s="235"/>
      <c r="G748" s="324"/>
      <c r="H748" s="324"/>
      <c r="I748" s="324"/>
      <c r="J748" s="324"/>
      <c r="K748" s="324"/>
      <c r="L748" s="324"/>
      <c r="M748" s="294"/>
      <c r="N748" s="235"/>
      <c r="O748" s="324"/>
      <c r="P748" s="235"/>
      <c r="Q748" s="324"/>
      <c r="R748" s="324"/>
      <c r="S748" s="324"/>
      <c r="T748" s="324"/>
      <c r="U748" s="324"/>
      <c r="V748" s="377">
        <v>41697</v>
      </c>
      <c r="W748" s="198">
        <v>59.93</v>
      </c>
      <c r="X748" s="349">
        <f t="shared" si="34"/>
        <v>3.0125523012551891E-3</v>
      </c>
      <c r="Y748" s="198">
        <v>1854.290039</v>
      </c>
      <c r="Z748" s="349">
        <f t="shared" si="35"/>
        <v>4.94808300188887E-3</v>
      </c>
      <c r="AA748" s="324"/>
      <c r="AB748" s="324"/>
      <c r="AC748" s="324"/>
      <c r="AD748" s="324"/>
      <c r="AE748" s="324"/>
      <c r="AF748" s="324"/>
    </row>
    <row r="749" spans="1:32">
      <c r="A749" s="324"/>
      <c r="B749" s="244"/>
      <c r="C749" s="294"/>
      <c r="D749" s="235"/>
      <c r="E749" s="294"/>
      <c r="F749" s="235"/>
      <c r="G749" s="324"/>
      <c r="H749" s="324"/>
      <c r="I749" s="324"/>
      <c r="J749" s="324"/>
      <c r="K749" s="324"/>
      <c r="L749" s="324"/>
      <c r="M749" s="294"/>
      <c r="N749" s="235"/>
      <c r="O749" s="324"/>
      <c r="P749" s="235"/>
      <c r="Q749" s="324"/>
      <c r="R749" s="324"/>
      <c r="S749" s="324"/>
      <c r="T749" s="324"/>
      <c r="U749" s="324"/>
      <c r="V749" s="377">
        <v>41696</v>
      </c>
      <c r="W749" s="198">
        <v>59.75</v>
      </c>
      <c r="X749" s="349">
        <f t="shared" si="34"/>
        <v>1.3227047427046834E-2</v>
      </c>
      <c r="Y749" s="198">
        <v>1845.160034</v>
      </c>
      <c r="Z749" s="349">
        <f t="shared" si="35"/>
        <v>2.1699943693942458E-5</v>
      </c>
      <c r="AA749" s="324"/>
      <c r="AB749" s="324"/>
      <c r="AC749" s="324"/>
      <c r="AD749" s="324"/>
      <c r="AE749" s="324"/>
      <c r="AF749" s="324"/>
    </row>
    <row r="750" spans="1:32">
      <c r="A750" s="324"/>
      <c r="B750" s="244"/>
      <c r="C750" s="294"/>
      <c r="D750" s="235"/>
      <c r="E750" s="294"/>
      <c r="F750" s="235"/>
      <c r="G750" s="324"/>
      <c r="H750" s="324"/>
      <c r="I750" s="324"/>
      <c r="J750" s="324"/>
      <c r="K750" s="324"/>
      <c r="L750" s="324"/>
      <c r="M750" s="294"/>
      <c r="N750" s="235"/>
      <c r="O750" s="324"/>
      <c r="P750" s="235"/>
      <c r="Q750" s="324"/>
      <c r="R750" s="324"/>
      <c r="S750" s="324"/>
      <c r="T750" s="324"/>
      <c r="U750" s="324"/>
      <c r="V750" s="377">
        <v>41695</v>
      </c>
      <c r="W750" s="198">
        <v>58.970001000000003</v>
      </c>
      <c r="X750" s="349">
        <f t="shared" si="34"/>
        <v>1.3584989193156094E-3</v>
      </c>
      <c r="Y750" s="198">
        <v>1845.119995</v>
      </c>
      <c r="Z750" s="349">
        <f t="shared" si="35"/>
        <v>-1.3476816104130984E-3</v>
      </c>
      <c r="AA750" s="324"/>
      <c r="AB750" s="324"/>
      <c r="AC750" s="324"/>
      <c r="AD750" s="324"/>
      <c r="AE750" s="324"/>
      <c r="AF750" s="324"/>
    </row>
    <row r="751" spans="1:32">
      <c r="A751" s="324"/>
      <c r="B751" s="244"/>
      <c r="C751" s="294"/>
      <c r="D751" s="235"/>
      <c r="E751" s="294"/>
      <c r="F751" s="235"/>
      <c r="G751" s="324"/>
      <c r="H751" s="324"/>
      <c r="I751" s="324"/>
      <c r="J751" s="324"/>
      <c r="K751" s="324"/>
      <c r="L751" s="324"/>
      <c r="M751" s="294"/>
      <c r="N751" s="235"/>
      <c r="O751" s="324"/>
      <c r="P751" s="235"/>
      <c r="Q751" s="324"/>
      <c r="R751" s="324"/>
      <c r="S751" s="324"/>
      <c r="T751" s="324"/>
      <c r="U751" s="324"/>
      <c r="V751" s="377">
        <v>41694</v>
      </c>
      <c r="W751" s="198">
        <v>58.889999000000003</v>
      </c>
      <c r="X751" s="349">
        <f t="shared" si="34"/>
        <v>3.4077356177839579E-3</v>
      </c>
      <c r="Y751" s="198">
        <v>1847.6099850000001</v>
      </c>
      <c r="Z751" s="349">
        <f t="shared" si="35"/>
        <v>6.1865132743363915E-3</v>
      </c>
      <c r="AA751" s="324"/>
      <c r="AB751" s="324"/>
      <c r="AC751" s="324"/>
      <c r="AD751" s="324"/>
      <c r="AE751" s="324"/>
      <c r="AF751" s="324"/>
    </row>
    <row r="752" spans="1:32">
      <c r="A752" s="324"/>
      <c r="B752" s="244"/>
      <c r="C752" s="294"/>
      <c r="D752" s="235"/>
      <c r="E752" s="294"/>
      <c r="F752" s="235"/>
      <c r="G752" s="324"/>
      <c r="H752" s="324"/>
      <c r="I752" s="324"/>
      <c r="J752" s="324"/>
      <c r="K752" s="324"/>
      <c r="L752" s="324"/>
      <c r="M752" s="294"/>
      <c r="N752" s="235"/>
      <c r="O752" s="324"/>
      <c r="P752" s="235"/>
      <c r="Q752" s="324"/>
      <c r="R752" s="324"/>
      <c r="S752" s="324"/>
      <c r="T752" s="324"/>
      <c r="U752" s="324"/>
      <c r="V752" s="377">
        <v>41691</v>
      </c>
      <c r="W752" s="198">
        <v>58.689999</v>
      </c>
      <c r="X752" s="349">
        <f t="shared" si="34"/>
        <v>-1.028667808240602E-2</v>
      </c>
      <c r="Y752" s="198">
        <v>1836.25</v>
      </c>
      <c r="Z752" s="349">
        <f t="shared" si="35"/>
        <v>-1.9187234040792811E-3</v>
      </c>
      <c r="AA752" s="324"/>
      <c r="AB752" s="324"/>
      <c r="AC752" s="324"/>
      <c r="AD752" s="324"/>
      <c r="AE752" s="324"/>
      <c r="AF752" s="324"/>
    </row>
    <row r="753" spans="1:32">
      <c r="A753" s="324"/>
      <c r="B753" s="244"/>
      <c r="C753" s="294"/>
      <c r="D753" s="235"/>
      <c r="E753" s="294"/>
      <c r="F753" s="235"/>
      <c r="G753" s="324"/>
      <c r="H753" s="324"/>
      <c r="I753" s="324"/>
      <c r="J753" s="324"/>
      <c r="K753" s="324"/>
      <c r="L753" s="324"/>
      <c r="M753" s="294"/>
      <c r="N753" s="235"/>
      <c r="O753" s="324"/>
      <c r="P753" s="235"/>
      <c r="Q753" s="324"/>
      <c r="R753" s="324"/>
      <c r="S753" s="324"/>
      <c r="T753" s="324"/>
      <c r="U753" s="324"/>
      <c r="V753" s="377">
        <v>41690</v>
      </c>
      <c r="W753" s="198">
        <v>59.299999</v>
      </c>
      <c r="X753" s="349">
        <f t="shared" si="34"/>
        <v>1.1427562486311382E-2</v>
      </c>
      <c r="Y753" s="198">
        <v>1839.780029</v>
      </c>
      <c r="Z753" s="349">
        <f t="shared" si="35"/>
        <v>6.0314580997948841E-3</v>
      </c>
      <c r="AA753" s="324"/>
      <c r="AB753" s="324"/>
      <c r="AC753" s="324"/>
      <c r="AD753" s="324"/>
      <c r="AE753" s="324"/>
      <c r="AF753" s="324"/>
    </row>
    <row r="754" spans="1:32">
      <c r="A754" s="324"/>
      <c r="B754" s="244"/>
      <c r="C754" s="294"/>
      <c r="D754" s="235"/>
      <c r="E754" s="294"/>
      <c r="F754" s="235"/>
      <c r="G754" s="324"/>
      <c r="H754" s="324"/>
      <c r="I754" s="324"/>
      <c r="J754" s="324"/>
      <c r="K754" s="324"/>
      <c r="L754" s="324"/>
      <c r="M754" s="294"/>
      <c r="N754" s="235"/>
      <c r="O754" s="324"/>
      <c r="P754" s="235"/>
      <c r="Q754" s="324"/>
      <c r="R754" s="324"/>
      <c r="S754" s="324"/>
      <c r="T754" s="324"/>
      <c r="U754" s="324"/>
      <c r="V754" s="377">
        <v>41689</v>
      </c>
      <c r="W754" s="198">
        <v>58.630001</v>
      </c>
      <c r="X754" s="349">
        <f t="shared" si="34"/>
        <v>9.4696794259752082E-3</v>
      </c>
      <c r="Y754" s="198">
        <v>1828.75</v>
      </c>
      <c r="Z754" s="349">
        <f t="shared" si="35"/>
        <v>-6.5244844166295612E-3</v>
      </c>
      <c r="AA754" s="324"/>
      <c r="AB754" s="324"/>
      <c r="AC754" s="324"/>
      <c r="AD754" s="324"/>
      <c r="AE754" s="324"/>
      <c r="AF754" s="324"/>
    </row>
    <row r="755" spans="1:32">
      <c r="A755" s="324"/>
      <c r="B755" s="244"/>
      <c r="C755" s="294"/>
      <c r="D755" s="235"/>
      <c r="E755" s="294"/>
      <c r="F755" s="235"/>
      <c r="G755" s="324"/>
      <c r="H755" s="324"/>
      <c r="I755" s="324"/>
      <c r="J755" s="324"/>
      <c r="K755" s="324"/>
      <c r="L755" s="324"/>
      <c r="M755" s="294"/>
      <c r="N755" s="235"/>
      <c r="O755" s="324"/>
      <c r="P755" s="235"/>
      <c r="Q755" s="324"/>
      <c r="R755" s="324"/>
      <c r="S755" s="324"/>
      <c r="T755" s="324"/>
      <c r="U755" s="324"/>
      <c r="V755" s="377">
        <v>41688</v>
      </c>
      <c r="W755" s="198">
        <v>58.080002</v>
      </c>
      <c r="X755" s="349">
        <f t="shared" si="34"/>
        <v>-4.1151920438957657E-3</v>
      </c>
      <c r="Y755" s="198">
        <v>1840.76001</v>
      </c>
      <c r="Z755" s="349">
        <f t="shared" si="35"/>
        <v>1.15847396931823E-3</v>
      </c>
      <c r="AA755" s="324"/>
      <c r="AB755" s="324"/>
      <c r="AC755" s="324"/>
      <c r="AD755" s="324"/>
      <c r="AE755" s="324"/>
      <c r="AF755" s="324"/>
    </row>
    <row r="756" spans="1:32">
      <c r="A756" s="324"/>
      <c r="B756" s="244"/>
      <c r="C756" s="294"/>
      <c r="D756" s="235"/>
      <c r="E756" s="294"/>
      <c r="F756" s="235"/>
      <c r="G756" s="324"/>
      <c r="H756" s="324"/>
      <c r="I756" s="324"/>
      <c r="J756" s="324"/>
      <c r="K756" s="324"/>
      <c r="L756" s="324"/>
      <c r="M756" s="294"/>
      <c r="N756" s="235"/>
      <c r="O756" s="324"/>
      <c r="P756" s="235"/>
      <c r="Q756" s="324"/>
      <c r="R756" s="324"/>
      <c r="S756" s="324"/>
      <c r="T756" s="324"/>
      <c r="U756" s="324"/>
      <c r="V756" s="377">
        <v>41684</v>
      </c>
      <c r="W756" s="198">
        <v>58.32</v>
      </c>
      <c r="X756" s="349">
        <f t="shared" si="34"/>
        <v>-1.8825945575903225E-3</v>
      </c>
      <c r="Y756" s="198">
        <v>1838.630005</v>
      </c>
      <c r="Z756" s="349">
        <f t="shared" si="35"/>
        <v>4.809216818833173E-3</v>
      </c>
      <c r="AA756" s="324"/>
      <c r="AB756" s="324"/>
      <c r="AC756" s="324"/>
      <c r="AD756" s="324"/>
      <c r="AE756" s="324"/>
      <c r="AF756" s="324"/>
    </row>
    <row r="757" spans="1:32">
      <c r="A757" s="324"/>
      <c r="B757" s="244"/>
      <c r="C757" s="294"/>
      <c r="D757" s="235"/>
      <c r="E757" s="294"/>
      <c r="F757" s="235"/>
      <c r="G757" s="324"/>
      <c r="H757" s="324"/>
      <c r="I757" s="324"/>
      <c r="J757" s="324"/>
      <c r="K757" s="324"/>
      <c r="L757" s="324"/>
      <c r="M757" s="294"/>
      <c r="N757" s="235"/>
      <c r="O757" s="324"/>
      <c r="P757" s="235"/>
      <c r="Q757" s="324"/>
      <c r="R757" s="324"/>
      <c r="S757" s="324"/>
      <c r="T757" s="324"/>
      <c r="U757" s="324"/>
      <c r="V757" s="377">
        <v>41683</v>
      </c>
      <c r="W757" s="198">
        <v>58.43</v>
      </c>
      <c r="X757" s="349">
        <f t="shared" si="34"/>
        <v>1.282719731023052E-2</v>
      </c>
      <c r="Y757" s="198">
        <v>1829.829956</v>
      </c>
      <c r="Z757" s="349">
        <f t="shared" si="35"/>
        <v>5.8100249232653223E-3</v>
      </c>
      <c r="AA757" s="324"/>
      <c r="AB757" s="324"/>
      <c r="AC757" s="324"/>
      <c r="AD757" s="324"/>
      <c r="AE757" s="324"/>
      <c r="AF757" s="324"/>
    </row>
    <row r="758" spans="1:32">
      <c r="A758" s="324"/>
      <c r="B758" s="244"/>
      <c r="C758" s="294"/>
      <c r="D758" s="235"/>
      <c r="E758" s="294"/>
      <c r="F758" s="235"/>
      <c r="G758" s="324"/>
      <c r="H758" s="324"/>
      <c r="I758" s="324"/>
      <c r="J758" s="324"/>
      <c r="K758" s="324"/>
      <c r="L758" s="324"/>
      <c r="M758" s="294"/>
      <c r="N758" s="235"/>
      <c r="O758" s="324"/>
      <c r="P758" s="235"/>
      <c r="Q758" s="324"/>
      <c r="R758" s="324"/>
      <c r="S758" s="324"/>
      <c r="T758" s="324"/>
      <c r="U758" s="324"/>
      <c r="V758" s="377">
        <v>41682</v>
      </c>
      <c r="W758" s="198">
        <v>57.689999</v>
      </c>
      <c r="X758" s="349">
        <f t="shared" si="34"/>
        <v>3.6534272790536004E-3</v>
      </c>
      <c r="Y758" s="198">
        <v>1819.26001</v>
      </c>
      <c r="Z758" s="349">
        <f t="shared" si="35"/>
        <v>-2.6926226129964093E-4</v>
      </c>
      <c r="AA758" s="324"/>
      <c r="AB758" s="324"/>
      <c r="AC758" s="324"/>
      <c r="AD758" s="324"/>
      <c r="AE758" s="324"/>
      <c r="AF758" s="324"/>
    </row>
    <row r="759" spans="1:32">
      <c r="A759" s="324"/>
      <c r="B759" s="244"/>
      <c r="C759" s="294"/>
      <c r="D759" s="235"/>
      <c r="E759" s="294"/>
      <c r="F759" s="235"/>
      <c r="G759" s="324"/>
      <c r="H759" s="324"/>
      <c r="I759" s="324"/>
      <c r="J759" s="324"/>
      <c r="K759" s="324"/>
      <c r="L759" s="324"/>
      <c r="M759" s="294"/>
      <c r="N759" s="235"/>
      <c r="O759" s="324"/>
      <c r="P759" s="235"/>
      <c r="Q759" s="324"/>
      <c r="R759" s="324"/>
      <c r="S759" s="324"/>
      <c r="T759" s="324"/>
      <c r="U759" s="324"/>
      <c r="V759" s="377">
        <v>41681</v>
      </c>
      <c r="W759" s="198">
        <v>57.48</v>
      </c>
      <c r="X759" s="349">
        <f t="shared" si="34"/>
        <v>1.4293312662548407E-2</v>
      </c>
      <c r="Y759" s="198">
        <v>1819.75</v>
      </c>
      <c r="Z759" s="349">
        <f t="shared" si="35"/>
        <v>1.1062113507929405E-2</v>
      </c>
      <c r="AA759" s="324"/>
      <c r="AB759" s="324"/>
      <c r="AC759" s="324"/>
      <c r="AD759" s="324"/>
      <c r="AE759" s="324"/>
      <c r="AF759" s="324"/>
    </row>
    <row r="760" spans="1:32">
      <c r="A760" s="324"/>
      <c r="B760" s="244"/>
      <c r="C760" s="294"/>
      <c r="D760" s="235"/>
      <c r="E760" s="294"/>
      <c r="F760" s="235"/>
      <c r="G760" s="324"/>
      <c r="H760" s="324"/>
      <c r="I760" s="324"/>
      <c r="J760" s="324"/>
      <c r="K760" s="324"/>
      <c r="L760" s="324"/>
      <c r="M760" s="294"/>
      <c r="N760" s="235"/>
      <c r="O760" s="324"/>
      <c r="P760" s="235"/>
      <c r="Q760" s="324"/>
      <c r="R760" s="324"/>
      <c r="S760" s="324"/>
      <c r="T760" s="324"/>
      <c r="U760" s="324"/>
      <c r="V760" s="377">
        <v>41680</v>
      </c>
      <c r="W760" s="198">
        <v>56.669998</v>
      </c>
      <c r="X760" s="349">
        <f t="shared" si="34"/>
        <v>-5.6150901696756517E-3</v>
      </c>
      <c r="Y760" s="198">
        <v>1799.839966</v>
      </c>
      <c r="Z760" s="349">
        <f t="shared" si="35"/>
        <v>1.5692346042979199E-3</v>
      </c>
      <c r="AA760" s="324"/>
      <c r="AB760" s="324"/>
      <c r="AC760" s="324"/>
      <c r="AD760" s="324"/>
      <c r="AE760" s="324"/>
      <c r="AF760" s="324"/>
    </row>
    <row r="761" spans="1:32">
      <c r="A761" s="324"/>
      <c r="B761" s="244"/>
      <c r="C761" s="294"/>
      <c r="D761" s="235"/>
      <c r="E761" s="294"/>
      <c r="F761" s="235"/>
      <c r="G761" s="324"/>
      <c r="H761" s="324"/>
      <c r="I761" s="324"/>
      <c r="J761" s="324"/>
      <c r="K761" s="324"/>
      <c r="L761" s="324"/>
      <c r="M761" s="294"/>
      <c r="N761" s="235"/>
      <c r="O761" s="324"/>
      <c r="P761" s="235"/>
      <c r="Q761" s="324"/>
      <c r="R761" s="324"/>
      <c r="S761" s="324"/>
      <c r="T761" s="324"/>
      <c r="U761" s="324"/>
      <c r="V761" s="377">
        <v>41677</v>
      </c>
      <c r="W761" s="198">
        <v>56.990001999999997</v>
      </c>
      <c r="X761" s="349">
        <f t="shared" si="34"/>
        <v>2.6107327581790907E-2</v>
      </c>
      <c r="Y761" s="198">
        <v>1797.0200199999999</v>
      </c>
      <c r="Z761" s="349">
        <f t="shared" si="35"/>
        <v>1.3301886898100301E-2</v>
      </c>
      <c r="AA761" s="324"/>
      <c r="AB761" s="324"/>
      <c r="AC761" s="324"/>
      <c r="AD761" s="324"/>
      <c r="AE761" s="324"/>
      <c r="AF761" s="324"/>
    </row>
    <row r="762" spans="1:32">
      <c r="A762" s="324"/>
      <c r="B762" s="244"/>
      <c r="C762" s="294"/>
      <c r="D762" s="235"/>
      <c r="E762" s="294"/>
      <c r="F762" s="235"/>
      <c r="G762" s="324"/>
      <c r="H762" s="324"/>
      <c r="I762" s="324"/>
      <c r="J762" s="324"/>
      <c r="K762" s="324"/>
      <c r="L762" s="324"/>
      <c r="M762" s="294"/>
      <c r="N762" s="235"/>
      <c r="O762" s="324"/>
      <c r="P762" s="235"/>
      <c r="Q762" s="324"/>
      <c r="R762" s="324"/>
      <c r="S762" s="324"/>
      <c r="T762" s="324"/>
      <c r="U762" s="324"/>
      <c r="V762" s="377">
        <v>41676</v>
      </c>
      <c r="W762" s="198">
        <v>55.540000999999997</v>
      </c>
      <c r="X762" s="349">
        <f t="shared" si="34"/>
        <v>1.5170937948655316E-2</v>
      </c>
      <c r="Y762" s="198">
        <v>1773.4300539999999</v>
      </c>
      <c r="Z762" s="349">
        <f t="shared" si="35"/>
        <v>1.2439792887467327E-2</v>
      </c>
      <c r="AA762" s="324"/>
      <c r="AB762" s="324"/>
      <c r="AC762" s="324"/>
      <c r="AD762" s="324"/>
      <c r="AE762" s="324"/>
      <c r="AF762" s="324"/>
    </row>
    <row r="763" spans="1:32">
      <c r="A763" s="324"/>
      <c r="B763" s="244"/>
      <c r="C763" s="294"/>
      <c r="D763" s="235"/>
      <c r="E763" s="294"/>
      <c r="F763" s="235"/>
      <c r="G763" s="324"/>
      <c r="H763" s="324"/>
      <c r="I763" s="324"/>
      <c r="J763" s="324"/>
      <c r="K763" s="324"/>
      <c r="L763" s="324"/>
      <c r="M763" s="294"/>
      <c r="N763" s="235"/>
      <c r="O763" s="324"/>
      <c r="P763" s="235"/>
      <c r="Q763" s="324"/>
      <c r="R763" s="324"/>
      <c r="S763" s="324"/>
      <c r="T763" s="324"/>
      <c r="U763" s="324"/>
      <c r="V763" s="377">
        <v>41675</v>
      </c>
      <c r="W763" s="198">
        <v>54.709999000000003</v>
      </c>
      <c r="X763" s="349">
        <f t="shared" si="34"/>
        <v>-2.7342689986460389E-3</v>
      </c>
      <c r="Y763" s="198">
        <v>1751.6400149999999</v>
      </c>
      <c r="Z763" s="349">
        <f t="shared" si="35"/>
        <v>-2.0282224814169858E-3</v>
      </c>
      <c r="AA763" s="324"/>
      <c r="AB763" s="324"/>
      <c r="AC763" s="324"/>
      <c r="AD763" s="324"/>
      <c r="AE763" s="324"/>
      <c r="AF763" s="324"/>
    </row>
    <row r="764" spans="1:32">
      <c r="A764" s="324"/>
      <c r="B764" s="244"/>
      <c r="C764" s="294"/>
      <c r="D764" s="235"/>
      <c r="E764" s="294"/>
      <c r="F764" s="235"/>
      <c r="G764" s="324"/>
      <c r="H764" s="324"/>
      <c r="I764" s="324"/>
      <c r="J764" s="324"/>
      <c r="K764" s="324"/>
      <c r="L764" s="324"/>
      <c r="M764" s="294"/>
      <c r="N764" s="235"/>
      <c r="O764" s="324"/>
      <c r="P764" s="235"/>
      <c r="Q764" s="324"/>
      <c r="R764" s="324"/>
      <c r="S764" s="324"/>
      <c r="T764" s="324"/>
      <c r="U764" s="324"/>
      <c r="V764" s="377">
        <v>41674</v>
      </c>
      <c r="W764" s="198">
        <v>54.860000999999997</v>
      </c>
      <c r="X764" s="349">
        <f t="shared" si="34"/>
        <v>2.925045650364666E-3</v>
      </c>
      <c r="Y764" s="198">
        <v>1755.1999510000001</v>
      </c>
      <c r="Z764" s="349">
        <f t="shared" si="35"/>
        <v>7.6410886367013209E-3</v>
      </c>
      <c r="AA764" s="324"/>
      <c r="AB764" s="324"/>
      <c r="AC764" s="324"/>
      <c r="AD764" s="324"/>
      <c r="AE764" s="324"/>
      <c r="AF764" s="324"/>
    </row>
    <row r="765" spans="1:32">
      <c r="A765" s="324"/>
      <c r="B765" s="244"/>
      <c r="C765" s="294"/>
      <c r="D765" s="235"/>
      <c r="E765" s="294"/>
      <c r="F765" s="235"/>
      <c r="G765" s="324"/>
      <c r="H765" s="324"/>
      <c r="I765" s="324"/>
      <c r="J765" s="324"/>
      <c r="K765" s="324"/>
      <c r="L765" s="324"/>
      <c r="M765" s="294"/>
      <c r="N765" s="235"/>
      <c r="O765" s="324"/>
      <c r="P765" s="235"/>
      <c r="Q765" s="324"/>
      <c r="R765" s="324"/>
      <c r="S765" s="324"/>
      <c r="T765" s="324"/>
      <c r="U765" s="324"/>
      <c r="V765" s="377">
        <v>41673</v>
      </c>
      <c r="W765" s="198">
        <v>54.700001</v>
      </c>
      <c r="X765" s="349">
        <f t="shared" si="34"/>
        <v>-3.1858389380530983E-2</v>
      </c>
      <c r="Y765" s="198">
        <v>1741.8900149999999</v>
      </c>
      <c r="Z765" s="349">
        <f t="shared" si="35"/>
        <v>-2.2831919721464478E-2</v>
      </c>
      <c r="AA765" s="324"/>
      <c r="AB765" s="324"/>
      <c r="AC765" s="324"/>
      <c r="AD765" s="324"/>
      <c r="AE765" s="324"/>
      <c r="AF765" s="324"/>
    </row>
    <row r="766" spans="1:32">
      <c r="A766" s="324"/>
      <c r="B766" s="244"/>
      <c r="C766" s="294"/>
      <c r="D766" s="235"/>
      <c r="E766" s="294"/>
      <c r="F766" s="235"/>
      <c r="G766" s="324"/>
      <c r="H766" s="324"/>
      <c r="I766" s="324"/>
      <c r="J766" s="324"/>
      <c r="K766" s="324"/>
      <c r="L766" s="324"/>
      <c r="M766" s="294"/>
      <c r="N766" s="235"/>
      <c r="O766" s="324"/>
      <c r="P766" s="235"/>
      <c r="Q766" s="324"/>
      <c r="R766" s="324"/>
      <c r="S766" s="324"/>
      <c r="T766" s="324"/>
      <c r="U766" s="324"/>
      <c r="V766" s="377">
        <v>41670</v>
      </c>
      <c r="W766" s="198">
        <v>56.5</v>
      </c>
      <c r="X766" s="349">
        <f t="shared" si="34"/>
        <v>-1.0854324419718564E-2</v>
      </c>
      <c r="Y766" s="198">
        <v>1782.589966</v>
      </c>
      <c r="Z766" s="349">
        <f t="shared" si="35"/>
        <v>-6.4652993169356243E-3</v>
      </c>
      <c r="AA766" s="324"/>
      <c r="AB766" s="324"/>
      <c r="AC766" s="324"/>
      <c r="AD766" s="324"/>
      <c r="AE766" s="324"/>
      <c r="AF766" s="324"/>
    </row>
    <row r="767" spans="1:32">
      <c r="A767" s="324"/>
      <c r="B767" s="244"/>
      <c r="C767" s="294"/>
      <c r="D767" s="235"/>
      <c r="E767" s="294"/>
      <c r="F767" s="235"/>
      <c r="G767" s="324"/>
      <c r="H767" s="324"/>
      <c r="I767" s="324"/>
      <c r="J767" s="324"/>
      <c r="K767" s="324"/>
      <c r="L767" s="324"/>
      <c r="M767" s="294"/>
      <c r="N767" s="235"/>
      <c r="O767" s="324"/>
      <c r="P767" s="235"/>
      <c r="Q767" s="324"/>
      <c r="R767" s="324"/>
      <c r="S767" s="324"/>
      <c r="T767" s="324"/>
      <c r="U767" s="324"/>
      <c r="V767" s="377">
        <v>41669</v>
      </c>
      <c r="W767" s="198">
        <v>57.119999</v>
      </c>
      <c r="X767" s="349">
        <f t="shared" si="34"/>
        <v>2.8262826791410012E-2</v>
      </c>
      <c r="Y767" s="198">
        <v>1794.1899410000001</v>
      </c>
      <c r="Z767" s="349">
        <f t="shared" si="35"/>
        <v>1.1267044612831345E-2</v>
      </c>
      <c r="AA767" s="324"/>
      <c r="AB767" s="324"/>
      <c r="AC767" s="324"/>
      <c r="AD767" s="324"/>
      <c r="AE767" s="324"/>
      <c r="AF767" s="324"/>
    </row>
    <row r="768" spans="1:32">
      <c r="A768" s="324"/>
      <c r="B768" s="244"/>
      <c r="C768" s="294"/>
      <c r="D768" s="235"/>
      <c r="E768" s="294"/>
      <c r="F768" s="235"/>
      <c r="G768" s="324"/>
      <c r="H768" s="324"/>
      <c r="I768" s="324"/>
      <c r="J768" s="324"/>
      <c r="K768" s="324"/>
      <c r="L768" s="324"/>
      <c r="M768" s="294"/>
      <c r="N768" s="235"/>
      <c r="O768" s="324"/>
      <c r="P768" s="235"/>
      <c r="Q768" s="324"/>
      <c r="R768" s="324"/>
      <c r="S768" s="324"/>
      <c r="T768" s="324"/>
      <c r="U768" s="324"/>
      <c r="V768" s="377">
        <v>41668</v>
      </c>
      <c r="W768" s="198">
        <v>55.549999</v>
      </c>
      <c r="X768" s="349">
        <f t="shared" si="34"/>
        <v>-2.9355250742617467E-2</v>
      </c>
      <c r="Y768" s="198">
        <v>1774.1999510000001</v>
      </c>
      <c r="Z768" s="349">
        <f t="shared" si="35"/>
        <v>-1.0209232357043185E-2</v>
      </c>
      <c r="AA768" s="324"/>
      <c r="AB768" s="324"/>
      <c r="AC768" s="324"/>
      <c r="AD768" s="324"/>
      <c r="AE768" s="324"/>
      <c r="AF768" s="324"/>
    </row>
    <row r="769" spans="1:32">
      <c r="A769" s="324"/>
      <c r="B769" s="244"/>
      <c r="C769" s="294"/>
      <c r="D769" s="235"/>
      <c r="E769" s="294"/>
      <c r="F769" s="235"/>
      <c r="G769" s="324"/>
      <c r="H769" s="324"/>
      <c r="I769" s="324"/>
      <c r="J769" s="324"/>
      <c r="K769" s="324"/>
      <c r="L769" s="324"/>
      <c r="M769" s="294"/>
      <c r="N769" s="235"/>
      <c r="O769" s="324"/>
      <c r="P769" s="235"/>
      <c r="Q769" s="324"/>
      <c r="R769" s="324"/>
      <c r="S769" s="324"/>
      <c r="T769" s="324"/>
      <c r="U769" s="324"/>
      <c r="V769" s="377">
        <v>41667</v>
      </c>
      <c r="W769" s="198">
        <v>57.23</v>
      </c>
      <c r="X769" s="349">
        <f t="shared" si="34"/>
        <v>2.5259763525617984E-2</v>
      </c>
      <c r="Y769" s="198">
        <v>1792.5</v>
      </c>
      <c r="Z769" s="349">
        <f t="shared" si="35"/>
        <v>6.1406523707883132E-3</v>
      </c>
      <c r="AA769" s="324"/>
      <c r="AB769" s="324"/>
      <c r="AC769" s="324"/>
      <c r="AD769" s="324"/>
      <c r="AE769" s="324"/>
      <c r="AF769" s="324"/>
    </row>
    <row r="770" spans="1:32">
      <c r="A770" s="324"/>
      <c r="B770" s="244"/>
      <c r="C770" s="294"/>
      <c r="D770" s="235"/>
      <c r="E770" s="294"/>
      <c r="F770" s="235"/>
      <c r="G770" s="324"/>
      <c r="H770" s="324"/>
      <c r="I770" s="324"/>
      <c r="J770" s="324"/>
      <c r="K770" s="324"/>
      <c r="L770" s="324"/>
      <c r="M770" s="294"/>
      <c r="N770" s="235"/>
      <c r="O770" s="324"/>
      <c r="P770" s="235"/>
      <c r="Q770" s="324"/>
      <c r="R770" s="324"/>
      <c r="S770" s="324"/>
      <c r="T770" s="324"/>
      <c r="U770" s="324"/>
      <c r="V770" s="377">
        <v>41666</v>
      </c>
      <c r="W770" s="198">
        <v>55.82</v>
      </c>
      <c r="X770" s="349">
        <f t="shared" si="34"/>
        <v>-1.6040895469769056E-2</v>
      </c>
      <c r="Y770" s="198">
        <v>1781.5600589999999</v>
      </c>
      <c r="Z770" s="349">
        <f t="shared" si="35"/>
        <v>-4.8762936785797795E-3</v>
      </c>
      <c r="AA770" s="324"/>
      <c r="AB770" s="324"/>
      <c r="AC770" s="324"/>
      <c r="AD770" s="324"/>
      <c r="AE770" s="324"/>
      <c r="AF770" s="324"/>
    </row>
    <row r="771" spans="1:32">
      <c r="A771" s="324"/>
      <c r="B771" s="244"/>
      <c r="C771" s="294"/>
      <c r="D771" s="235"/>
      <c r="E771" s="294"/>
      <c r="F771" s="235"/>
      <c r="G771" s="324"/>
      <c r="H771" s="324"/>
      <c r="I771" s="324"/>
      <c r="J771" s="324"/>
      <c r="K771" s="324"/>
      <c r="L771" s="324"/>
      <c r="M771" s="294"/>
      <c r="N771" s="235"/>
      <c r="O771" s="324"/>
      <c r="P771" s="235"/>
      <c r="Q771" s="324"/>
      <c r="R771" s="324"/>
      <c r="S771" s="324"/>
      <c r="T771" s="324"/>
      <c r="U771" s="324"/>
      <c r="V771" s="377">
        <v>41663</v>
      </c>
      <c r="W771" s="198">
        <v>56.73</v>
      </c>
      <c r="X771" s="349">
        <f t="shared" si="34"/>
        <v>-2.391601899373752E-2</v>
      </c>
      <c r="Y771" s="198">
        <v>1790.290039</v>
      </c>
      <c r="Z771" s="349">
        <f t="shared" si="35"/>
        <v>-2.0875448636635485E-2</v>
      </c>
      <c r="AA771" s="324"/>
      <c r="AB771" s="324"/>
      <c r="AC771" s="324"/>
      <c r="AD771" s="324"/>
      <c r="AE771" s="324"/>
      <c r="AF771" s="324"/>
    </row>
    <row r="772" spans="1:32">
      <c r="A772" s="324"/>
      <c r="B772" s="244"/>
      <c r="C772" s="294"/>
      <c r="D772" s="235"/>
      <c r="E772" s="294"/>
      <c r="F772" s="235"/>
      <c r="G772" s="324"/>
      <c r="H772" s="324"/>
      <c r="I772" s="324"/>
      <c r="J772" s="324"/>
      <c r="K772" s="324"/>
      <c r="L772" s="324"/>
      <c r="M772" s="294"/>
      <c r="N772" s="235"/>
      <c r="O772" s="324"/>
      <c r="P772" s="235"/>
      <c r="Q772" s="324"/>
      <c r="R772" s="324"/>
      <c r="S772" s="324"/>
      <c r="T772" s="324"/>
      <c r="U772" s="324"/>
      <c r="V772" s="377">
        <v>41662</v>
      </c>
      <c r="W772" s="198">
        <v>58.119999</v>
      </c>
      <c r="X772" s="349">
        <f t="shared" si="34"/>
        <v>-1.3577716007390217E-2</v>
      </c>
      <c r="Y772" s="198">
        <v>1828.459961</v>
      </c>
      <c r="Z772" s="349">
        <f t="shared" si="35"/>
        <v>-8.8895765171035368E-3</v>
      </c>
      <c r="AA772" s="324"/>
      <c r="AB772" s="324"/>
      <c r="AC772" s="324"/>
      <c r="AD772" s="324"/>
      <c r="AE772" s="324"/>
      <c r="AF772" s="324"/>
    </row>
    <row r="773" spans="1:32">
      <c r="A773" s="324"/>
      <c r="B773" s="244"/>
      <c r="C773" s="294"/>
      <c r="D773" s="235"/>
      <c r="E773" s="294"/>
      <c r="F773" s="235"/>
      <c r="G773" s="324"/>
      <c r="H773" s="324"/>
      <c r="I773" s="324"/>
      <c r="J773" s="324"/>
      <c r="K773" s="324"/>
      <c r="L773" s="324"/>
      <c r="M773" s="294"/>
      <c r="N773" s="235"/>
      <c r="O773" s="324"/>
      <c r="P773" s="235"/>
      <c r="Q773" s="324"/>
      <c r="R773" s="324"/>
      <c r="S773" s="324"/>
      <c r="T773" s="324"/>
      <c r="U773" s="324"/>
      <c r="V773" s="377">
        <v>41661</v>
      </c>
      <c r="W773" s="198">
        <v>58.919998</v>
      </c>
      <c r="X773" s="349">
        <f t="shared" si="34"/>
        <v>-3.7200034447075758E-3</v>
      </c>
      <c r="Y773" s="198">
        <v>1844.8599850000001</v>
      </c>
      <c r="Z773" s="349">
        <f t="shared" si="35"/>
        <v>5.7486493753744483E-4</v>
      </c>
      <c r="AA773" s="324"/>
      <c r="AB773" s="324"/>
      <c r="AC773" s="324"/>
      <c r="AD773" s="324"/>
      <c r="AE773" s="324"/>
      <c r="AF773" s="324"/>
    </row>
    <row r="774" spans="1:32">
      <c r="A774" s="324"/>
      <c r="B774" s="244"/>
      <c r="C774" s="294"/>
      <c r="D774" s="235"/>
      <c r="E774" s="294"/>
      <c r="F774" s="235"/>
      <c r="G774" s="324"/>
      <c r="H774" s="324"/>
      <c r="I774" s="324"/>
      <c r="J774" s="324"/>
      <c r="K774" s="324"/>
      <c r="L774" s="324"/>
      <c r="M774" s="294"/>
      <c r="N774" s="235"/>
      <c r="O774" s="324"/>
      <c r="P774" s="235"/>
      <c r="Q774" s="324"/>
      <c r="R774" s="324"/>
      <c r="S774" s="324"/>
      <c r="T774" s="324"/>
      <c r="U774" s="324"/>
      <c r="V774" s="377">
        <v>41660</v>
      </c>
      <c r="W774" s="198">
        <v>59.139999000000003</v>
      </c>
      <c r="X774" s="349">
        <f t="shared" si="34"/>
        <v>9.3872503840246591E-3</v>
      </c>
      <c r="Y774" s="198">
        <v>1843.8000489999999</v>
      </c>
      <c r="Z774" s="349">
        <f t="shared" si="35"/>
        <v>2.7737521813855359E-3</v>
      </c>
      <c r="AA774" s="324"/>
      <c r="AB774" s="324"/>
      <c r="AC774" s="324"/>
      <c r="AD774" s="324"/>
      <c r="AE774" s="324"/>
      <c r="AF774" s="324"/>
    </row>
    <row r="775" spans="1:32">
      <c r="A775" s="324"/>
      <c r="B775" s="244"/>
      <c r="C775" s="294"/>
      <c r="D775" s="235"/>
      <c r="E775" s="294"/>
      <c r="F775" s="235"/>
      <c r="G775" s="324"/>
      <c r="H775" s="324"/>
      <c r="I775" s="324"/>
      <c r="J775" s="324"/>
      <c r="K775" s="324"/>
      <c r="L775" s="324"/>
      <c r="M775" s="294"/>
      <c r="N775" s="235"/>
      <c r="O775" s="324"/>
      <c r="P775" s="235"/>
      <c r="Q775" s="324"/>
      <c r="R775" s="324"/>
      <c r="S775" s="324"/>
      <c r="T775" s="324"/>
      <c r="U775" s="324"/>
      <c r="V775" s="377">
        <v>41656</v>
      </c>
      <c r="W775" s="198">
        <v>58.59</v>
      </c>
      <c r="X775" s="349">
        <f t="shared" si="34"/>
        <v>-7.9580256017942608E-3</v>
      </c>
      <c r="Y775" s="198">
        <v>1838.6999510000001</v>
      </c>
      <c r="Z775" s="349">
        <f t="shared" si="35"/>
        <v>-3.8951746537292387E-3</v>
      </c>
      <c r="AA775" s="324"/>
      <c r="AB775" s="324"/>
      <c r="AC775" s="324"/>
      <c r="AD775" s="324"/>
      <c r="AE775" s="324"/>
      <c r="AF775" s="324"/>
    </row>
    <row r="776" spans="1:32">
      <c r="A776" s="324"/>
      <c r="B776" s="244"/>
      <c r="C776" s="294"/>
      <c r="D776" s="235"/>
      <c r="E776" s="294"/>
      <c r="F776" s="235"/>
      <c r="G776" s="324"/>
      <c r="H776" s="324"/>
      <c r="I776" s="324"/>
      <c r="J776" s="324"/>
      <c r="K776" s="324"/>
      <c r="L776" s="324"/>
      <c r="M776" s="294"/>
      <c r="N776" s="235"/>
      <c r="O776" s="324"/>
      <c r="P776" s="235"/>
      <c r="Q776" s="324"/>
      <c r="R776" s="324"/>
      <c r="S776" s="324"/>
      <c r="T776" s="324"/>
      <c r="U776" s="324"/>
      <c r="V776" s="377">
        <v>41655</v>
      </c>
      <c r="W776" s="198">
        <v>59.060001</v>
      </c>
      <c r="X776" s="349">
        <f t="shared" si="34"/>
        <v>-2.1962831930442128E-3</v>
      </c>
      <c r="Y776" s="198">
        <v>1845.8900149999999</v>
      </c>
      <c r="Z776" s="349">
        <f t="shared" si="35"/>
        <v>-1.3471201772711217E-3</v>
      </c>
      <c r="AA776" s="324"/>
      <c r="AB776" s="324"/>
      <c r="AC776" s="324"/>
      <c r="AD776" s="324"/>
      <c r="AE776" s="324"/>
      <c r="AF776" s="324"/>
    </row>
    <row r="777" spans="1:32">
      <c r="A777" s="324"/>
      <c r="B777" s="244"/>
      <c r="C777" s="294"/>
      <c r="D777" s="235"/>
      <c r="E777" s="294"/>
      <c r="F777" s="235"/>
      <c r="G777" s="324"/>
      <c r="H777" s="324"/>
      <c r="I777" s="324"/>
      <c r="J777" s="324"/>
      <c r="K777" s="324"/>
      <c r="L777" s="324"/>
      <c r="M777" s="294"/>
      <c r="N777" s="235"/>
      <c r="O777" s="324"/>
      <c r="P777" s="235"/>
      <c r="Q777" s="324"/>
      <c r="R777" s="324"/>
      <c r="S777" s="324"/>
      <c r="T777" s="324"/>
      <c r="U777" s="324"/>
      <c r="V777" s="377">
        <v>41654</v>
      </c>
      <c r="W777" s="198">
        <v>59.189999</v>
      </c>
      <c r="X777" s="349">
        <f t="shared" ref="X777:X840" si="36">W777/W778-1</f>
        <v>-3.1997641764943685E-3</v>
      </c>
      <c r="Y777" s="198">
        <v>1848.380005</v>
      </c>
      <c r="Z777" s="349">
        <f t="shared" ref="Z777:Z840" si="37">Y777/Y778-1</f>
        <v>5.1661881004574361E-3</v>
      </c>
      <c r="AA777" s="324"/>
      <c r="AB777" s="324"/>
      <c r="AC777" s="324"/>
      <c r="AD777" s="324"/>
      <c r="AE777" s="324"/>
      <c r="AF777" s="324"/>
    </row>
    <row r="778" spans="1:32">
      <c r="A778" s="324"/>
      <c r="B778" s="244"/>
      <c r="C778" s="294"/>
      <c r="D778" s="235"/>
      <c r="E778" s="294"/>
      <c r="F778" s="235"/>
      <c r="G778" s="324"/>
      <c r="H778" s="324"/>
      <c r="I778" s="324"/>
      <c r="J778" s="324"/>
      <c r="K778" s="324"/>
      <c r="L778" s="324"/>
      <c r="M778" s="294"/>
      <c r="N778" s="235"/>
      <c r="O778" s="324"/>
      <c r="P778" s="235"/>
      <c r="Q778" s="324"/>
      <c r="R778" s="324"/>
      <c r="S778" s="324"/>
      <c r="T778" s="324"/>
      <c r="U778" s="324"/>
      <c r="V778" s="377">
        <v>41653</v>
      </c>
      <c r="W778" s="198">
        <v>59.380001</v>
      </c>
      <c r="X778" s="349">
        <f t="shared" si="36"/>
        <v>3.1619179436775946E-2</v>
      </c>
      <c r="Y778" s="198">
        <v>1838.880005</v>
      </c>
      <c r="Z778" s="349">
        <f t="shared" si="37"/>
        <v>1.0817971927264969E-2</v>
      </c>
      <c r="AA778" s="324"/>
      <c r="AB778" s="324"/>
      <c r="AC778" s="324"/>
      <c r="AD778" s="324"/>
      <c r="AE778" s="324"/>
      <c r="AF778" s="324"/>
    </row>
    <row r="779" spans="1:32">
      <c r="A779" s="324"/>
      <c r="B779" s="244"/>
      <c r="C779" s="294"/>
      <c r="D779" s="235"/>
      <c r="E779" s="294"/>
      <c r="F779" s="235"/>
      <c r="G779" s="324"/>
      <c r="H779" s="324"/>
      <c r="I779" s="324"/>
      <c r="J779" s="324"/>
      <c r="K779" s="324"/>
      <c r="L779" s="324"/>
      <c r="M779" s="294"/>
      <c r="N779" s="235"/>
      <c r="O779" s="324"/>
      <c r="P779" s="235"/>
      <c r="Q779" s="324"/>
      <c r="R779" s="324"/>
      <c r="S779" s="324"/>
      <c r="T779" s="324"/>
      <c r="U779" s="324"/>
      <c r="V779" s="377">
        <v>41652</v>
      </c>
      <c r="W779" s="198">
        <v>57.560001</v>
      </c>
      <c r="X779" s="349">
        <f t="shared" si="36"/>
        <v>1.3201900841367742E-2</v>
      </c>
      <c r="Y779" s="198">
        <v>1819.1999510000001</v>
      </c>
      <c r="Z779" s="349">
        <f t="shared" si="37"/>
        <v>-1.2576216537872997E-2</v>
      </c>
      <c r="AA779" s="324"/>
      <c r="AB779" s="324"/>
      <c r="AC779" s="324"/>
      <c r="AD779" s="324"/>
      <c r="AE779" s="324"/>
      <c r="AF779" s="324"/>
    </row>
    <row r="780" spans="1:32">
      <c r="A780" s="324"/>
      <c r="B780" s="244"/>
      <c r="C780" s="294"/>
      <c r="D780" s="235"/>
      <c r="E780" s="294"/>
      <c r="F780" s="235"/>
      <c r="G780" s="324"/>
      <c r="H780" s="324"/>
      <c r="I780" s="324"/>
      <c r="J780" s="324"/>
      <c r="K780" s="324"/>
      <c r="L780" s="324"/>
      <c r="M780" s="294"/>
      <c r="N780" s="235"/>
      <c r="O780" s="324"/>
      <c r="P780" s="235"/>
      <c r="Q780" s="324"/>
      <c r="R780" s="324"/>
      <c r="S780" s="324"/>
      <c r="T780" s="324"/>
      <c r="U780" s="324"/>
      <c r="V780" s="377">
        <v>41649</v>
      </c>
      <c r="W780" s="198">
        <v>56.810001</v>
      </c>
      <c r="X780" s="349">
        <f t="shared" si="36"/>
        <v>-8.3784254079519727E-3</v>
      </c>
      <c r="Y780" s="198">
        <v>1842.369995</v>
      </c>
      <c r="Z780" s="349">
        <f t="shared" si="37"/>
        <v>2.3066866807388564E-3</v>
      </c>
      <c r="AA780" s="324"/>
      <c r="AB780" s="324"/>
      <c r="AC780" s="324"/>
      <c r="AD780" s="324"/>
      <c r="AE780" s="324"/>
      <c r="AF780" s="324"/>
    </row>
    <row r="781" spans="1:32">
      <c r="A781" s="324"/>
      <c r="B781" s="244"/>
      <c r="C781" s="294"/>
      <c r="D781" s="235"/>
      <c r="E781" s="294"/>
      <c r="F781" s="235"/>
      <c r="G781" s="324"/>
      <c r="H781" s="324"/>
      <c r="I781" s="324"/>
      <c r="J781" s="324"/>
      <c r="K781" s="324"/>
      <c r="L781" s="324"/>
      <c r="M781" s="294"/>
      <c r="N781" s="235"/>
      <c r="O781" s="324"/>
      <c r="P781" s="235"/>
      <c r="Q781" s="324"/>
      <c r="R781" s="324"/>
      <c r="S781" s="324"/>
      <c r="T781" s="324"/>
      <c r="U781" s="324"/>
      <c r="V781" s="377">
        <v>41648</v>
      </c>
      <c r="W781" s="198">
        <v>57.290000999999997</v>
      </c>
      <c r="X781" s="349">
        <f t="shared" si="36"/>
        <v>5.2640636861180923E-3</v>
      </c>
      <c r="Y781" s="198">
        <v>1838.130005</v>
      </c>
      <c r="Z781" s="349">
        <f t="shared" si="37"/>
        <v>3.4830938044994042E-4</v>
      </c>
      <c r="AA781" s="324"/>
      <c r="AB781" s="324"/>
      <c r="AC781" s="324"/>
      <c r="AD781" s="324"/>
      <c r="AE781" s="324"/>
      <c r="AF781" s="324"/>
    </row>
    <row r="782" spans="1:32">
      <c r="A782" s="324"/>
      <c r="B782" s="244"/>
      <c r="C782" s="294"/>
      <c r="D782" s="235"/>
      <c r="E782" s="294"/>
      <c r="F782" s="235"/>
      <c r="G782" s="324"/>
      <c r="H782" s="324"/>
      <c r="I782" s="324"/>
      <c r="J782" s="324"/>
      <c r="K782" s="324"/>
      <c r="L782" s="324"/>
      <c r="M782" s="294"/>
      <c r="N782" s="235"/>
      <c r="O782" s="324"/>
      <c r="P782" s="235"/>
      <c r="Q782" s="324"/>
      <c r="R782" s="324"/>
      <c r="S782" s="324"/>
      <c r="T782" s="324"/>
      <c r="U782" s="324"/>
      <c r="V782" s="377">
        <v>41647</v>
      </c>
      <c r="W782" s="198">
        <v>56.990001999999997</v>
      </c>
      <c r="X782" s="349">
        <f t="shared" si="36"/>
        <v>-7.4886105011707782E-3</v>
      </c>
      <c r="Y782" s="198">
        <v>1837.48999</v>
      </c>
      <c r="Z782" s="349">
        <f t="shared" si="37"/>
        <v>-2.1220917521214133E-4</v>
      </c>
      <c r="AA782" s="324"/>
      <c r="AB782" s="324"/>
      <c r="AC782" s="324"/>
      <c r="AD782" s="324"/>
      <c r="AE782" s="324"/>
      <c r="AF782" s="324"/>
    </row>
    <row r="783" spans="1:32">
      <c r="A783" s="324"/>
      <c r="B783" s="244"/>
      <c r="C783" s="294"/>
      <c r="D783" s="235"/>
      <c r="E783" s="294"/>
      <c r="F783" s="235"/>
      <c r="G783" s="324"/>
      <c r="H783" s="324"/>
      <c r="I783" s="324"/>
      <c r="J783" s="324"/>
      <c r="K783" s="324"/>
      <c r="L783" s="324"/>
      <c r="M783" s="294"/>
      <c r="N783" s="235"/>
      <c r="O783" s="324"/>
      <c r="P783" s="235"/>
      <c r="Q783" s="324"/>
      <c r="R783" s="324"/>
      <c r="S783" s="324"/>
      <c r="T783" s="324"/>
      <c r="U783" s="324"/>
      <c r="V783" s="377">
        <v>41646</v>
      </c>
      <c r="W783" s="198">
        <v>57.419998</v>
      </c>
      <c r="X783" s="349">
        <f t="shared" si="36"/>
        <v>1.9169293574724744E-2</v>
      </c>
      <c r="Y783" s="198">
        <v>1837.880005</v>
      </c>
      <c r="Z783" s="349">
        <f t="shared" si="37"/>
        <v>6.0817644686330663E-3</v>
      </c>
      <c r="AA783" s="324"/>
      <c r="AB783" s="324"/>
      <c r="AC783" s="324"/>
      <c r="AD783" s="324"/>
      <c r="AE783" s="324"/>
      <c r="AF783" s="324"/>
    </row>
    <row r="784" spans="1:32">
      <c r="A784" s="324"/>
      <c r="B784" s="244"/>
      <c r="C784" s="294"/>
      <c r="D784" s="235"/>
      <c r="E784" s="294"/>
      <c r="F784" s="235"/>
      <c r="G784" s="324"/>
      <c r="H784" s="324"/>
      <c r="I784" s="324"/>
      <c r="J784" s="324"/>
      <c r="K784" s="324"/>
      <c r="L784" s="324"/>
      <c r="M784" s="294"/>
      <c r="N784" s="235"/>
      <c r="O784" s="324"/>
      <c r="P784" s="235"/>
      <c r="Q784" s="324"/>
      <c r="R784" s="324"/>
      <c r="S784" s="324"/>
      <c r="T784" s="324"/>
      <c r="U784" s="324"/>
      <c r="V784" s="377">
        <v>41645</v>
      </c>
      <c r="W784" s="198">
        <v>56.34</v>
      </c>
      <c r="X784" s="349">
        <f t="shared" si="36"/>
        <v>1.003945876729051E-2</v>
      </c>
      <c r="Y784" s="198">
        <v>1826.7700199999999</v>
      </c>
      <c r="Z784" s="349">
        <f t="shared" si="37"/>
        <v>-2.5117671538569253E-3</v>
      </c>
      <c r="AA784" s="324"/>
      <c r="AB784" s="324"/>
      <c r="AC784" s="324"/>
      <c r="AD784" s="324"/>
      <c r="AE784" s="324"/>
      <c r="AF784" s="324"/>
    </row>
    <row r="785" spans="1:32">
      <c r="A785" s="324"/>
      <c r="B785" s="244"/>
      <c r="C785" s="294"/>
      <c r="D785" s="235"/>
      <c r="E785" s="294"/>
      <c r="F785" s="235"/>
      <c r="G785" s="324"/>
      <c r="H785" s="324"/>
      <c r="I785" s="324"/>
      <c r="J785" s="324"/>
      <c r="K785" s="324"/>
      <c r="L785" s="324"/>
      <c r="M785" s="294"/>
      <c r="N785" s="235"/>
      <c r="O785" s="324"/>
      <c r="P785" s="235"/>
      <c r="Q785" s="324"/>
      <c r="R785" s="324"/>
      <c r="S785" s="324"/>
      <c r="T785" s="324"/>
      <c r="U785" s="324"/>
      <c r="V785" s="377">
        <v>41642</v>
      </c>
      <c r="W785" s="198">
        <v>55.779998999999997</v>
      </c>
      <c r="X785" s="349">
        <f t="shared" si="36"/>
        <v>-8.9562955774213915E-4</v>
      </c>
      <c r="Y785" s="198">
        <v>1831.369995</v>
      </c>
      <c r="Z785" s="349">
        <f t="shared" si="37"/>
        <v>-3.329648831642551E-4</v>
      </c>
      <c r="AA785" s="324"/>
      <c r="AB785" s="324"/>
      <c r="AC785" s="324"/>
      <c r="AD785" s="324"/>
      <c r="AE785" s="324"/>
      <c r="AF785" s="324"/>
    </row>
    <row r="786" spans="1:32">
      <c r="A786" s="324"/>
      <c r="B786" s="244"/>
      <c r="C786" s="294"/>
      <c r="D786" s="235"/>
      <c r="E786" s="294"/>
      <c r="F786" s="235"/>
      <c r="G786" s="324"/>
      <c r="H786" s="324"/>
      <c r="I786" s="324"/>
      <c r="J786" s="324"/>
      <c r="K786" s="324"/>
      <c r="L786" s="324"/>
      <c r="M786" s="294"/>
      <c r="N786" s="235"/>
      <c r="O786" s="324"/>
      <c r="P786" s="235"/>
      <c r="Q786" s="324"/>
      <c r="R786" s="324"/>
      <c r="S786" s="324"/>
      <c r="T786" s="324"/>
      <c r="U786" s="324"/>
      <c r="V786" s="377">
        <v>41641</v>
      </c>
      <c r="W786" s="198">
        <v>55.830002</v>
      </c>
      <c r="X786" s="349">
        <f t="shared" si="36"/>
        <v>-3.7473054292057606E-3</v>
      </c>
      <c r="Y786" s="198">
        <v>1831.9799800000001</v>
      </c>
      <c r="Z786" s="349">
        <f t="shared" si="37"/>
        <v>-8.8619127945468446E-3</v>
      </c>
      <c r="AA786" s="324"/>
      <c r="AB786" s="324"/>
      <c r="AC786" s="324"/>
      <c r="AD786" s="324"/>
      <c r="AE786" s="324"/>
      <c r="AF786" s="324"/>
    </row>
    <row r="787" spans="1:32">
      <c r="A787" s="324"/>
      <c r="B787" s="244"/>
      <c r="C787" s="294"/>
      <c r="D787" s="235"/>
      <c r="E787" s="294"/>
      <c r="F787" s="235"/>
      <c r="G787" s="324"/>
      <c r="H787" s="324"/>
      <c r="I787" s="324"/>
      <c r="J787" s="324"/>
      <c r="K787" s="324"/>
      <c r="L787" s="324"/>
      <c r="M787" s="294"/>
      <c r="N787" s="235"/>
      <c r="O787" s="324"/>
      <c r="P787" s="235"/>
      <c r="Q787" s="324"/>
      <c r="R787" s="324"/>
      <c r="S787" s="324"/>
      <c r="T787" s="324"/>
      <c r="U787" s="324"/>
      <c r="V787" s="377">
        <v>41639</v>
      </c>
      <c r="W787" s="198">
        <v>56.040000999999997</v>
      </c>
      <c r="X787" s="349">
        <f t="shared" si="36"/>
        <v>-5.3502764401647251E-4</v>
      </c>
      <c r="Y787" s="198">
        <v>1848.3599850000001</v>
      </c>
      <c r="Z787" s="349">
        <f t="shared" si="37"/>
        <v>3.9596751963926202E-3</v>
      </c>
      <c r="AA787" s="324"/>
      <c r="AB787" s="324"/>
      <c r="AC787" s="324"/>
      <c r="AD787" s="324"/>
      <c r="AE787" s="324"/>
      <c r="AF787" s="324"/>
    </row>
    <row r="788" spans="1:32">
      <c r="A788" s="324"/>
      <c r="B788" s="244"/>
      <c r="C788" s="294"/>
      <c r="D788" s="235"/>
      <c r="E788" s="294"/>
      <c r="F788" s="235"/>
      <c r="G788" s="324"/>
      <c r="H788" s="324"/>
      <c r="I788" s="324"/>
      <c r="J788" s="324"/>
      <c r="K788" s="324"/>
      <c r="L788" s="324"/>
      <c r="M788" s="294"/>
      <c r="N788" s="235"/>
      <c r="O788" s="324"/>
      <c r="P788" s="235"/>
      <c r="Q788" s="324"/>
      <c r="R788" s="324"/>
      <c r="S788" s="324"/>
      <c r="T788" s="324"/>
      <c r="U788" s="324"/>
      <c r="V788" s="377">
        <v>41638</v>
      </c>
      <c r="W788" s="198">
        <v>56.07</v>
      </c>
      <c r="X788" s="349">
        <f t="shared" si="36"/>
        <v>-3.0227950560882677E-3</v>
      </c>
      <c r="Y788" s="198">
        <v>1841.0699460000001</v>
      </c>
      <c r="Z788" s="349">
        <f t="shared" si="37"/>
        <v>-1.7925382627237418E-4</v>
      </c>
      <c r="AA788" s="324"/>
      <c r="AB788" s="324"/>
      <c r="AC788" s="324"/>
      <c r="AD788" s="324"/>
      <c r="AE788" s="324"/>
      <c r="AF788" s="324"/>
    </row>
    <row r="789" spans="1:32">
      <c r="A789" s="324"/>
      <c r="B789" s="244"/>
      <c r="C789" s="294"/>
      <c r="D789" s="235"/>
      <c r="E789" s="294"/>
      <c r="F789" s="235"/>
      <c r="G789" s="324"/>
      <c r="H789" s="324"/>
      <c r="I789" s="324"/>
      <c r="J789" s="324"/>
      <c r="K789" s="324"/>
      <c r="L789" s="324"/>
      <c r="M789" s="294"/>
      <c r="N789" s="235"/>
      <c r="O789" s="324"/>
      <c r="P789" s="235"/>
      <c r="Q789" s="324"/>
      <c r="R789" s="324"/>
      <c r="S789" s="324"/>
      <c r="T789" s="324"/>
      <c r="U789" s="324"/>
      <c r="V789" s="377">
        <v>41635</v>
      </c>
      <c r="W789" s="198">
        <v>56.240001999999997</v>
      </c>
      <c r="X789" s="349">
        <f t="shared" si="36"/>
        <v>6.6225703709068551E-3</v>
      </c>
      <c r="Y789" s="198">
        <v>1841.400024</v>
      </c>
      <c r="Z789" s="349">
        <f t="shared" si="37"/>
        <v>-3.3658483255782912E-4</v>
      </c>
      <c r="AA789" s="324"/>
      <c r="AB789" s="324"/>
      <c r="AC789" s="324"/>
      <c r="AD789" s="324"/>
      <c r="AE789" s="324"/>
      <c r="AF789" s="324"/>
    </row>
    <row r="790" spans="1:32">
      <c r="A790" s="324"/>
      <c r="B790" s="244"/>
      <c r="C790" s="294"/>
      <c r="D790" s="235"/>
      <c r="E790" s="294"/>
      <c r="F790" s="235"/>
      <c r="G790" s="324"/>
      <c r="H790" s="324"/>
      <c r="I790" s="324"/>
      <c r="J790" s="324"/>
      <c r="K790" s="324"/>
      <c r="L790" s="324"/>
      <c r="M790" s="294"/>
      <c r="N790" s="235"/>
      <c r="O790" s="324"/>
      <c r="P790" s="235"/>
      <c r="Q790" s="324"/>
      <c r="R790" s="324"/>
      <c r="S790" s="324"/>
      <c r="T790" s="324"/>
      <c r="U790" s="324"/>
      <c r="V790" s="377">
        <v>41634</v>
      </c>
      <c r="W790" s="198">
        <v>55.869999</v>
      </c>
      <c r="X790" s="349">
        <f t="shared" si="36"/>
        <v>-1.9650053590567484E-3</v>
      </c>
      <c r="Y790" s="198">
        <v>1842.0200199999999</v>
      </c>
      <c r="Z790" s="349">
        <f t="shared" si="37"/>
        <v>4.7455295618106241E-3</v>
      </c>
      <c r="AA790" s="324"/>
      <c r="AB790" s="324"/>
      <c r="AC790" s="324"/>
      <c r="AD790" s="324"/>
      <c r="AE790" s="324"/>
      <c r="AF790" s="324"/>
    </row>
    <row r="791" spans="1:32">
      <c r="A791" s="324"/>
      <c r="B791" s="244"/>
      <c r="C791" s="294"/>
      <c r="D791" s="235"/>
      <c r="E791" s="294"/>
      <c r="F791" s="235"/>
      <c r="G791" s="324"/>
      <c r="H791" s="324"/>
      <c r="I791" s="324"/>
      <c r="J791" s="324"/>
      <c r="K791" s="324"/>
      <c r="L791" s="324"/>
      <c r="M791" s="294"/>
      <c r="N791" s="235"/>
      <c r="O791" s="324"/>
      <c r="P791" s="235"/>
      <c r="Q791" s="324"/>
      <c r="R791" s="324"/>
      <c r="S791" s="324"/>
      <c r="T791" s="324"/>
      <c r="U791" s="324"/>
      <c r="V791" s="377">
        <v>41632</v>
      </c>
      <c r="W791" s="198">
        <v>55.98</v>
      </c>
      <c r="X791" s="349">
        <f t="shared" si="36"/>
        <v>-1.6051364365972098E-3</v>
      </c>
      <c r="Y791" s="198">
        <v>1833.3199460000001</v>
      </c>
      <c r="Z791" s="349">
        <f t="shared" si="37"/>
        <v>2.9157468198170999E-3</v>
      </c>
      <c r="AA791" s="324"/>
      <c r="AB791" s="324"/>
      <c r="AC791" s="324"/>
      <c r="AD791" s="324"/>
      <c r="AE791" s="324"/>
      <c r="AF791" s="324"/>
    </row>
    <row r="792" spans="1:32">
      <c r="A792" s="324"/>
      <c r="B792" s="244"/>
      <c r="C792" s="294"/>
      <c r="D792" s="235"/>
      <c r="E792" s="294"/>
      <c r="F792" s="235"/>
      <c r="G792" s="324"/>
      <c r="H792" s="324"/>
      <c r="I792" s="324"/>
      <c r="J792" s="324"/>
      <c r="K792" s="324"/>
      <c r="L792" s="324"/>
      <c r="M792" s="294"/>
      <c r="N792" s="235"/>
      <c r="O792" s="324"/>
      <c r="P792" s="235"/>
      <c r="Q792" s="324"/>
      <c r="R792" s="324"/>
      <c r="S792" s="324"/>
      <c r="T792" s="324"/>
      <c r="U792" s="324"/>
      <c r="V792" s="377">
        <v>41631</v>
      </c>
      <c r="W792" s="198">
        <v>56.07</v>
      </c>
      <c r="X792" s="349">
        <f t="shared" si="36"/>
        <v>-5.3472372672813684E-4</v>
      </c>
      <c r="Y792" s="198">
        <v>1827.98999</v>
      </c>
      <c r="Z792" s="349">
        <f t="shared" si="37"/>
        <v>5.3181201808143452E-3</v>
      </c>
      <c r="AA792" s="324"/>
      <c r="AB792" s="324"/>
      <c r="AC792" s="324"/>
      <c r="AD792" s="324"/>
      <c r="AE792" s="324"/>
      <c r="AF792" s="324"/>
    </row>
    <row r="793" spans="1:32">
      <c r="A793" s="324"/>
      <c r="B793" s="244"/>
      <c r="C793" s="294"/>
      <c r="D793" s="235"/>
      <c r="E793" s="294"/>
      <c r="F793" s="235"/>
      <c r="G793" s="324"/>
      <c r="H793" s="324"/>
      <c r="I793" s="324"/>
      <c r="J793" s="324"/>
      <c r="K793" s="324"/>
      <c r="L793" s="324"/>
      <c r="M793" s="294"/>
      <c r="N793" s="235"/>
      <c r="O793" s="324"/>
      <c r="P793" s="235"/>
      <c r="Q793" s="324"/>
      <c r="R793" s="324"/>
      <c r="S793" s="324"/>
      <c r="T793" s="324"/>
      <c r="U793" s="324"/>
      <c r="V793" s="377">
        <v>41628</v>
      </c>
      <c r="W793" s="198">
        <v>56.099997999999999</v>
      </c>
      <c r="X793" s="349">
        <f t="shared" si="36"/>
        <v>0.14489791836734689</v>
      </c>
      <c r="Y793" s="198">
        <v>1818.3199460000001</v>
      </c>
      <c r="Z793" s="349">
        <f t="shared" si="37"/>
        <v>4.8187279595763854E-3</v>
      </c>
      <c r="AA793" s="324"/>
      <c r="AB793" s="324"/>
      <c r="AC793" s="324"/>
      <c r="AD793" s="324"/>
      <c r="AE793" s="324"/>
      <c r="AF793" s="324"/>
    </row>
    <row r="794" spans="1:32">
      <c r="A794" s="324"/>
      <c r="B794" s="244"/>
      <c r="C794" s="294"/>
      <c r="D794" s="235"/>
      <c r="E794" s="294"/>
      <c r="F794" s="235"/>
      <c r="G794" s="324"/>
      <c r="H794" s="324"/>
      <c r="I794" s="324"/>
      <c r="J794" s="324"/>
      <c r="K794" s="324"/>
      <c r="L794" s="324"/>
      <c r="M794" s="294"/>
      <c r="N794" s="235"/>
      <c r="O794" s="324"/>
      <c r="P794" s="235"/>
      <c r="Q794" s="324"/>
      <c r="R794" s="324"/>
      <c r="S794" s="324"/>
      <c r="T794" s="324"/>
      <c r="U794" s="324"/>
      <c r="V794" s="377">
        <v>41627</v>
      </c>
      <c r="W794" s="198">
        <v>49</v>
      </c>
      <c r="X794" s="349">
        <f t="shared" si="36"/>
        <v>1.8401144960131788E-3</v>
      </c>
      <c r="Y794" s="198">
        <v>1809.599976</v>
      </c>
      <c r="Z794" s="349">
        <f t="shared" si="37"/>
        <v>-5.7992874718015841E-4</v>
      </c>
      <c r="AA794" s="324"/>
      <c r="AB794" s="324"/>
      <c r="AC794" s="324"/>
      <c r="AD794" s="324"/>
      <c r="AE794" s="324"/>
      <c r="AF794" s="324"/>
    </row>
    <row r="795" spans="1:32">
      <c r="A795" s="324"/>
      <c r="B795" s="244"/>
      <c r="C795" s="294"/>
      <c r="D795" s="235"/>
      <c r="E795" s="294"/>
      <c r="F795" s="235"/>
      <c r="G795" s="324"/>
      <c r="H795" s="324"/>
      <c r="I795" s="324"/>
      <c r="J795" s="324"/>
      <c r="K795" s="324"/>
      <c r="L795" s="324"/>
      <c r="M795" s="294"/>
      <c r="N795" s="235"/>
      <c r="O795" s="324"/>
      <c r="P795" s="235"/>
      <c r="Q795" s="324"/>
      <c r="R795" s="324"/>
      <c r="S795" s="324"/>
      <c r="T795" s="324"/>
      <c r="U795" s="324"/>
      <c r="V795" s="377">
        <v>41626</v>
      </c>
      <c r="W795" s="198">
        <v>48.91</v>
      </c>
      <c r="X795" s="349">
        <f t="shared" si="36"/>
        <v>1.4309394145387788E-2</v>
      </c>
      <c r="Y795" s="198">
        <v>1810.650024</v>
      </c>
      <c r="Z795" s="349">
        <f t="shared" si="37"/>
        <v>1.6647964065132026E-2</v>
      </c>
      <c r="AA795" s="324"/>
      <c r="AB795" s="324"/>
      <c r="AC795" s="324"/>
      <c r="AD795" s="324"/>
      <c r="AE795" s="324"/>
      <c r="AF795" s="324"/>
    </row>
    <row r="796" spans="1:32">
      <c r="A796" s="324"/>
      <c r="B796" s="244"/>
      <c r="C796" s="294"/>
      <c r="D796" s="235"/>
      <c r="E796" s="294"/>
      <c r="F796" s="235"/>
      <c r="G796" s="324"/>
      <c r="H796" s="324"/>
      <c r="I796" s="324"/>
      <c r="J796" s="324"/>
      <c r="K796" s="324"/>
      <c r="L796" s="324"/>
      <c r="M796" s="294"/>
      <c r="N796" s="235"/>
      <c r="O796" s="324"/>
      <c r="P796" s="235"/>
      <c r="Q796" s="324"/>
      <c r="R796" s="324"/>
      <c r="S796" s="324"/>
      <c r="T796" s="324"/>
      <c r="U796" s="324"/>
      <c r="V796" s="377">
        <v>41625</v>
      </c>
      <c r="W796" s="198">
        <v>48.220001000000003</v>
      </c>
      <c r="X796" s="349">
        <f t="shared" si="36"/>
        <v>1.4303743914519718E-2</v>
      </c>
      <c r="Y796" s="198">
        <v>1781</v>
      </c>
      <c r="Z796" s="349">
        <f t="shared" si="37"/>
        <v>-3.100987875480743E-3</v>
      </c>
      <c r="AA796" s="324"/>
      <c r="AB796" s="324"/>
      <c r="AC796" s="324"/>
      <c r="AD796" s="324"/>
      <c r="AE796" s="324"/>
      <c r="AF796" s="324"/>
    </row>
    <row r="797" spans="1:32">
      <c r="A797" s="324"/>
      <c r="B797" s="244"/>
      <c r="C797" s="294"/>
      <c r="D797" s="235"/>
      <c r="E797" s="294"/>
      <c r="F797" s="235"/>
      <c r="G797" s="324"/>
      <c r="H797" s="324"/>
      <c r="I797" s="324"/>
      <c r="J797" s="324"/>
      <c r="K797" s="324"/>
      <c r="L797" s="324"/>
      <c r="M797" s="294"/>
      <c r="N797" s="235"/>
      <c r="O797" s="324"/>
      <c r="P797" s="235"/>
      <c r="Q797" s="324"/>
      <c r="R797" s="324"/>
      <c r="S797" s="324"/>
      <c r="T797" s="324"/>
      <c r="U797" s="324"/>
      <c r="V797" s="377">
        <v>41624</v>
      </c>
      <c r="W797" s="198">
        <v>47.540000999999997</v>
      </c>
      <c r="X797" s="349">
        <f t="shared" si="36"/>
        <v>1.6463566388710493E-2</v>
      </c>
      <c r="Y797" s="198">
        <v>1786.540039</v>
      </c>
      <c r="Z797" s="349">
        <f t="shared" si="37"/>
        <v>6.3200399597154178E-3</v>
      </c>
      <c r="AA797" s="324"/>
      <c r="AB797" s="324"/>
      <c r="AC797" s="324"/>
      <c r="AD797" s="324"/>
      <c r="AE797" s="324"/>
      <c r="AF797" s="324"/>
    </row>
    <row r="798" spans="1:32">
      <c r="A798" s="324"/>
      <c r="B798" s="244"/>
      <c r="C798" s="294"/>
      <c r="D798" s="235"/>
      <c r="E798" s="294"/>
      <c r="F798" s="235"/>
      <c r="G798" s="324"/>
      <c r="H798" s="324"/>
      <c r="I798" s="324"/>
      <c r="J798" s="324"/>
      <c r="K798" s="324"/>
      <c r="L798" s="324"/>
      <c r="M798" s="294"/>
      <c r="N798" s="235"/>
      <c r="O798" s="324"/>
      <c r="P798" s="235"/>
      <c r="Q798" s="324"/>
      <c r="R798" s="324"/>
      <c r="S798" s="324"/>
      <c r="T798" s="324"/>
      <c r="U798" s="324"/>
      <c r="V798" s="377">
        <v>41621</v>
      </c>
      <c r="W798" s="198">
        <v>46.77</v>
      </c>
      <c r="X798" s="349">
        <f t="shared" si="36"/>
        <v>9.0615322140898957E-3</v>
      </c>
      <c r="Y798" s="198">
        <v>1775.3199460000001</v>
      </c>
      <c r="Z798" s="349">
        <f t="shared" si="37"/>
        <v>-1.0141030695576259E-4</v>
      </c>
      <c r="AA798" s="324"/>
      <c r="AB798" s="324"/>
      <c r="AC798" s="324"/>
      <c r="AD798" s="324"/>
      <c r="AE798" s="324"/>
      <c r="AF798" s="324"/>
    </row>
    <row r="799" spans="1:32">
      <c r="A799" s="324"/>
      <c r="B799" s="244"/>
      <c r="C799" s="294"/>
      <c r="D799" s="235"/>
      <c r="E799" s="294"/>
      <c r="F799" s="235"/>
      <c r="G799" s="324"/>
      <c r="H799" s="324"/>
      <c r="I799" s="324"/>
      <c r="J799" s="324"/>
      <c r="K799" s="324"/>
      <c r="L799" s="324"/>
      <c r="M799" s="294"/>
      <c r="N799" s="235"/>
      <c r="O799" s="324"/>
      <c r="P799" s="235"/>
      <c r="Q799" s="324"/>
      <c r="R799" s="324"/>
      <c r="S799" s="324"/>
      <c r="T799" s="324"/>
      <c r="U799" s="324"/>
      <c r="V799" s="377">
        <v>41620</v>
      </c>
      <c r="W799" s="198">
        <v>46.349997999999999</v>
      </c>
      <c r="X799" s="349">
        <f t="shared" si="36"/>
        <v>4.3336076128446255E-3</v>
      </c>
      <c r="Y799" s="198">
        <v>1775.5</v>
      </c>
      <c r="Z799" s="349">
        <f t="shared" si="37"/>
        <v>-3.7705620570671616E-3</v>
      </c>
      <c r="AA799" s="324"/>
      <c r="AB799" s="324"/>
      <c r="AC799" s="324"/>
      <c r="AD799" s="324"/>
      <c r="AE799" s="324"/>
      <c r="AF799" s="324"/>
    </row>
    <row r="800" spans="1:32">
      <c r="A800" s="324"/>
      <c r="B800" s="244"/>
      <c r="C800" s="294"/>
      <c r="D800" s="235"/>
      <c r="E800" s="294"/>
      <c r="F800" s="235"/>
      <c r="G800" s="324"/>
      <c r="H800" s="324"/>
      <c r="I800" s="324"/>
      <c r="J800" s="324"/>
      <c r="K800" s="324"/>
      <c r="L800" s="324"/>
      <c r="M800" s="294"/>
      <c r="N800" s="235"/>
      <c r="O800" s="324"/>
      <c r="P800" s="235"/>
      <c r="Q800" s="324"/>
      <c r="R800" s="324"/>
      <c r="S800" s="324"/>
      <c r="T800" s="324"/>
      <c r="U800" s="324"/>
      <c r="V800" s="377">
        <v>41619</v>
      </c>
      <c r="W800" s="198">
        <v>46.150002000000001</v>
      </c>
      <c r="X800" s="349">
        <f t="shared" si="36"/>
        <v>-1.1565581742676856E-2</v>
      </c>
      <c r="Y800" s="198">
        <v>1782.219971</v>
      </c>
      <c r="Z800" s="349">
        <f t="shared" si="37"/>
        <v>-1.1316874358758056E-2</v>
      </c>
      <c r="AA800" s="324"/>
      <c r="AB800" s="324"/>
      <c r="AC800" s="324"/>
      <c r="AD800" s="324"/>
      <c r="AE800" s="324"/>
      <c r="AF800" s="324"/>
    </row>
    <row r="801" spans="1:32">
      <c r="A801" s="324"/>
      <c r="B801" s="244"/>
      <c r="C801" s="294"/>
      <c r="D801" s="235"/>
      <c r="E801" s="294"/>
      <c r="F801" s="235"/>
      <c r="G801" s="324"/>
      <c r="H801" s="324"/>
      <c r="I801" s="324"/>
      <c r="J801" s="324"/>
      <c r="K801" s="324"/>
      <c r="L801" s="324"/>
      <c r="M801" s="294"/>
      <c r="N801" s="235"/>
      <c r="O801" s="324"/>
      <c r="P801" s="235"/>
      <c r="Q801" s="324"/>
      <c r="R801" s="324"/>
      <c r="S801" s="324"/>
      <c r="T801" s="324"/>
      <c r="U801" s="324"/>
      <c r="V801" s="377">
        <v>41618</v>
      </c>
      <c r="W801" s="198">
        <v>46.689999</v>
      </c>
      <c r="X801" s="349">
        <f t="shared" si="36"/>
        <v>-1.6431472162808713E-2</v>
      </c>
      <c r="Y801" s="198">
        <v>1802.619995</v>
      </c>
      <c r="Z801" s="349">
        <f t="shared" si="37"/>
        <v>-3.1796590387466184E-3</v>
      </c>
      <c r="AA801" s="324"/>
      <c r="AB801" s="324"/>
      <c r="AC801" s="324"/>
      <c r="AD801" s="324"/>
      <c r="AE801" s="324"/>
      <c r="AF801" s="324"/>
    </row>
    <row r="802" spans="1:32">
      <c r="A802" s="324"/>
      <c r="B802" s="244"/>
      <c r="C802" s="294"/>
      <c r="D802" s="235"/>
      <c r="E802" s="294"/>
      <c r="F802" s="235"/>
      <c r="G802" s="324"/>
      <c r="H802" s="324"/>
      <c r="I802" s="324"/>
      <c r="J802" s="324"/>
      <c r="K802" s="324"/>
      <c r="L802" s="324"/>
      <c r="M802" s="294"/>
      <c r="N802" s="235"/>
      <c r="O802" s="324"/>
      <c r="P802" s="235"/>
      <c r="Q802" s="324"/>
      <c r="R802" s="324"/>
      <c r="S802" s="324"/>
      <c r="T802" s="324"/>
      <c r="U802" s="324"/>
      <c r="V802" s="377">
        <v>41617</v>
      </c>
      <c r="W802" s="198">
        <v>47.470001000000003</v>
      </c>
      <c r="X802" s="349">
        <f t="shared" si="36"/>
        <v>1.496688047893957E-2</v>
      </c>
      <c r="Y802" s="198">
        <v>1808.369995</v>
      </c>
      <c r="Z802" s="349">
        <f t="shared" si="37"/>
        <v>1.8171000126205872E-3</v>
      </c>
      <c r="AA802" s="324"/>
      <c r="AB802" s="324"/>
      <c r="AC802" s="324"/>
      <c r="AD802" s="324"/>
      <c r="AE802" s="324"/>
      <c r="AF802" s="324"/>
    </row>
    <row r="803" spans="1:32">
      <c r="A803" s="324"/>
      <c r="B803" s="244"/>
      <c r="C803" s="294"/>
      <c r="D803" s="235"/>
      <c r="E803" s="294"/>
      <c r="F803" s="235"/>
      <c r="G803" s="324"/>
      <c r="H803" s="324"/>
      <c r="I803" s="324"/>
      <c r="J803" s="324"/>
      <c r="K803" s="324"/>
      <c r="L803" s="324"/>
      <c r="M803" s="294"/>
      <c r="N803" s="235"/>
      <c r="O803" s="324"/>
      <c r="P803" s="235"/>
      <c r="Q803" s="324"/>
      <c r="R803" s="324"/>
      <c r="S803" s="324"/>
      <c r="T803" s="324"/>
      <c r="U803" s="324"/>
      <c r="V803" s="377">
        <v>41614</v>
      </c>
      <c r="W803" s="198">
        <v>46.77</v>
      </c>
      <c r="X803" s="349">
        <f t="shared" si="36"/>
        <v>2.1427470384722813E-3</v>
      </c>
      <c r="Y803" s="198">
        <v>1805.089966</v>
      </c>
      <c r="Z803" s="349">
        <f t="shared" si="37"/>
        <v>1.1237870889621915E-2</v>
      </c>
      <c r="AA803" s="324"/>
      <c r="AB803" s="324"/>
      <c r="AC803" s="324"/>
      <c r="AD803" s="324"/>
      <c r="AE803" s="324"/>
      <c r="AF803" s="324"/>
    </row>
    <row r="804" spans="1:32">
      <c r="A804" s="324"/>
      <c r="B804" s="244"/>
      <c r="C804" s="294"/>
      <c r="D804" s="235"/>
      <c r="E804" s="294"/>
      <c r="F804" s="235"/>
      <c r="G804" s="324"/>
      <c r="H804" s="324"/>
      <c r="I804" s="324"/>
      <c r="J804" s="324"/>
      <c r="K804" s="324"/>
      <c r="L804" s="324"/>
      <c r="M804" s="294"/>
      <c r="N804" s="235"/>
      <c r="O804" s="324"/>
      <c r="P804" s="235"/>
      <c r="Q804" s="324"/>
      <c r="R804" s="324"/>
      <c r="S804" s="324"/>
      <c r="T804" s="324"/>
      <c r="U804" s="324"/>
      <c r="V804" s="377">
        <v>41613</v>
      </c>
      <c r="W804" s="198">
        <v>46.669998</v>
      </c>
      <c r="X804" s="349">
        <f t="shared" si="36"/>
        <v>2.142734676382485E-4</v>
      </c>
      <c r="Y804" s="198">
        <v>1785.030029</v>
      </c>
      <c r="Z804" s="349">
        <f t="shared" si="37"/>
        <v>-4.3395729296272778E-3</v>
      </c>
      <c r="AA804" s="324"/>
      <c r="AB804" s="324"/>
      <c r="AC804" s="324"/>
      <c r="AD804" s="324"/>
      <c r="AE804" s="324"/>
      <c r="AF804" s="324"/>
    </row>
    <row r="805" spans="1:32">
      <c r="A805" s="324"/>
      <c r="B805" s="244"/>
      <c r="C805" s="294"/>
      <c r="D805" s="235"/>
      <c r="E805" s="294"/>
      <c r="F805" s="235"/>
      <c r="G805" s="324"/>
      <c r="H805" s="324"/>
      <c r="I805" s="324"/>
      <c r="J805" s="324"/>
      <c r="K805" s="324"/>
      <c r="L805" s="324"/>
      <c r="M805" s="294"/>
      <c r="N805" s="235"/>
      <c r="O805" s="324"/>
      <c r="P805" s="235"/>
      <c r="Q805" s="324"/>
      <c r="R805" s="324"/>
      <c r="S805" s="324"/>
      <c r="T805" s="324"/>
      <c r="U805" s="324"/>
      <c r="V805" s="377">
        <v>41612</v>
      </c>
      <c r="W805" s="198">
        <v>46.66</v>
      </c>
      <c r="X805" s="349">
        <f t="shared" si="36"/>
        <v>1.5893751360766206E-2</v>
      </c>
      <c r="Y805" s="198">
        <v>1792.8100589999999</v>
      </c>
      <c r="Z805" s="349">
        <f t="shared" si="37"/>
        <v>-1.3034927269121033E-3</v>
      </c>
      <c r="AA805" s="324"/>
      <c r="AB805" s="324"/>
      <c r="AC805" s="324"/>
      <c r="AD805" s="324"/>
      <c r="AE805" s="324"/>
      <c r="AF805" s="324"/>
    </row>
    <row r="806" spans="1:32">
      <c r="A806" s="324"/>
      <c r="B806" s="244"/>
      <c r="C806" s="294"/>
      <c r="D806" s="235"/>
      <c r="E806" s="294"/>
      <c r="F806" s="235"/>
      <c r="G806" s="324"/>
      <c r="H806" s="324"/>
      <c r="I806" s="324"/>
      <c r="J806" s="324"/>
      <c r="K806" s="324"/>
      <c r="L806" s="324"/>
      <c r="M806" s="294"/>
      <c r="N806" s="235"/>
      <c r="O806" s="324"/>
      <c r="P806" s="235"/>
      <c r="Q806" s="324"/>
      <c r="R806" s="324"/>
      <c r="S806" s="324"/>
      <c r="T806" s="324"/>
      <c r="U806" s="324"/>
      <c r="V806" s="377">
        <v>41611</v>
      </c>
      <c r="W806" s="198">
        <v>45.93</v>
      </c>
      <c r="X806" s="349">
        <f t="shared" si="36"/>
        <v>-5.4135989605890167E-3</v>
      </c>
      <c r="Y806" s="198">
        <v>1795.150024</v>
      </c>
      <c r="Z806" s="349">
        <f t="shared" si="37"/>
        <v>-3.1928479778842167E-3</v>
      </c>
      <c r="AA806" s="324"/>
      <c r="AB806" s="324"/>
      <c r="AC806" s="324"/>
      <c r="AD806" s="324"/>
      <c r="AE806" s="324"/>
      <c r="AF806" s="324"/>
    </row>
    <row r="807" spans="1:32">
      <c r="A807" s="324"/>
      <c r="B807" s="244"/>
      <c r="C807" s="294"/>
      <c r="D807" s="235"/>
      <c r="E807" s="294"/>
      <c r="F807" s="235"/>
      <c r="G807" s="324"/>
      <c r="H807" s="324"/>
      <c r="I807" s="324"/>
      <c r="J807" s="324"/>
      <c r="K807" s="324"/>
      <c r="L807" s="324"/>
      <c r="M807" s="294"/>
      <c r="N807" s="235"/>
      <c r="O807" s="324"/>
      <c r="P807" s="235"/>
      <c r="Q807" s="324"/>
      <c r="R807" s="324"/>
      <c r="S807" s="324"/>
      <c r="T807" s="324"/>
      <c r="U807" s="324"/>
      <c r="V807" s="377">
        <v>41610</v>
      </c>
      <c r="W807" s="198">
        <v>46.18</v>
      </c>
      <c r="X807" s="349">
        <f t="shared" si="36"/>
        <v>-1.4300918433336918E-2</v>
      </c>
      <c r="Y807" s="198">
        <v>1800.900024</v>
      </c>
      <c r="Z807" s="349">
        <f t="shared" si="37"/>
        <v>-2.7190207383820386E-3</v>
      </c>
      <c r="AA807" s="324"/>
      <c r="AB807" s="324"/>
      <c r="AC807" s="324"/>
      <c r="AD807" s="324"/>
      <c r="AE807" s="324"/>
      <c r="AF807" s="324"/>
    </row>
    <row r="808" spans="1:32">
      <c r="A808" s="324"/>
      <c r="B808" s="244"/>
      <c r="C808" s="294"/>
      <c r="D808" s="235"/>
      <c r="E808" s="294"/>
      <c r="F808" s="235"/>
      <c r="G808" s="324"/>
      <c r="H808" s="324"/>
      <c r="I808" s="324"/>
      <c r="J808" s="324"/>
      <c r="K808" s="324"/>
      <c r="L808" s="324"/>
      <c r="M808" s="294"/>
      <c r="N808" s="235"/>
      <c r="O808" s="324"/>
      <c r="P808" s="235"/>
      <c r="Q808" s="324"/>
      <c r="R808" s="324"/>
      <c r="S808" s="324"/>
      <c r="T808" s="324"/>
      <c r="U808" s="324"/>
      <c r="V808" s="377">
        <v>41607</v>
      </c>
      <c r="W808" s="198">
        <v>46.849997999999999</v>
      </c>
      <c r="X808" s="349">
        <f t="shared" si="36"/>
        <v>-1.066183323403691E-3</v>
      </c>
      <c r="Y808" s="198">
        <v>1805.8100589999999</v>
      </c>
      <c r="Z808" s="349">
        <f t="shared" si="37"/>
        <v>-7.8568915728149946E-4</v>
      </c>
      <c r="AA808" s="324"/>
      <c r="AB808" s="324"/>
      <c r="AC808" s="324"/>
      <c r="AD808" s="324"/>
      <c r="AE808" s="324"/>
      <c r="AF808" s="324"/>
    </row>
    <row r="809" spans="1:32">
      <c r="A809" s="324"/>
      <c r="B809" s="244"/>
      <c r="C809" s="294"/>
      <c r="D809" s="235"/>
      <c r="E809" s="294"/>
      <c r="F809" s="235"/>
      <c r="G809" s="324"/>
      <c r="H809" s="324"/>
      <c r="I809" s="324"/>
      <c r="J809" s="324"/>
      <c r="K809" s="324"/>
      <c r="L809" s="324"/>
      <c r="M809" s="294"/>
      <c r="N809" s="235"/>
      <c r="O809" s="324"/>
      <c r="P809" s="235"/>
      <c r="Q809" s="324"/>
      <c r="R809" s="324"/>
      <c r="S809" s="324"/>
      <c r="T809" s="324"/>
      <c r="U809" s="324"/>
      <c r="V809" s="377">
        <v>41605</v>
      </c>
      <c r="W809" s="198">
        <v>46.900002000000001</v>
      </c>
      <c r="X809" s="349">
        <f t="shared" si="36"/>
        <v>7.735302798983712E-3</v>
      </c>
      <c r="Y809" s="198">
        <v>1807.2299800000001</v>
      </c>
      <c r="Z809" s="349">
        <f t="shared" si="37"/>
        <v>2.4850811260574979E-3</v>
      </c>
      <c r="AA809" s="324"/>
      <c r="AB809" s="324"/>
      <c r="AC809" s="324"/>
      <c r="AD809" s="324"/>
      <c r="AE809" s="324"/>
      <c r="AF809" s="324"/>
    </row>
    <row r="810" spans="1:32">
      <c r="A810" s="324"/>
      <c r="B810" s="244"/>
      <c r="C810" s="294"/>
      <c r="D810" s="235"/>
      <c r="E810" s="294"/>
      <c r="F810" s="235"/>
      <c r="G810" s="324"/>
      <c r="H810" s="324"/>
      <c r="I810" s="324"/>
      <c r="J810" s="324"/>
      <c r="K810" s="324"/>
      <c r="L810" s="324"/>
      <c r="M810" s="294"/>
      <c r="N810" s="235"/>
      <c r="O810" s="324"/>
      <c r="P810" s="235"/>
      <c r="Q810" s="324"/>
      <c r="R810" s="324"/>
      <c r="S810" s="324"/>
      <c r="T810" s="324"/>
      <c r="U810" s="324"/>
      <c r="V810" s="377">
        <v>41604</v>
      </c>
      <c r="W810" s="198">
        <v>46.540000999999997</v>
      </c>
      <c r="X810" s="349">
        <f t="shared" si="36"/>
        <v>-7.0407084924410945E-3</v>
      </c>
      <c r="Y810" s="198">
        <v>1802.75</v>
      </c>
      <c r="Z810" s="349">
        <f t="shared" si="37"/>
        <v>1.4980471516801153E-4</v>
      </c>
      <c r="AA810" s="324"/>
      <c r="AB810" s="324"/>
      <c r="AC810" s="324"/>
      <c r="AD810" s="324"/>
      <c r="AE810" s="324"/>
      <c r="AF810" s="324"/>
    </row>
    <row r="811" spans="1:32">
      <c r="A811" s="324"/>
      <c r="B811" s="244"/>
      <c r="C811" s="294"/>
      <c r="D811" s="235"/>
      <c r="E811" s="294"/>
      <c r="F811" s="235"/>
      <c r="G811" s="324"/>
      <c r="H811" s="324"/>
      <c r="I811" s="324"/>
      <c r="J811" s="324"/>
      <c r="K811" s="324"/>
      <c r="L811" s="324"/>
      <c r="M811" s="294"/>
      <c r="N811" s="235"/>
      <c r="O811" s="324"/>
      <c r="P811" s="235"/>
      <c r="Q811" s="324"/>
      <c r="R811" s="324"/>
      <c r="S811" s="324"/>
      <c r="T811" s="324"/>
      <c r="U811" s="324"/>
      <c r="V811" s="377">
        <v>41603</v>
      </c>
      <c r="W811" s="198">
        <v>46.869999</v>
      </c>
      <c r="X811" s="349">
        <f t="shared" si="36"/>
        <v>-5.0945021206855179E-3</v>
      </c>
      <c r="Y811" s="198">
        <v>1802.4799800000001</v>
      </c>
      <c r="Z811" s="349">
        <f t="shared" si="37"/>
        <v>-1.2633424872927623E-3</v>
      </c>
      <c r="AA811" s="324"/>
      <c r="AB811" s="324"/>
      <c r="AC811" s="324"/>
      <c r="AD811" s="324"/>
      <c r="AE811" s="324"/>
      <c r="AF811" s="324"/>
    </row>
    <row r="812" spans="1:32">
      <c r="A812" s="324"/>
      <c r="B812" s="244"/>
      <c r="C812" s="294"/>
      <c r="D812" s="235"/>
      <c r="E812" s="294"/>
      <c r="F812" s="235"/>
      <c r="G812" s="324"/>
      <c r="H812" s="324"/>
      <c r="I812" s="324"/>
      <c r="J812" s="324"/>
      <c r="K812" s="324"/>
      <c r="L812" s="324"/>
      <c r="M812" s="294"/>
      <c r="N812" s="235"/>
      <c r="O812" s="324"/>
      <c r="P812" s="235"/>
      <c r="Q812" s="324"/>
      <c r="R812" s="324"/>
      <c r="S812" s="324"/>
      <c r="T812" s="324"/>
      <c r="U812" s="324"/>
      <c r="V812" s="377">
        <v>41600</v>
      </c>
      <c r="W812" s="198">
        <v>47.110000999999997</v>
      </c>
      <c r="X812" s="349">
        <f t="shared" si="36"/>
        <v>0</v>
      </c>
      <c r="Y812" s="198">
        <v>1804.76001</v>
      </c>
      <c r="Z812" s="349">
        <f t="shared" si="37"/>
        <v>4.9614578718015778E-3</v>
      </c>
      <c r="AA812" s="324"/>
      <c r="AB812" s="324"/>
      <c r="AC812" s="324"/>
      <c r="AD812" s="324"/>
      <c r="AE812" s="324"/>
      <c r="AF812" s="324"/>
    </row>
    <row r="813" spans="1:32">
      <c r="A813" s="324"/>
      <c r="B813" s="244"/>
      <c r="C813" s="294"/>
      <c r="D813" s="235"/>
      <c r="E813" s="294"/>
      <c r="F813" s="235"/>
      <c r="G813" s="324"/>
      <c r="H813" s="324"/>
      <c r="I813" s="324"/>
      <c r="J813" s="324"/>
      <c r="K813" s="324"/>
      <c r="L813" s="324"/>
      <c r="M813" s="294"/>
      <c r="N813" s="235"/>
      <c r="O813" s="324"/>
      <c r="P813" s="235"/>
      <c r="Q813" s="324"/>
      <c r="R813" s="324"/>
      <c r="S813" s="324"/>
      <c r="T813" s="324"/>
      <c r="U813" s="324"/>
      <c r="V813" s="377">
        <v>41599</v>
      </c>
      <c r="W813" s="198">
        <v>47.110000999999997</v>
      </c>
      <c r="X813" s="349">
        <f t="shared" si="36"/>
        <v>1.2465119545779446E-2</v>
      </c>
      <c r="Y813" s="198">
        <v>1795.849976</v>
      </c>
      <c r="Z813" s="349">
        <f t="shared" si="37"/>
        <v>8.1285645546083085E-3</v>
      </c>
      <c r="AA813" s="324"/>
      <c r="AB813" s="324"/>
      <c r="AC813" s="324"/>
      <c r="AD813" s="324"/>
      <c r="AE813" s="324"/>
      <c r="AF813" s="324"/>
    </row>
    <row r="814" spans="1:32">
      <c r="A814" s="324"/>
      <c r="B814" s="244"/>
      <c r="C814" s="294"/>
      <c r="D814" s="235"/>
      <c r="E814" s="294"/>
      <c r="F814" s="235"/>
      <c r="G814" s="324"/>
      <c r="H814" s="324"/>
      <c r="I814" s="324"/>
      <c r="J814" s="324"/>
      <c r="K814" s="324"/>
      <c r="L814" s="324"/>
      <c r="M814" s="294"/>
      <c r="N814" s="235"/>
      <c r="O814" s="324"/>
      <c r="P814" s="235"/>
      <c r="Q814" s="324"/>
      <c r="R814" s="324"/>
      <c r="S814" s="324"/>
      <c r="T814" s="324"/>
      <c r="U814" s="324"/>
      <c r="V814" s="377">
        <v>41598</v>
      </c>
      <c r="W814" s="198">
        <v>46.529998999999997</v>
      </c>
      <c r="X814" s="349">
        <f t="shared" si="36"/>
        <v>2.369689890981741E-3</v>
      </c>
      <c r="Y814" s="198">
        <v>1781.369995</v>
      </c>
      <c r="Z814" s="349">
        <f t="shared" si="37"/>
        <v>-3.6356111004592906E-3</v>
      </c>
      <c r="AA814" s="324"/>
      <c r="AB814" s="324"/>
      <c r="AC814" s="324"/>
      <c r="AD814" s="324"/>
      <c r="AE814" s="324"/>
      <c r="AF814" s="324"/>
    </row>
    <row r="815" spans="1:32">
      <c r="A815" s="324"/>
      <c r="B815" s="244"/>
      <c r="C815" s="294"/>
      <c r="D815" s="235"/>
      <c r="E815" s="294"/>
      <c r="F815" s="235"/>
      <c r="G815" s="324"/>
      <c r="H815" s="324"/>
      <c r="I815" s="324"/>
      <c r="J815" s="324"/>
      <c r="K815" s="324"/>
      <c r="L815" s="324"/>
      <c r="M815" s="294"/>
      <c r="N815" s="235"/>
      <c r="O815" s="324"/>
      <c r="P815" s="235"/>
      <c r="Q815" s="324"/>
      <c r="R815" s="324"/>
      <c r="S815" s="324"/>
      <c r="T815" s="324"/>
      <c r="U815" s="324"/>
      <c r="V815" s="377">
        <v>41597</v>
      </c>
      <c r="W815" s="198">
        <v>46.419998</v>
      </c>
      <c r="X815" s="349">
        <f t="shared" si="36"/>
        <v>-3.0069372206413814E-3</v>
      </c>
      <c r="Y815" s="198">
        <v>1787.869995</v>
      </c>
      <c r="Z815" s="349">
        <f t="shared" si="37"/>
        <v>-2.0429654768572281E-3</v>
      </c>
      <c r="AA815" s="324"/>
      <c r="AB815" s="324"/>
      <c r="AC815" s="324"/>
      <c r="AD815" s="324"/>
      <c r="AE815" s="324"/>
      <c r="AF815" s="324"/>
    </row>
    <row r="816" spans="1:32">
      <c r="A816" s="324"/>
      <c r="B816" s="244"/>
      <c r="C816" s="294"/>
      <c r="D816" s="235"/>
      <c r="E816" s="294"/>
      <c r="F816" s="235"/>
      <c r="G816" s="324"/>
      <c r="H816" s="324"/>
      <c r="I816" s="324"/>
      <c r="J816" s="324"/>
      <c r="K816" s="324"/>
      <c r="L816" s="324"/>
      <c r="M816" s="294"/>
      <c r="N816" s="235"/>
      <c r="O816" s="324"/>
      <c r="P816" s="235"/>
      <c r="Q816" s="324"/>
      <c r="R816" s="324"/>
      <c r="S816" s="324"/>
      <c r="T816" s="324"/>
      <c r="U816" s="324"/>
      <c r="V816" s="377">
        <v>41596</v>
      </c>
      <c r="W816" s="198">
        <v>46.560001</v>
      </c>
      <c r="X816" s="349">
        <f t="shared" si="36"/>
        <v>-1.1464904945431176E-2</v>
      </c>
      <c r="Y816" s="198">
        <v>1791.530029</v>
      </c>
      <c r="Z816" s="349">
        <f t="shared" si="37"/>
        <v>-3.6981975109817711E-3</v>
      </c>
      <c r="AA816" s="324"/>
      <c r="AB816" s="324"/>
      <c r="AC816" s="324"/>
      <c r="AD816" s="324"/>
      <c r="AE816" s="324"/>
      <c r="AF816" s="324"/>
    </row>
    <row r="817" spans="1:32">
      <c r="A817" s="324"/>
      <c r="B817" s="244"/>
      <c r="C817" s="294"/>
      <c r="D817" s="235"/>
      <c r="E817" s="294"/>
      <c r="F817" s="235"/>
      <c r="G817" s="324"/>
      <c r="H817" s="324"/>
      <c r="I817" s="324"/>
      <c r="J817" s="324"/>
      <c r="K817" s="324"/>
      <c r="L817" s="324"/>
      <c r="M817" s="294"/>
      <c r="N817" s="235"/>
      <c r="O817" s="324"/>
      <c r="P817" s="235"/>
      <c r="Q817" s="324"/>
      <c r="R817" s="324"/>
      <c r="S817" s="324"/>
      <c r="T817" s="324"/>
      <c r="U817" s="324"/>
      <c r="V817" s="377">
        <v>41593</v>
      </c>
      <c r="W817" s="198">
        <v>47.099997999999999</v>
      </c>
      <c r="X817" s="349">
        <f t="shared" si="36"/>
        <v>1.683933506044899E-2</v>
      </c>
      <c r="Y817" s="198">
        <v>1798.1800539999999</v>
      </c>
      <c r="Z817" s="349">
        <f t="shared" si="37"/>
        <v>4.2220342792496091E-3</v>
      </c>
      <c r="AA817" s="324"/>
      <c r="AB817" s="324"/>
      <c r="AC817" s="324"/>
      <c r="AD817" s="324"/>
      <c r="AE817" s="324"/>
      <c r="AF817" s="324"/>
    </row>
    <row r="818" spans="1:32">
      <c r="A818" s="324"/>
      <c r="B818" s="244"/>
      <c r="C818" s="294"/>
      <c r="D818" s="235"/>
      <c r="E818" s="294"/>
      <c r="F818" s="235"/>
      <c r="G818" s="324"/>
      <c r="H818" s="324"/>
      <c r="I818" s="324"/>
      <c r="J818" s="324"/>
      <c r="K818" s="324"/>
      <c r="L818" s="324"/>
      <c r="M818" s="294"/>
      <c r="N818" s="235"/>
      <c r="O818" s="324"/>
      <c r="P818" s="235"/>
      <c r="Q818" s="324"/>
      <c r="R818" s="324"/>
      <c r="S818" s="324"/>
      <c r="T818" s="324"/>
      <c r="U818" s="324"/>
      <c r="V818" s="377">
        <v>41592</v>
      </c>
      <c r="W818" s="198">
        <v>46.32</v>
      </c>
      <c r="X818" s="349">
        <f t="shared" si="36"/>
        <v>-1.0782618304563396E-3</v>
      </c>
      <c r="Y818" s="198">
        <v>1790.619995</v>
      </c>
      <c r="Z818" s="349">
        <f t="shared" si="37"/>
        <v>4.8372586980920396E-3</v>
      </c>
      <c r="AA818" s="324"/>
      <c r="AB818" s="324"/>
      <c r="AC818" s="324"/>
      <c r="AD818" s="324"/>
      <c r="AE818" s="324"/>
      <c r="AF818" s="324"/>
    </row>
    <row r="819" spans="1:32">
      <c r="A819" s="324"/>
      <c r="B819" s="244"/>
      <c r="C819" s="294"/>
      <c r="D819" s="235"/>
      <c r="E819" s="294"/>
      <c r="F819" s="235"/>
      <c r="G819" s="324"/>
      <c r="H819" s="324"/>
      <c r="I819" s="324"/>
      <c r="J819" s="324"/>
      <c r="K819" s="324"/>
      <c r="L819" s="324"/>
      <c r="M819" s="294"/>
      <c r="N819" s="235"/>
      <c r="O819" s="324"/>
      <c r="P819" s="235"/>
      <c r="Q819" s="324"/>
      <c r="R819" s="324"/>
      <c r="S819" s="324"/>
      <c r="T819" s="324"/>
      <c r="U819" s="324"/>
      <c r="V819" s="377">
        <v>41591</v>
      </c>
      <c r="W819" s="198">
        <v>46.369999</v>
      </c>
      <c r="X819" s="349">
        <f t="shared" si="36"/>
        <v>3.9686122855880024E-2</v>
      </c>
      <c r="Y819" s="198">
        <v>1782</v>
      </c>
      <c r="Z819" s="349">
        <f t="shared" si="37"/>
        <v>8.0953444764779725E-3</v>
      </c>
      <c r="AA819" s="324"/>
      <c r="AB819" s="324"/>
      <c r="AC819" s="324"/>
      <c r="AD819" s="324"/>
      <c r="AE819" s="324"/>
      <c r="AF819" s="324"/>
    </row>
    <row r="820" spans="1:32">
      <c r="A820" s="324"/>
      <c r="B820" s="244"/>
      <c r="C820" s="294"/>
      <c r="D820" s="235"/>
      <c r="E820" s="294"/>
      <c r="F820" s="235"/>
      <c r="G820" s="324"/>
      <c r="H820" s="324"/>
      <c r="I820" s="324"/>
      <c r="J820" s="324"/>
      <c r="K820" s="324"/>
      <c r="L820" s="324"/>
      <c r="M820" s="294"/>
      <c r="N820" s="235"/>
      <c r="O820" s="324"/>
      <c r="P820" s="235"/>
      <c r="Q820" s="324"/>
      <c r="R820" s="324"/>
      <c r="S820" s="324"/>
      <c r="T820" s="324"/>
      <c r="U820" s="324"/>
      <c r="V820" s="377">
        <v>41590</v>
      </c>
      <c r="W820" s="198">
        <v>44.599997999999999</v>
      </c>
      <c r="X820" s="349">
        <f t="shared" si="36"/>
        <v>7.4542127851817686E-3</v>
      </c>
      <c r="Y820" s="198">
        <v>1767.6899410000001</v>
      </c>
      <c r="Z820" s="349">
        <f t="shared" si="37"/>
        <v>-2.3703920471609408E-3</v>
      </c>
      <c r="AA820" s="324"/>
      <c r="AB820" s="324"/>
      <c r="AC820" s="324"/>
      <c r="AD820" s="324"/>
      <c r="AE820" s="324"/>
      <c r="AF820" s="324"/>
    </row>
    <row r="821" spans="1:32">
      <c r="A821" s="324"/>
      <c r="B821" s="244"/>
      <c r="C821" s="294"/>
      <c r="D821" s="235"/>
      <c r="E821" s="294"/>
      <c r="F821" s="235"/>
      <c r="G821" s="324"/>
      <c r="H821" s="324"/>
      <c r="I821" s="324"/>
      <c r="J821" s="324"/>
      <c r="K821" s="324"/>
      <c r="L821" s="324"/>
      <c r="M821" s="294"/>
      <c r="N821" s="235"/>
      <c r="O821" s="324"/>
      <c r="P821" s="235"/>
      <c r="Q821" s="324"/>
      <c r="R821" s="324"/>
      <c r="S821" s="324"/>
      <c r="T821" s="324"/>
      <c r="U821" s="324"/>
      <c r="V821" s="377">
        <v>41589</v>
      </c>
      <c r="W821" s="198">
        <v>44.27</v>
      </c>
      <c r="X821" s="349">
        <f t="shared" si="36"/>
        <v>2.1929824561403466E-2</v>
      </c>
      <c r="Y821" s="198">
        <v>1771.8900149999999</v>
      </c>
      <c r="Z821" s="349">
        <f t="shared" si="37"/>
        <v>7.2293165115056013E-4</v>
      </c>
      <c r="AA821" s="324"/>
      <c r="AB821" s="324"/>
      <c r="AC821" s="324"/>
      <c r="AD821" s="324"/>
      <c r="AE821" s="324"/>
      <c r="AF821" s="324"/>
    </row>
    <row r="822" spans="1:32">
      <c r="A822" s="324"/>
      <c r="B822" s="244"/>
      <c r="C822" s="294"/>
      <c r="D822" s="235"/>
      <c r="E822" s="294"/>
      <c r="F822" s="235"/>
      <c r="G822" s="324"/>
      <c r="H822" s="324"/>
      <c r="I822" s="324"/>
      <c r="J822" s="324"/>
      <c r="K822" s="324"/>
      <c r="L822" s="324"/>
      <c r="M822" s="294"/>
      <c r="N822" s="235"/>
      <c r="O822" s="324"/>
      <c r="P822" s="235"/>
      <c r="Q822" s="324"/>
      <c r="R822" s="324"/>
      <c r="S822" s="324"/>
      <c r="T822" s="324"/>
      <c r="U822" s="324"/>
      <c r="V822" s="377">
        <v>41586</v>
      </c>
      <c r="W822" s="198">
        <v>43.32</v>
      </c>
      <c r="X822" s="349">
        <f t="shared" si="36"/>
        <v>2.7777545653298041E-3</v>
      </c>
      <c r="Y822" s="198">
        <v>1770.6099850000001</v>
      </c>
      <c r="Z822" s="349">
        <f t="shared" si="37"/>
        <v>1.3427559555698521E-2</v>
      </c>
      <c r="AA822" s="324"/>
      <c r="AB822" s="324"/>
      <c r="AC822" s="324"/>
      <c r="AD822" s="324"/>
      <c r="AE822" s="324"/>
      <c r="AF822" s="324"/>
    </row>
    <row r="823" spans="1:32">
      <c r="A823" s="324"/>
      <c r="B823" s="244"/>
      <c r="C823" s="294"/>
      <c r="D823" s="235"/>
      <c r="E823" s="294"/>
      <c r="F823" s="235"/>
      <c r="G823" s="324"/>
      <c r="H823" s="324"/>
      <c r="I823" s="324"/>
      <c r="J823" s="324"/>
      <c r="K823" s="324"/>
      <c r="L823" s="324"/>
      <c r="M823" s="294"/>
      <c r="N823" s="235"/>
      <c r="O823" s="324"/>
      <c r="P823" s="235"/>
      <c r="Q823" s="324"/>
      <c r="R823" s="324"/>
      <c r="S823" s="324"/>
      <c r="T823" s="324"/>
      <c r="U823" s="324"/>
      <c r="V823" s="377">
        <v>41585</v>
      </c>
      <c r="W823" s="198">
        <v>43.200001</v>
      </c>
      <c r="X823" s="349">
        <f t="shared" si="36"/>
        <v>-1.9741297935103264E-2</v>
      </c>
      <c r="Y823" s="198">
        <v>1747.150024</v>
      </c>
      <c r="Z823" s="349">
        <f t="shared" si="37"/>
        <v>-1.3182772075429838E-2</v>
      </c>
      <c r="AA823" s="324"/>
      <c r="AB823" s="324"/>
      <c r="AC823" s="324"/>
      <c r="AD823" s="324"/>
      <c r="AE823" s="324"/>
      <c r="AF823" s="324"/>
    </row>
    <row r="824" spans="1:32">
      <c r="A824" s="324"/>
      <c r="B824" s="244"/>
      <c r="C824" s="294"/>
      <c r="D824" s="235"/>
      <c r="E824" s="294"/>
      <c r="F824" s="235"/>
      <c r="G824" s="324"/>
      <c r="H824" s="324"/>
      <c r="I824" s="324"/>
      <c r="J824" s="324"/>
      <c r="K824" s="324"/>
      <c r="L824" s="324"/>
      <c r="M824" s="294"/>
      <c r="N824" s="235"/>
      <c r="O824" s="324"/>
      <c r="P824" s="235"/>
      <c r="Q824" s="324"/>
      <c r="R824" s="324"/>
      <c r="S824" s="324"/>
      <c r="T824" s="324"/>
      <c r="U824" s="324"/>
      <c r="V824" s="377">
        <v>41584</v>
      </c>
      <c r="W824" s="198">
        <v>44.07</v>
      </c>
      <c r="X824" s="349">
        <f t="shared" si="36"/>
        <v>2.6554856743536082E-2</v>
      </c>
      <c r="Y824" s="198">
        <v>1770.48999</v>
      </c>
      <c r="Z824" s="349">
        <f t="shared" si="37"/>
        <v>4.265540039649407E-3</v>
      </c>
      <c r="AA824" s="324"/>
      <c r="AB824" s="324"/>
      <c r="AC824" s="324"/>
      <c r="AD824" s="324"/>
      <c r="AE824" s="324"/>
      <c r="AF824" s="324"/>
    </row>
    <row r="825" spans="1:32">
      <c r="A825" s="324"/>
      <c r="B825" s="244"/>
      <c r="C825" s="294"/>
      <c r="D825" s="235"/>
      <c r="E825" s="294"/>
      <c r="F825" s="235"/>
      <c r="G825" s="324"/>
      <c r="H825" s="324"/>
      <c r="I825" s="324"/>
      <c r="J825" s="324"/>
      <c r="K825" s="324"/>
      <c r="L825" s="324"/>
      <c r="M825" s="294"/>
      <c r="N825" s="235"/>
      <c r="O825" s="324"/>
      <c r="P825" s="235"/>
      <c r="Q825" s="324"/>
      <c r="R825" s="324"/>
      <c r="S825" s="324"/>
      <c r="T825" s="324"/>
      <c r="U825" s="324"/>
      <c r="V825" s="377">
        <v>41583</v>
      </c>
      <c r="W825" s="198">
        <v>42.93</v>
      </c>
      <c r="X825" s="349">
        <f t="shared" si="36"/>
        <v>-3.9442693245600458E-3</v>
      </c>
      <c r="Y825" s="198">
        <v>1762.969971</v>
      </c>
      <c r="Z825" s="349">
        <f t="shared" si="37"/>
        <v>-2.8055878052288818E-3</v>
      </c>
      <c r="AA825" s="324"/>
      <c r="AB825" s="324"/>
      <c r="AC825" s="324"/>
      <c r="AD825" s="324"/>
      <c r="AE825" s="324"/>
      <c r="AF825" s="324"/>
    </row>
    <row r="826" spans="1:32">
      <c r="A826" s="324"/>
      <c r="B826" s="244"/>
      <c r="C826" s="294"/>
      <c r="D826" s="235"/>
      <c r="E826" s="294"/>
      <c r="F826" s="235"/>
      <c r="G826" s="324"/>
      <c r="H826" s="324"/>
      <c r="I826" s="324"/>
      <c r="J826" s="324"/>
      <c r="K826" s="324"/>
      <c r="L826" s="324"/>
      <c r="M826" s="294"/>
      <c r="N826" s="235"/>
      <c r="O826" s="324"/>
      <c r="P826" s="235"/>
      <c r="Q826" s="324"/>
      <c r="R826" s="324"/>
      <c r="S826" s="324"/>
      <c r="T826" s="324"/>
      <c r="U826" s="324"/>
      <c r="V826" s="377">
        <v>41582</v>
      </c>
      <c r="W826" s="198">
        <v>43.099997999999999</v>
      </c>
      <c r="X826" s="349">
        <f t="shared" si="36"/>
        <v>-3.0072172102706407E-3</v>
      </c>
      <c r="Y826" s="198">
        <v>1767.9300539999999</v>
      </c>
      <c r="Z826" s="349">
        <f t="shared" si="37"/>
        <v>3.5705586535510481E-3</v>
      </c>
      <c r="AA826" s="324"/>
      <c r="AB826" s="324"/>
      <c r="AC826" s="324"/>
      <c r="AD826" s="324"/>
      <c r="AE826" s="324"/>
      <c r="AF826" s="324"/>
    </row>
    <row r="827" spans="1:32">
      <c r="A827" s="324"/>
      <c r="B827" s="244"/>
      <c r="C827" s="294"/>
      <c r="D827" s="235"/>
      <c r="E827" s="294"/>
      <c r="F827" s="235"/>
      <c r="G827" s="324"/>
      <c r="H827" s="324"/>
      <c r="I827" s="324"/>
      <c r="J827" s="324"/>
      <c r="K827" s="324"/>
      <c r="L827" s="324"/>
      <c r="M827" s="294"/>
      <c r="N827" s="235"/>
      <c r="O827" s="324"/>
      <c r="P827" s="235"/>
      <c r="Q827" s="324"/>
      <c r="R827" s="324"/>
      <c r="S827" s="324"/>
      <c r="T827" s="324"/>
      <c r="U827" s="324"/>
      <c r="V827" s="377">
        <v>41579</v>
      </c>
      <c r="W827" s="198">
        <v>43.23</v>
      </c>
      <c r="X827" s="349">
        <f t="shared" si="36"/>
        <v>-9.2442801016889842E-4</v>
      </c>
      <c r="Y827" s="198">
        <v>1761.6400149999999</v>
      </c>
      <c r="Z827" s="349">
        <f t="shared" si="37"/>
        <v>2.9034214346195242E-3</v>
      </c>
      <c r="AA827" s="324"/>
      <c r="AB827" s="324"/>
      <c r="AC827" s="324"/>
      <c r="AD827" s="324"/>
      <c r="AE827" s="324"/>
      <c r="AF827" s="324"/>
    </row>
    <row r="828" spans="1:32">
      <c r="A828" s="324"/>
      <c r="B828" s="244"/>
      <c r="C828" s="294"/>
      <c r="D828" s="235"/>
      <c r="E828" s="294"/>
      <c r="F828" s="235"/>
      <c r="G828" s="324"/>
      <c r="H828" s="324"/>
      <c r="I828" s="324"/>
      <c r="J828" s="324"/>
      <c r="K828" s="324"/>
      <c r="L828" s="324"/>
      <c r="M828" s="294"/>
      <c r="N828" s="235"/>
      <c r="O828" s="324"/>
      <c r="P828" s="235"/>
      <c r="Q828" s="324"/>
      <c r="R828" s="324"/>
      <c r="S828" s="324"/>
      <c r="T828" s="324"/>
      <c r="U828" s="324"/>
      <c r="V828" s="377">
        <v>41578</v>
      </c>
      <c r="W828" s="198">
        <v>43.27</v>
      </c>
      <c r="X828" s="349">
        <f t="shared" si="36"/>
        <v>-2.7655912137725114E-3</v>
      </c>
      <c r="Y828" s="198">
        <v>1756.540039</v>
      </c>
      <c r="Z828" s="349">
        <f t="shared" si="37"/>
        <v>-3.8393814890611555E-3</v>
      </c>
      <c r="AA828" s="324"/>
      <c r="AB828" s="324"/>
      <c r="AC828" s="324"/>
      <c r="AD828" s="324"/>
      <c r="AE828" s="324"/>
      <c r="AF828" s="324"/>
    </row>
    <row r="829" spans="1:32">
      <c r="A829" s="324"/>
      <c r="B829" s="244"/>
      <c r="C829" s="294"/>
      <c r="D829" s="235"/>
      <c r="E829" s="294"/>
      <c r="F829" s="235"/>
      <c r="G829" s="324"/>
      <c r="H829" s="324"/>
      <c r="I829" s="324"/>
      <c r="J829" s="324"/>
      <c r="K829" s="324"/>
      <c r="L829" s="324"/>
      <c r="M829" s="294"/>
      <c r="N829" s="235"/>
      <c r="O829" s="324"/>
      <c r="P829" s="235"/>
      <c r="Q829" s="324"/>
      <c r="R829" s="324"/>
      <c r="S829" s="324"/>
      <c r="T829" s="324"/>
      <c r="U829" s="324"/>
      <c r="V829" s="377">
        <v>41577</v>
      </c>
      <c r="W829" s="198">
        <v>43.389999000000003</v>
      </c>
      <c r="X829" s="349">
        <f t="shared" si="36"/>
        <v>-1.5430020422055768E-2</v>
      </c>
      <c r="Y829" s="198">
        <v>1763.3100589999999</v>
      </c>
      <c r="Z829" s="349">
        <f t="shared" si="37"/>
        <v>-4.8759232703633471E-3</v>
      </c>
      <c r="AA829" s="324"/>
      <c r="AB829" s="324"/>
      <c r="AC829" s="324"/>
      <c r="AD829" s="324"/>
      <c r="AE829" s="324"/>
      <c r="AF829" s="324"/>
    </row>
    <row r="830" spans="1:32">
      <c r="A830" s="324"/>
      <c r="B830" s="244"/>
      <c r="C830" s="294"/>
      <c r="D830" s="235"/>
      <c r="E830" s="294"/>
      <c r="F830" s="235"/>
      <c r="G830" s="324"/>
      <c r="H830" s="324"/>
      <c r="I830" s="324"/>
      <c r="J830" s="324"/>
      <c r="K830" s="324"/>
      <c r="L830" s="324"/>
      <c r="M830" s="294"/>
      <c r="N830" s="235"/>
      <c r="O830" s="324"/>
      <c r="P830" s="235"/>
      <c r="Q830" s="324"/>
      <c r="R830" s="324"/>
      <c r="S830" s="324"/>
      <c r="T830" s="324"/>
      <c r="U830" s="324"/>
      <c r="V830" s="377">
        <v>41576</v>
      </c>
      <c r="W830" s="198">
        <v>44.07</v>
      </c>
      <c r="X830" s="349">
        <f t="shared" si="36"/>
        <v>1.1011699931176899E-2</v>
      </c>
      <c r="Y830" s="198">
        <v>1771.9499510000001</v>
      </c>
      <c r="Z830" s="349">
        <f t="shared" si="37"/>
        <v>5.5841951318378324E-3</v>
      </c>
      <c r="AA830" s="324"/>
      <c r="AB830" s="324"/>
      <c r="AC830" s="324"/>
      <c r="AD830" s="324"/>
      <c r="AE830" s="324"/>
      <c r="AF830" s="324"/>
    </row>
    <row r="831" spans="1:32">
      <c r="A831" s="324"/>
      <c r="B831" s="244"/>
      <c r="C831" s="294"/>
      <c r="D831" s="235"/>
      <c r="E831" s="294"/>
      <c r="F831" s="235"/>
      <c r="G831" s="324"/>
      <c r="H831" s="324"/>
      <c r="I831" s="324"/>
      <c r="J831" s="324"/>
      <c r="K831" s="324"/>
      <c r="L831" s="324"/>
      <c r="M831" s="294"/>
      <c r="N831" s="235"/>
      <c r="O831" s="324"/>
      <c r="P831" s="235"/>
      <c r="Q831" s="324"/>
      <c r="R831" s="324"/>
      <c r="S831" s="324"/>
      <c r="T831" s="324"/>
      <c r="U831" s="324"/>
      <c r="V831" s="377">
        <v>41575</v>
      </c>
      <c r="W831" s="198">
        <v>43.59</v>
      </c>
      <c r="X831" s="349">
        <f t="shared" si="36"/>
        <v>4.3778338996389721E-3</v>
      </c>
      <c r="Y831" s="198">
        <v>1762.1099850000001</v>
      </c>
      <c r="Z831" s="349">
        <f t="shared" si="37"/>
        <v>1.3296993205964558E-3</v>
      </c>
      <c r="AA831" s="324"/>
      <c r="AB831" s="324"/>
      <c r="AC831" s="324"/>
      <c r="AD831" s="324"/>
      <c r="AE831" s="324"/>
      <c r="AF831" s="324"/>
    </row>
    <row r="832" spans="1:32">
      <c r="A832" s="324"/>
      <c r="B832" s="244"/>
      <c r="C832" s="294"/>
      <c r="D832" s="235"/>
      <c r="E832" s="294"/>
      <c r="F832" s="235"/>
      <c r="G832" s="324"/>
      <c r="H832" s="324"/>
      <c r="I832" s="324"/>
      <c r="J832" s="324"/>
      <c r="K832" s="324"/>
      <c r="L832" s="324"/>
      <c r="M832" s="294"/>
      <c r="N832" s="235"/>
      <c r="O832" s="324"/>
      <c r="P832" s="235"/>
      <c r="Q832" s="324"/>
      <c r="R832" s="324"/>
      <c r="S832" s="324"/>
      <c r="T832" s="324"/>
      <c r="U832" s="324"/>
      <c r="V832" s="377">
        <v>41572</v>
      </c>
      <c r="W832" s="198">
        <v>43.400002000000001</v>
      </c>
      <c r="X832" s="349">
        <f t="shared" si="36"/>
        <v>-7.9999542857143169E-3</v>
      </c>
      <c r="Y832" s="198">
        <v>1759.7700199999999</v>
      </c>
      <c r="Z832" s="349">
        <f t="shared" si="37"/>
        <v>4.3948439487699886E-3</v>
      </c>
      <c r="AA832" s="324"/>
      <c r="AB832" s="324"/>
      <c r="AC832" s="324"/>
      <c r="AD832" s="324"/>
      <c r="AE832" s="324"/>
      <c r="AF832" s="324"/>
    </row>
    <row r="833" spans="1:32">
      <c r="A833" s="324"/>
      <c r="B833" s="244"/>
      <c r="C833" s="294"/>
      <c r="D833" s="235"/>
      <c r="E833" s="294"/>
      <c r="F833" s="235"/>
      <c r="G833" s="324"/>
      <c r="H833" s="324"/>
      <c r="I833" s="324"/>
      <c r="J833" s="324"/>
      <c r="K833" s="324"/>
      <c r="L833" s="324"/>
      <c r="M833" s="294"/>
      <c r="N833" s="235"/>
      <c r="O833" s="324"/>
      <c r="P833" s="235"/>
      <c r="Q833" s="324"/>
      <c r="R833" s="324"/>
      <c r="S833" s="324"/>
      <c r="T833" s="324"/>
      <c r="U833" s="324"/>
      <c r="V833" s="377">
        <v>41571</v>
      </c>
      <c r="W833" s="198">
        <v>43.75</v>
      </c>
      <c r="X833" s="349">
        <f t="shared" si="36"/>
        <v>3.305790002634712E-2</v>
      </c>
      <c r="Y833" s="198">
        <v>1752.0699460000001</v>
      </c>
      <c r="Z833" s="349">
        <f t="shared" si="37"/>
        <v>3.258134531836987E-3</v>
      </c>
      <c r="AA833" s="324"/>
      <c r="AB833" s="324"/>
      <c r="AC833" s="324"/>
      <c r="AD833" s="324"/>
      <c r="AE833" s="324"/>
      <c r="AF833" s="324"/>
    </row>
    <row r="834" spans="1:32">
      <c r="A834" s="324"/>
      <c r="B834" s="244"/>
      <c r="C834" s="294"/>
      <c r="D834" s="235"/>
      <c r="E834" s="294"/>
      <c r="F834" s="235"/>
      <c r="G834" s="324"/>
      <c r="H834" s="324"/>
      <c r="I834" s="324"/>
      <c r="J834" s="324"/>
      <c r="K834" s="324"/>
      <c r="L834" s="324"/>
      <c r="M834" s="294"/>
      <c r="N834" s="235"/>
      <c r="O834" s="324"/>
      <c r="P834" s="235"/>
      <c r="Q834" s="324"/>
      <c r="R834" s="324"/>
      <c r="S834" s="324"/>
      <c r="T834" s="324"/>
      <c r="U834" s="324"/>
      <c r="V834" s="377">
        <v>41570</v>
      </c>
      <c r="W834" s="198">
        <v>42.349997999999999</v>
      </c>
      <c r="X834" s="349">
        <f t="shared" si="36"/>
        <v>-1.3050617571661594E-2</v>
      </c>
      <c r="Y834" s="198">
        <v>1746.380005</v>
      </c>
      <c r="Z834" s="349">
        <f t="shared" si="37"/>
        <v>-4.7245572056965335E-3</v>
      </c>
      <c r="AA834" s="324"/>
      <c r="AB834" s="324"/>
      <c r="AC834" s="324"/>
      <c r="AD834" s="324"/>
      <c r="AE834" s="324"/>
      <c r="AF834" s="324"/>
    </row>
    <row r="835" spans="1:32">
      <c r="A835" s="324"/>
      <c r="B835" s="244"/>
      <c r="C835" s="294"/>
      <c r="D835" s="235"/>
      <c r="E835" s="294"/>
      <c r="F835" s="235"/>
      <c r="G835" s="324"/>
      <c r="H835" s="324"/>
      <c r="I835" s="324"/>
      <c r="J835" s="324"/>
      <c r="K835" s="324"/>
      <c r="L835" s="324"/>
      <c r="M835" s="294"/>
      <c r="N835" s="235"/>
      <c r="O835" s="324"/>
      <c r="P835" s="235"/>
      <c r="Q835" s="324"/>
      <c r="R835" s="324"/>
      <c r="S835" s="324"/>
      <c r="T835" s="324"/>
      <c r="U835" s="324"/>
      <c r="V835" s="377">
        <v>41569</v>
      </c>
      <c r="W835" s="198">
        <v>42.91</v>
      </c>
      <c r="X835" s="349">
        <f t="shared" si="36"/>
        <v>7.513500821789032E-3</v>
      </c>
      <c r="Y835" s="198">
        <v>1754.670044</v>
      </c>
      <c r="Z835" s="349">
        <f t="shared" si="37"/>
        <v>5.737513214565837E-3</v>
      </c>
      <c r="AA835" s="324"/>
      <c r="AB835" s="324"/>
      <c r="AC835" s="324"/>
      <c r="AD835" s="324"/>
      <c r="AE835" s="324"/>
      <c r="AF835" s="324"/>
    </row>
    <row r="836" spans="1:32">
      <c r="A836" s="324"/>
      <c r="B836" s="244"/>
      <c r="C836" s="294"/>
      <c r="D836" s="235"/>
      <c r="E836" s="294"/>
      <c r="F836" s="235"/>
      <c r="G836" s="324"/>
      <c r="H836" s="324"/>
      <c r="I836" s="324"/>
      <c r="J836" s="324"/>
      <c r="K836" s="324"/>
      <c r="L836" s="324"/>
      <c r="M836" s="294"/>
      <c r="N836" s="235"/>
      <c r="O836" s="324"/>
      <c r="P836" s="235"/>
      <c r="Q836" s="324"/>
      <c r="R836" s="324"/>
      <c r="S836" s="324"/>
      <c r="T836" s="324"/>
      <c r="U836" s="324"/>
      <c r="V836" s="377">
        <v>41568</v>
      </c>
      <c r="W836" s="198">
        <v>42.59</v>
      </c>
      <c r="X836" s="349">
        <f t="shared" si="36"/>
        <v>-1.6170038896510808E-2</v>
      </c>
      <c r="Y836" s="198">
        <v>1744.660034</v>
      </c>
      <c r="Z836" s="349">
        <f t="shared" si="37"/>
        <v>9.1736314130175245E-5</v>
      </c>
      <c r="AA836" s="324"/>
      <c r="AB836" s="324"/>
      <c r="AC836" s="324"/>
      <c r="AD836" s="324"/>
      <c r="AE836" s="324"/>
      <c r="AF836" s="324"/>
    </row>
    <row r="837" spans="1:32">
      <c r="A837" s="324"/>
      <c r="B837" s="244"/>
      <c r="C837" s="294"/>
      <c r="D837" s="235"/>
      <c r="E837" s="294"/>
      <c r="F837" s="235"/>
      <c r="G837" s="324"/>
      <c r="H837" s="324"/>
      <c r="I837" s="324"/>
      <c r="J837" s="324"/>
      <c r="K837" s="324"/>
      <c r="L837" s="324"/>
      <c r="M837" s="294"/>
      <c r="N837" s="235"/>
      <c r="O837" s="324"/>
      <c r="P837" s="235"/>
      <c r="Q837" s="324"/>
      <c r="R837" s="324"/>
      <c r="S837" s="324"/>
      <c r="T837" s="324"/>
      <c r="U837" s="324"/>
      <c r="V837" s="377">
        <v>41565</v>
      </c>
      <c r="W837" s="198">
        <v>43.290000999999997</v>
      </c>
      <c r="X837" s="349">
        <f t="shared" si="36"/>
        <v>-5.513393188913196E-3</v>
      </c>
      <c r="Y837" s="198">
        <v>1744.5</v>
      </c>
      <c r="Z837" s="349">
        <f t="shared" si="37"/>
        <v>6.5487556430947613E-3</v>
      </c>
      <c r="AA837" s="324"/>
      <c r="AB837" s="324"/>
      <c r="AC837" s="324"/>
      <c r="AD837" s="324"/>
      <c r="AE837" s="324"/>
      <c r="AF837" s="324"/>
    </row>
    <row r="838" spans="1:32">
      <c r="A838" s="324"/>
      <c r="B838" s="244"/>
      <c r="C838" s="294"/>
      <c r="D838" s="235"/>
      <c r="E838" s="294"/>
      <c r="F838" s="235"/>
      <c r="G838" s="324"/>
      <c r="H838" s="324"/>
      <c r="I838" s="324"/>
      <c r="J838" s="324"/>
      <c r="K838" s="324"/>
      <c r="L838" s="324"/>
      <c r="M838" s="294"/>
      <c r="N838" s="235"/>
      <c r="O838" s="324"/>
      <c r="P838" s="235"/>
      <c r="Q838" s="324"/>
      <c r="R838" s="324"/>
      <c r="S838" s="324"/>
      <c r="T838" s="324"/>
      <c r="U838" s="324"/>
      <c r="V838" s="377">
        <v>41564</v>
      </c>
      <c r="W838" s="198">
        <v>43.529998999999997</v>
      </c>
      <c r="X838" s="349">
        <f t="shared" si="36"/>
        <v>-1.6054817250221731E-3</v>
      </c>
      <c r="Y838" s="198">
        <v>1733.150024</v>
      </c>
      <c r="Z838" s="349">
        <f t="shared" si="37"/>
        <v>6.7439529357353756E-3</v>
      </c>
      <c r="AA838" s="324"/>
      <c r="AB838" s="324"/>
      <c r="AC838" s="324"/>
      <c r="AD838" s="324"/>
      <c r="AE838" s="324"/>
      <c r="AF838" s="324"/>
    </row>
    <row r="839" spans="1:32">
      <c r="A839" s="324"/>
      <c r="B839" s="244"/>
      <c r="C839" s="294"/>
      <c r="D839" s="235"/>
      <c r="E839" s="294"/>
      <c r="F839" s="235"/>
      <c r="G839" s="324"/>
      <c r="H839" s="324"/>
      <c r="I839" s="324"/>
      <c r="J839" s="324"/>
      <c r="K839" s="324"/>
      <c r="L839" s="324"/>
      <c r="M839" s="294"/>
      <c r="N839" s="235"/>
      <c r="O839" s="324"/>
      <c r="P839" s="235"/>
      <c r="Q839" s="324"/>
      <c r="R839" s="324"/>
      <c r="S839" s="324"/>
      <c r="T839" s="324"/>
      <c r="U839" s="324"/>
      <c r="V839" s="377">
        <v>41563</v>
      </c>
      <c r="W839" s="198">
        <v>43.599997999999999</v>
      </c>
      <c r="X839" s="349">
        <f t="shared" si="36"/>
        <v>2.3233911681907804E-2</v>
      </c>
      <c r="Y839" s="198">
        <v>1721.540039</v>
      </c>
      <c r="Z839" s="349">
        <f t="shared" si="37"/>
        <v>1.3827532115576302E-2</v>
      </c>
      <c r="AA839" s="324"/>
      <c r="AB839" s="324"/>
      <c r="AC839" s="324"/>
      <c r="AD839" s="324"/>
      <c r="AE839" s="324"/>
      <c r="AF839" s="324"/>
    </row>
    <row r="840" spans="1:32">
      <c r="A840" s="324"/>
      <c r="B840" s="244"/>
      <c r="C840" s="294"/>
      <c r="D840" s="235"/>
      <c r="E840" s="294"/>
      <c r="F840" s="235"/>
      <c r="G840" s="324"/>
      <c r="H840" s="324"/>
      <c r="I840" s="324"/>
      <c r="J840" s="324"/>
      <c r="K840" s="324"/>
      <c r="L840" s="324"/>
      <c r="M840" s="294"/>
      <c r="N840" s="235"/>
      <c r="O840" s="324"/>
      <c r="P840" s="235"/>
      <c r="Q840" s="324"/>
      <c r="R840" s="324"/>
      <c r="S840" s="324"/>
      <c r="T840" s="324"/>
      <c r="U840" s="324"/>
      <c r="V840" s="377">
        <v>41562</v>
      </c>
      <c r="W840" s="198">
        <v>42.610000999999997</v>
      </c>
      <c r="X840" s="349">
        <f t="shared" si="36"/>
        <v>-5.3687908496733439E-3</v>
      </c>
      <c r="Y840" s="198">
        <v>1698.0600589999999</v>
      </c>
      <c r="Z840" s="349">
        <f t="shared" si="37"/>
        <v>-7.0637233758897855E-3</v>
      </c>
      <c r="AA840" s="324"/>
      <c r="AB840" s="324"/>
      <c r="AC840" s="324"/>
      <c r="AD840" s="324"/>
      <c r="AE840" s="324"/>
      <c r="AF840" s="324"/>
    </row>
    <row r="841" spans="1:32">
      <c r="A841" s="324"/>
      <c r="B841" s="244"/>
      <c r="C841" s="294"/>
      <c r="D841" s="235"/>
      <c r="E841" s="294"/>
      <c r="F841" s="235"/>
      <c r="G841" s="324"/>
      <c r="H841" s="324"/>
      <c r="I841" s="324"/>
      <c r="J841" s="324"/>
      <c r="K841" s="324"/>
      <c r="L841" s="324"/>
      <c r="M841" s="294"/>
      <c r="N841" s="235"/>
      <c r="O841" s="324"/>
      <c r="P841" s="235"/>
      <c r="Q841" s="324"/>
      <c r="R841" s="324"/>
      <c r="S841" s="324"/>
      <c r="T841" s="324"/>
      <c r="U841" s="324"/>
      <c r="V841" s="377">
        <v>41561</v>
      </c>
      <c r="W841" s="198">
        <v>42.84</v>
      </c>
      <c r="X841" s="349">
        <f t="shared" ref="X841:X904" si="38">W841/W842-1</f>
        <v>4.6707146193369908E-4</v>
      </c>
      <c r="Y841" s="198">
        <v>1710.1400149999999</v>
      </c>
      <c r="Z841" s="349">
        <f t="shared" ref="Z841:Z904" si="39">Y841/Y842-1</f>
        <v>4.0747206432956151E-3</v>
      </c>
      <c r="AA841" s="324"/>
      <c r="AB841" s="324"/>
      <c r="AC841" s="324"/>
      <c r="AD841" s="324"/>
      <c r="AE841" s="324"/>
      <c r="AF841" s="324"/>
    </row>
    <row r="842" spans="1:32">
      <c r="A842" s="324"/>
      <c r="B842" s="244"/>
      <c r="C842" s="294"/>
      <c r="D842" s="235"/>
      <c r="E842" s="294"/>
      <c r="F842" s="235"/>
      <c r="G842" s="324"/>
      <c r="H842" s="324"/>
      <c r="I842" s="324"/>
      <c r="J842" s="324"/>
      <c r="K842" s="324"/>
      <c r="L842" s="324"/>
      <c r="M842" s="294"/>
      <c r="N842" s="235"/>
      <c r="O842" s="324"/>
      <c r="P842" s="235"/>
      <c r="Q842" s="324"/>
      <c r="R842" s="324"/>
      <c r="S842" s="324"/>
      <c r="T842" s="324"/>
      <c r="U842" s="324"/>
      <c r="V842" s="377">
        <v>41558</v>
      </c>
      <c r="W842" s="198">
        <v>42.82</v>
      </c>
      <c r="X842" s="349">
        <f t="shared" si="38"/>
        <v>-1.1662934725050755E-3</v>
      </c>
      <c r="Y842" s="198">
        <v>1703.1999510000001</v>
      </c>
      <c r="Z842" s="349">
        <f t="shared" si="39"/>
        <v>6.2862714640012918E-3</v>
      </c>
      <c r="AA842" s="324"/>
      <c r="AB842" s="324"/>
      <c r="AC842" s="324"/>
      <c r="AD842" s="324"/>
      <c r="AE842" s="324"/>
      <c r="AF842" s="324"/>
    </row>
    <row r="843" spans="1:32">
      <c r="A843" s="324"/>
      <c r="B843" s="244"/>
      <c r="C843" s="294"/>
      <c r="D843" s="235"/>
      <c r="E843" s="294"/>
      <c r="F843" s="235"/>
      <c r="G843" s="324"/>
      <c r="H843" s="324"/>
      <c r="I843" s="324"/>
      <c r="J843" s="324"/>
      <c r="K843" s="324"/>
      <c r="L843" s="324"/>
      <c r="M843" s="294"/>
      <c r="N843" s="235"/>
      <c r="O843" s="324"/>
      <c r="P843" s="235"/>
      <c r="Q843" s="324"/>
      <c r="R843" s="324"/>
      <c r="S843" s="324"/>
      <c r="T843" s="324"/>
      <c r="U843" s="324"/>
      <c r="V843" s="377">
        <v>41557</v>
      </c>
      <c r="W843" s="198">
        <v>42.869999</v>
      </c>
      <c r="X843" s="349">
        <f t="shared" si="38"/>
        <v>-5.3364039599259616E-3</v>
      </c>
      <c r="Y843" s="198">
        <v>1692.5600589999999</v>
      </c>
      <c r="Z843" s="349">
        <f t="shared" si="39"/>
        <v>2.1830496544354094E-2</v>
      </c>
      <c r="AA843" s="324"/>
      <c r="AB843" s="324"/>
      <c r="AC843" s="324"/>
      <c r="AD843" s="324"/>
      <c r="AE843" s="324"/>
      <c r="AF843" s="324"/>
    </row>
    <row r="844" spans="1:32">
      <c r="A844" s="324"/>
      <c r="B844" s="244"/>
      <c r="C844" s="294"/>
      <c r="D844" s="235"/>
      <c r="E844" s="294"/>
      <c r="F844" s="235"/>
      <c r="G844" s="324"/>
      <c r="H844" s="324"/>
      <c r="I844" s="324"/>
      <c r="J844" s="324"/>
      <c r="K844" s="324"/>
      <c r="L844" s="324"/>
      <c r="M844" s="294"/>
      <c r="N844" s="235"/>
      <c r="O844" s="324"/>
      <c r="P844" s="235"/>
      <c r="Q844" s="324"/>
      <c r="R844" s="324"/>
      <c r="S844" s="324"/>
      <c r="T844" s="324"/>
      <c r="U844" s="324"/>
      <c r="V844" s="377">
        <v>41556</v>
      </c>
      <c r="W844" s="198">
        <v>43.099997999999999</v>
      </c>
      <c r="X844" s="349">
        <f t="shared" si="38"/>
        <v>-4.618960845703457E-3</v>
      </c>
      <c r="Y844" s="198">
        <v>1656.400024</v>
      </c>
      <c r="Z844" s="349">
        <f t="shared" si="39"/>
        <v>5.7390620563668726E-4</v>
      </c>
      <c r="AA844" s="324"/>
      <c r="AB844" s="324"/>
      <c r="AC844" s="324"/>
      <c r="AD844" s="324"/>
      <c r="AE844" s="324"/>
      <c r="AF844" s="324"/>
    </row>
    <row r="845" spans="1:32">
      <c r="A845" s="324"/>
      <c r="B845" s="244"/>
      <c r="C845" s="294"/>
      <c r="D845" s="235"/>
      <c r="E845" s="294"/>
      <c r="F845" s="235"/>
      <c r="G845" s="324"/>
      <c r="H845" s="324"/>
      <c r="I845" s="324"/>
      <c r="J845" s="324"/>
      <c r="K845" s="324"/>
      <c r="L845" s="324"/>
      <c r="M845" s="294"/>
      <c r="N845" s="235"/>
      <c r="O845" s="324"/>
      <c r="P845" s="235"/>
      <c r="Q845" s="324"/>
      <c r="R845" s="324"/>
      <c r="S845" s="324"/>
      <c r="T845" s="324"/>
      <c r="U845" s="324"/>
      <c r="V845" s="377">
        <v>41555</v>
      </c>
      <c r="W845" s="198">
        <v>43.299999</v>
      </c>
      <c r="X845" s="349">
        <f t="shared" si="38"/>
        <v>-4.7304773436638636E-2</v>
      </c>
      <c r="Y845" s="198">
        <v>1655.4499510000001</v>
      </c>
      <c r="Z845" s="349">
        <f t="shared" si="39"/>
        <v>-1.2332078885557318E-2</v>
      </c>
      <c r="AA845" s="324"/>
      <c r="AB845" s="324"/>
      <c r="AC845" s="324"/>
      <c r="AD845" s="324"/>
      <c r="AE845" s="324"/>
      <c r="AF845" s="324"/>
    </row>
    <row r="846" spans="1:32">
      <c r="A846" s="324"/>
      <c r="B846" s="244"/>
      <c r="C846" s="294"/>
      <c r="D846" s="235"/>
      <c r="E846" s="294"/>
      <c r="F846" s="235"/>
      <c r="G846" s="324"/>
      <c r="H846" s="324"/>
      <c r="I846" s="324"/>
      <c r="J846" s="324"/>
      <c r="K846" s="324"/>
      <c r="L846" s="324"/>
      <c r="M846" s="294"/>
      <c r="N846" s="235"/>
      <c r="O846" s="324"/>
      <c r="P846" s="235"/>
      <c r="Q846" s="324"/>
      <c r="R846" s="324"/>
      <c r="S846" s="324"/>
      <c r="T846" s="324"/>
      <c r="U846" s="324"/>
      <c r="V846" s="377">
        <v>41554</v>
      </c>
      <c r="W846" s="198">
        <v>45.450001</v>
      </c>
      <c r="X846" s="349">
        <f t="shared" si="38"/>
        <v>8.8790678996464312E-3</v>
      </c>
      <c r="Y846" s="198">
        <v>1676.119995</v>
      </c>
      <c r="Z846" s="349">
        <f t="shared" si="39"/>
        <v>-8.5063620230700909E-3</v>
      </c>
      <c r="AA846" s="324"/>
      <c r="AB846" s="324"/>
      <c r="AC846" s="324"/>
      <c r="AD846" s="324"/>
      <c r="AE846" s="324"/>
      <c r="AF846" s="324"/>
    </row>
    <row r="847" spans="1:32">
      <c r="A847" s="324"/>
      <c r="B847" s="244"/>
      <c r="C847" s="294"/>
      <c r="D847" s="235"/>
      <c r="E847" s="294"/>
      <c r="F847" s="235"/>
      <c r="G847" s="324"/>
      <c r="H847" s="324"/>
      <c r="I847" s="324"/>
      <c r="J847" s="324"/>
      <c r="K847" s="324"/>
      <c r="L847" s="324"/>
      <c r="M847" s="294"/>
      <c r="N847" s="235"/>
      <c r="O847" s="324"/>
      <c r="P847" s="235"/>
      <c r="Q847" s="324"/>
      <c r="R847" s="324"/>
      <c r="S847" s="324"/>
      <c r="T847" s="324"/>
      <c r="U847" s="324"/>
      <c r="V847" s="377">
        <v>41551</v>
      </c>
      <c r="W847" s="198">
        <v>45.049999</v>
      </c>
      <c r="X847" s="349">
        <f t="shared" si="38"/>
        <v>3.1173235359609475E-3</v>
      </c>
      <c r="Y847" s="198">
        <v>1690.5</v>
      </c>
      <c r="Z847" s="349">
        <f t="shared" si="39"/>
        <v>7.0532244529508681E-3</v>
      </c>
      <c r="AA847" s="324"/>
      <c r="AB847" s="324"/>
      <c r="AC847" s="324"/>
      <c r="AD847" s="324"/>
      <c r="AE847" s="324"/>
      <c r="AF847" s="324"/>
    </row>
    <row r="848" spans="1:32">
      <c r="A848" s="324"/>
      <c r="B848" s="244"/>
      <c r="C848" s="294"/>
      <c r="D848" s="235"/>
      <c r="E848" s="294"/>
      <c r="F848" s="235"/>
      <c r="G848" s="324"/>
      <c r="H848" s="324"/>
      <c r="I848" s="324"/>
      <c r="J848" s="324"/>
      <c r="K848" s="324"/>
      <c r="L848" s="324"/>
      <c r="M848" s="294"/>
      <c r="N848" s="235"/>
      <c r="O848" s="324"/>
      <c r="P848" s="235"/>
      <c r="Q848" s="324"/>
      <c r="R848" s="324"/>
      <c r="S848" s="324"/>
      <c r="T848" s="324"/>
      <c r="U848" s="324"/>
      <c r="V848" s="377">
        <v>41550</v>
      </c>
      <c r="W848" s="198">
        <v>44.91</v>
      </c>
      <c r="X848" s="349">
        <f t="shared" si="38"/>
        <v>-7.9522862823062646E-3</v>
      </c>
      <c r="Y848" s="198">
        <v>1678.660034</v>
      </c>
      <c r="Z848" s="349">
        <f t="shared" si="39"/>
        <v>-8.9794146214863257E-3</v>
      </c>
      <c r="AA848" s="324"/>
      <c r="AB848" s="324"/>
      <c r="AC848" s="324"/>
      <c r="AD848" s="324"/>
      <c r="AE848" s="324"/>
      <c r="AF848" s="324"/>
    </row>
    <row r="849" spans="1:32">
      <c r="A849" s="324"/>
      <c r="B849" s="244"/>
      <c r="C849" s="294"/>
      <c r="D849" s="235"/>
      <c r="E849" s="294"/>
      <c r="F849" s="235"/>
      <c r="G849" s="324"/>
      <c r="H849" s="324"/>
      <c r="I849" s="324"/>
      <c r="J849" s="324"/>
      <c r="K849" s="324"/>
      <c r="L849" s="324"/>
      <c r="M849" s="294"/>
      <c r="N849" s="235"/>
      <c r="O849" s="324"/>
      <c r="P849" s="235"/>
      <c r="Q849" s="324"/>
      <c r="R849" s="324"/>
      <c r="S849" s="324"/>
      <c r="T849" s="324"/>
      <c r="U849" s="324"/>
      <c r="V849" s="377">
        <v>41549</v>
      </c>
      <c r="W849" s="198">
        <v>45.27</v>
      </c>
      <c r="X849" s="349">
        <f t="shared" si="38"/>
        <v>-1.0275513324201291E-2</v>
      </c>
      <c r="Y849" s="198">
        <v>1693.869995</v>
      </c>
      <c r="Z849" s="349">
        <f t="shared" si="39"/>
        <v>-6.6666961651917767E-4</v>
      </c>
      <c r="AA849" s="324"/>
      <c r="AB849" s="324"/>
      <c r="AC849" s="324"/>
      <c r="AD849" s="324"/>
      <c r="AE849" s="324"/>
      <c r="AF849" s="324"/>
    </row>
    <row r="850" spans="1:32">
      <c r="A850" s="324"/>
      <c r="B850" s="244"/>
      <c r="C850" s="294"/>
      <c r="D850" s="235"/>
      <c r="E850" s="294"/>
      <c r="F850" s="235"/>
      <c r="G850" s="324"/>
      <c r="H850" s="324"/>
      <c r="I850" s="324"/>
      <c r="J850" s="324"/>
      <c r="K850" s="324"/>
      <c r="L850" s="324"/>
      <c r="M850" s="294"/>
      <c r="N850" s="235"/>
      <c r="O850" s="324"/>
      <c r="P850" s="235"/>
      <c r="Q850" s="324"/>
      <c r="R850" s="324"/>
      <c r="S850" s="324"/>
      <c r="T850" s="324"/>
      <c r="U850" s="324"/>
      <c r="V850" s="377">
        <v>41548</v>
      </c>
      <c r="W850" s="198">
        <v>45.740001999999997</v>
      </c>
      <c r="X850" s="349">
        <f t="shared" si="38"/>
        <v>-8.6692026152841439E-3</v>
      </c>
      <c r="Y850" s="198">
        <v>1695</v>
      </c>
      <c r="Z850" s="349">
        <f t="shared" si="39"/>
        <v>7.9985433725262567E-3</v>
      </c>
      <c r="AA850" s="324"/>
      <c r="AB850" s="324"/>
      <c r="AC850" s="324"/>
      <c r="AD850" s="324"/>
      <c r="AE850" s="324"/>
      <c r="AF850" s="324"/>
    </row>
    <row r="851" spans="1:32">
      <c r="A851" s="324"/>
      <c r="B851" s="244"/>
      <c r="C851" s="294"/>
      <c r="D851" s="235"/>
      <c r="E851" s="294"/>
      <c r="F851" s="235"/>
      <c r="G851" s="324"/>
      <c r="H851" s="324"/>
      <c r="I851" s="324"/>
      <c r="J851" s="324"/>
      <c r="K851" s="324"/>
      <c r="L851" s="324"/>
      <c r="M851" s="294"/>
      <c r="N851" s="235"/>
      <c r="O851" s="324"/>
      <c r="P851" s="235"/>
      <c r="Q851" s="324"/>
      <c r="R851" s="324"/>
      <c r="S851" s="324"/>
      <c r="T851" s="324"/>
      <c r="U851" s="324"/>
      <c r="V851" s="377">
        <v>41547</v>
      </c>
      <c r="W851" s="198">
        <v>46.139999000000003</v>
      </c>
      <c r="X851" s="349">
        <f t="shared" si="38"/>
        <v>4.1348856553888869E-3</v>
      </c>
      <c r="Y851" s="198">
        <v>1681.5500489999999</v>
      </c>
      <c r="Z851" s="349">
        <f t="shared" si="39"/>
        <v>-6.0292306782917526E-3</v>
      </c>
      <c r="AA851" s="324"/>
      <c r="AB851" s="324"/>
      <c r="AC851" s="324"/>
      <c r="AD851" s="324"/>
      <c r="AE851" s="324"/>
      <c r="AF851" s="324"/>
    </row>
    <row r="852" spans="1:32">
      <c r="A852" s="324"/>
      <c r="B852" s="244"/>
      <c r="C852" s="294"/>
      <c r="D852" s="235"/>
      <c r="E852" s="294"/>
      <c r="F852" s="235"/>
      <c r="G852" s="324"/>
      <c r="H852" s="324"/>
      <c r="I852" s="324"/>
      <c r="J852" s="324"/>
      <c r="K852" s="324"/>
      <c r="L852" s="324"/>
      <c r="M852" s="294"/>
      <c r="N852" s="235"/>
      <c r="O852" s="324"/>
      <c r="P852" s="235"/>
      <c r="Q852" s="324"/>
      <c r="R852" s="324"/>
      <c r="S852" s="324"/>
      <c r="T852" s="324"/>
      <c r="U852" s="324"/>
      <c r="V852" s="377">
        <v>41544</v>
      </c>
      <c r="W852" s="198">
        <v>45.950001</v>
      </c>
      <c r="X852" s="349">
        <f t="shared" si="38"/>
        <v>-1.4371471779739853E-2</v>
      </c>
      <c r="Y852" s="198">
        <v>1691.75</v>
      </c>
      <c r="Z852" s="349">
        <f t="shared" si="39"/>
        <v>-4.0738011625287562E-3</v>
      </c>
      <c r="AA852" s="324"/>
      <c r="AB852" s="324"/>
      <c r="AC852" s="324"/>
      <c r="AD852" s="324"/>
      <c r="AE852" s="324"/>
      <c r="AF852" s="324"/>
    </row>
    <row r="853" spans="1:32">
      <c r="A853" s="324"/>
      <c r="B853" s="244"/>
      <c r="C853" s="294"/>
      <c r="D853" s="235"/>
      <c r="E853" s="294"/>
      <c r="F853" s="235"/>
      <c r="G853" s="324"/>
      <c r="H853" s="324"/>
      <c r="I853" s="324"/>
      <c r="J853" s="324"/>
      <c r="K853" s="324"/>
      <c r="L853" s="324"/>
      <c r="M853" s="294"/>
      <c r="N853" s="235"/>
      <c r="O853" s="324"/>
      <c r="P853" s="235"/>
      <c r="Q853" s="324"/>
      <c r="R853" s="324"/>
      <c r="S853" s="324"/>
      <c r="T853" s="324"/>
      <c r="U853" s="324"/>
      <c r="V853" s="377">
        <v>41543</v>
      </c>
      <c r="W853" s="198">
        <v>46.619999</v>
      </c>
      <c r="X853" s="349">
        <f t="shared" si="38"/>
        <v>-5.7581575124368012E-3</v>
      </c>
      <c r="Y853" s="198">
        <v>1698.670044</v>
      </c>
      <c r="Z853" s="349">
        <f t="shared" si="39"/>
        <v>3.4854256220817614E-3</v>
      </c>
      <c r="AA853" s="324"/>
      <c r="AB853" s="324"/>
      <c r="AC853" s="324"/>
      <c r="AD853" s="324"/>
      <c r="AE853" s="324"/>
      <c r="AF853" s="324"/>
    </row>
    <row r="854" spans="1:32">
      <c r="A854" s="324"/>
      <c r="B854" s="244"/>
      <c r="C854" s="294"/>
      <c r="D854" s="235"/>
      <c r="E854" s="294"/>
      <c r="F854" s="235"/>
      <c r="G854" s="324"/>
      <c r="H854" s="324"/>
      <c r="I854" s="324"/>
      <c r="J854" s="324"/>
      <c r="K854" s="324"/>
      <c r="L854" s="324"/>
      <c r="M854" s="294"/>
      <c r="N854" s="235"/>
      <c r="O854" s="324"/>
      <c r="P854" s="235"/>
      <c r="Q854" s="324"/>
      <c r="R854" s="324"/>
      <c r="S854" s="324"/>
      <c r="T854" s="324"/>
      <c r="U854" s="324"/>
      <c r="V854" s="377">
        <v>41542</v>
      </c>
      <c r="W854" s="198">
        <v>46.889999000000003</v>
      </c>
      <c r="X854" s="349">
        <f t="shared" si="38"/>
        <v>3.423903274128115E-3</v>
      </c>
      <c r="Y854" s="198">
        <v>1692.7700199999999</v>
      </c>
      <c r="Z854" s="349">
        <f t="shared" si="39"/>
        <v>-2.7394657064624406E-3</v>
      </c>
      <c r="AA854" s="324"/>
      <c r="AB854" s="324"/>
      <c r="AC854" s="324"/>
      <c r="AD854" s="324"/>
      <c r="AE854" s="324"/>
      <c r="AF854" s="324"/>
    </row>
    <row r="855" spans="1:32">
      <c r="A855" s="324"/>
      <c r="B855" s="244"/>
      <c r="C855" s="294"/>
      <c r="D855" s="235"/>
      <c r="E855" s="294"/>
      <c r="F855" s="235"/>
      <c r="G855" s="324"/>
      <c r="H855" s="324"/>
      <c r="I855" s="324"/>
      <c r="J855" s="324"/>
      <c r="K855" s="324"/>
      <c r="L855" s="324"/>
      <c r="M855" s="294"/>
      <c r="N855" s="235"/>
      <c r="O855" s="324"/>
      <c r="P855" s="235"/>
      <c r="Q855" s="324"/>
      <c r="R855" s="324"/>
      <c r="S855" s="324"/>
      <c r="T855" s="324"/>
      <c r="U855" s="324"/>
      <c r="V855" s="377">
        <v>41541</v>
      </c>
      <c r="W855" s="198">
        <v>46.73</v>
      </c>
      <c r="X855" s="349">
        <f t="shared" si="38"/>
        <v>-0.11713583978839981</v>
      </c>
      <c r="Y855" s="198">
        <v>1697.420044</v>
      </c>
      <c r="Z855" s="349">
        <f t="shared" si="39"/>
        <v>-2.597143144069336E-3</v>
      </c>
      <c r="AA855" s="324"/>
      <c r="AB855" s="324"/>
      <c r="AC855" s="324"/>
      <c r="AD855" s="324"/>
      <c r="AE855" s="324"/>
      <c r="AF855" s="324"/>
    </row>
    <row r="856" spans="1:32">
      <c r="A856" s="324"/>
      <c r="B856" s="244"/>
      <c r="C856" s="294"/>
      <c r="D856" s="235"/>
      <c r="E856" s="294"/>
      <c r="F856" s="235"/>
      <c r="G856" s="324"/>
      <c r="H856" s="324"/>
      <c r="I856" s="324"/>
      <c r="J856" s="324"/>
      <c r="K856" s="324"/>
      <c r="L856" s="324"/>
      <c r="M856" s="294"/>
      <c r="N856" s="235"/>
      <c r="O856" s="324"/>
      <c r="P856" s="235"/>
      <c r="Q856" s="324"/>
      <c r="R856" s="324"/>
      <c r="S856" s="324"/>
      <c r="T856" s="324"/>
      <c r="U856" s="324"/>
      <c r="V856" s="377">
        <v>41540</v>
      </c>
      <c r="W856" s="198">
        <v>52.93</v>
      </c>
      <c r="X856" s="349">
        <f t="shared" si="38"/>
        <v>-5.4490979810392082E-3</v>
      </c>
      <c r="Y856" s="198">
        <v>1701.839966</v>
      </c>
      <c r="Z856" s="349">
        <f t="shared" si="39"/>
        <v>-4.719586317135982E-3</v>
      </c>
      <c r="AA856" s="324"/>
      <c r="AB856" s="324"/>
      <c r="AC856" s="324"/>
      <c r="AD856" s="324"/>
      <c r="AE856" s="324"/>
      <c r="AF856" s="324"/>
    </row>
    <row r="857" spans="1:32">
      <c r="A857" s="324"/>
      <c r="B857" s="244"/>
      <c r="C857" s="294"/>
      <c r="D857" s="235"/>
      <c r="E857" s="294"/>
      <c r="F857" s="235"/>
      <c r="G857" s="324"/>
      <c r="H857" s="324"/>
      <c r="I857" s="324"/>
      <c r="J857" s="324"/>
      <c r="K857" s="324"/>
      <c r="L857" s="324"/>
      <c r="M857" s="294"/>
      <c r="N857" s="235"/>
      <c r="O857" s="324"/>
      <c r="P857" s="235"/>
      <c r="Q857" s="324"/>
      <c r="R857" s="324"/>
      <c r="S857" s="324"/>
      <c r="T857" s="324"/>
      <c r="U857" s="324"/>
      <c r="V857" s="377">
        <v>41537</v>
      </c>
      <c r="W857" s="198">
        <v>53.220001000000003</v>
      </c>
      <c r="X857" s="349">
        <f t="shared" si="38"/>
        <v>-6.9042545250980192E-3</v>
      </c>
      <c r="Y857" s="198">
        <v>1709.910034</v>
      </c>
      <c r="Z857" s="349">
        <f t="shared" si="39"/>
        <v>-7.2168864715295156E-3</v>
      </c>
      <c r="AA857" s="324"/>
      <c r="AB857" s="324"/>
      <c r="AC857" s="324"/>
      <c r="AD857" s="324"/>
      <c r="AE857" s="324"/>
      <c r="AF857" s="324"/>
    </row>
    <row r="858" spans="1:32">
      <c r="A858" s="324"/>
      <c r="B858" s="244"/>
      <c r="C858" s="294"/>
      <c r="D858" s="235"/>
      <c r="E858" s="294"/>
      <c r="F858" s="235"/>
      <c r="G858" s="324"/>
      <c r="H858" s="324"/>
      <c r="I858" s="324"/>
      <c r="J858" s="324"/>
      <c r="K858" s="324"/>
      <c r="L858" s="324"/>
      <c r="M858" s="294"/>
      <c r="N858" s="235"/>
      <c r="O858" s="324"/>
      <c r="P858" s="235"/>
      <c r="Q858" s="324"/>
      <c r="R858" s="324"/>
      <c r="S858" s="324"/>
      <c r="T858" s="324"/>
      <c r="U858" s="324"/>
      <c r="V858" s="377">
        <v>41536</v>
      </c>
      <c r="W858" s="198">
        <v>53.59</v>
      </c>
      <c r="X858" s="349">
        <f t="shared" si="38"/>
        <v>1.8659947045174263E-4</v>
      </c>
      <c r="Y858" s="198">
        <v>1722.339966</v>
      </c>
      <c r="Z858" s="349">
        <f t="shared" si="39"/>
        <v>-1.8429539867059752E-3</v>
      </c>
      <c r="AA858" s="324"/>
      <c r="AB858" s="324"/>
      <c r="AC858" s="324"/>
      <c r="AD858" s="324"/>
      <c r="AE858" s="324"/>
      <c r="AF858" s="324"/>
    </row>
    <row r="859" spans="1:32">
      <c r="A859" s="324"/>
      <c r="B859" s="244"/>
      <c r="C859" s="294"/>
      <c r="D859" s="235"/>
      <c r="E859" s="294"/>
      <c r="F859" s="235"/>
      <c r="G859" s="324"/>
      <c r="H859" s="324"/>
      <c r="I859" s="324"/>
      <c r="J859" s="324"/>
      <c r="K859" s="324"/>
      <c r="L859" s="324"/>
      <c r="M859" s="294"/>
      <c r="N859" s="235"/>
      <c r="O859" s="324"/>
      <c r="P859" s="235"/>
      <c r="Q859" s="324"/>
      <c r="R859" s="324"/>
      <c r="S859" s="324"/>
      <c r="T859" s="324"/>
      <c r="U859" s="324"/>
      <c r="V859" s="377">
        <v>41535</v>
      </c>
      <c r="W859" s="198">
        <v>53.580002</v>
      </c>
      <c r="X859" s="349">
        <f t="shared" si="38"/>
        <v>1.9212516644474098E-2</v>
      </c>
      <c r="Y859" s="198">
        <v>1725.5200199999999</v>
      </c>
      <c r="Z859" s="349">
        <f t="shared" si="39"/>
        <v>1.2177673032111924E-2</v>
      </c>
      <c r="AA859" s="324"/>
      <c r="AB859" s="324"/>
      <c r="AC859" s="324"/>
      <c r="AD859" s="324"/>
      <c r="AE859" s="324"/>
      <c r="AF859" s="324"/>
    </row>
    <row r="860" spans="1:32">
      <c r="A860" s="324"/>
      <c r="B860" s="244"/>
      <c r="C860" s="294"/>
      <c r="D860" s="235"/>
      <c r="E860" s="294"/>
      <c r="F860" s="235"/>
      <c r="G860" s="324"/>
      <c r="H860" s="324"/>
      <c r="I860" s="324"/>
      <c r="J860" s="324"/>
      <c r="K860" s="324"/>
      <c r="L860" s="324"/>
      <c r="M860" s="294"/>
      <c r="N860" s="235"/>
      <c r="O860" s="324"/>
      <c r="P860" s="235"/>
      <c r="Q860" s="324"/>
      <c r="R860" s="324"/>
      <c r="S860" s="324"/>
      <c r="T860" s="324"/>
      <c r="U860" s="324"/>
      <c r="V860" s="377">
        <v>41534</v>
      </c>
      <c r="W860" s="198">
        <v>52.57</v>
      </c>
      <c r="X860" s="349">
        <f t="shared" si="38"/>
        <v>-8.4873632591475623E-3</v>
      </c>
      <c r="Y860" s="198">
        <v>1704.76001</v>
      </c>
      <c r="Z860" s="349">
        <f t="shared" si="39"/>
        <v>4.2177392207973785E-3</v>
      </c>
      <c r="AA860" s="324"/>
      <c r="AB860" s="324"/>
      <c r="AC860" s="324"/>
      <c r="AD860" s="324"/>
      <c r="AE860" s="324"/>
      <c r="AF860" s="324"/>
    </row>
    <row r="861" spans="1:32">
      <c r="A861" s="324"/>
      <c r="B861" s="244"/>
      <c r="C861" s="294"/>
      <c r="D861" s="235"/>
      <c r="E861" s="294"/>
      <c r="F861" s="235"/>
      <c r="G861" s="324"/>
      <c r="H861" s="324"/>
      <c r="I861" s="324"/>
      <c r="J861" s="324"/>
      <c r="K861" s="324"/>
      <c r="L861" s="324"/>
      <c r="M861" s="294"/>
      <c r="N861" s="235"/>
      <c r="O861" s="324"/>
      <c r="P861" s="235"/>
      <c r="Q861" s="324"/>
      <c r="R861" s="324"/>
      <c r="S861" s="324"/>
      <c r="T861" s="324"/>
      <c r="U861" s="324"/>
      <c r="V861" s="377">
        <v>41533</v>
      </c>
      <c r="W861" s="198">
        <v>53.02</v>
      </c>
      <c r="X861" s="349">
        <f t="shared" si="38"/>
        <v>1.1253099370589492E-2</v>
      </c>
      <c r="Y861" s="198">
        <v>1697.599976</v>
      </c>
      <c r="Z861" s="349">
        <f t="shared" si="39"/>
        <v>5.6931534291859709E-3</v>
      </c>
      <c r="AA861" s="324"/>
      <c r="AB861" s="324"/>
      <c r="AC861" s="324"/>
      <c r="AD861" s="324"/>
      <c r="AE861" s="324"/>
      <c r="AF861" s="324"/>
    </row>
    <row r="862" spans="1:32">
      <c r="A862" s="324"/>
      <c r="B862" s="244"/>
      <c r="C862" s="294"/>
      <c r="D862" s="235"/>
      <c r="E862" s="294"/>
      <c r="F862" s="235"/>
      <c r="G862" s="324"/>
      <c r="H862" s="324"/>
      <c r="I862" s="324"/>
      <c r="J862" s="324"/>
      <c r="K862" s="324"/>
      <c r="L862" s="324"/>
      <c r="M862" s="294"/>
      <c r="N862" s="235"/>
      <c r="O862" s="324"/>
      <c r="P862" s="235"/>
      <c r="Q862" s="324"/>
      <c r="R862" s="324"/>
      <c r="S862" s="324"/>
      <c r="T862" s="324"/>
      <c r="U862" s="324"/>
      <c r="V862" s="377">
        <v>41530</v>
      </c>
      <c r="W862" s="198">
        <v>52.43</v>
      </c>
      <c r="X862" s="349">
        <f t="shared" si="38"/>
        <v>-7.9469823253351946E-3</v>
      </c>
      <c r="Y862" s="198">
        <v>1687.98999</v>
      </c>
      <c r="Z862" s="349">
        <f t="shared" si="39"/>
        <v>2.7146795693018255E-3</v>
      </c>
      <c r="AA862" s="324"/>
      <c r="AB862" s="324"/>
      <c r="AC862" s="324"/>
      <c r="AD862" s="324"/>
      <c r="AE862" s="324"/>
      <c r="AF862" s="324"/>
    </row>
    <row r="863" spans="1:32">
      <c r="A863" s="324"/>
      <c r="B863" s="244"/>
      <c r="C863" s="294"/>
      <c r="D863" s="235"/>
      <c r="E863" s="294"/>
      <c r="F863" s="235"/>
      <c r="G863" s="324"/>
      <c r="H863" s="324"/>
      <c r="I863" s="324"/>
      <c r="J863" s="324"/>
      <c r="K863" s="324"/>
      <c r="L863" s="324"/>
      <c r="M863" s="294"/>
      <c r="N863" s="235"/>
      <c r="O863" s="324"/>
      <c r="P863" s="235"/>
      <c r="Q863" s="324"/>
      <c r="R863" s="324"/>
      <c r="S863" s="324"/>
      <c r="T863" s="324"/>
      <c r="U863" s="324"/>
      <c r="V863" s="377">
        <v>41529</v>
      </c>
      <c r="W863" s="198">
        <v>52.849997999999999</v>
      </c>
      <c r="X863" s="349">
        <f t="shared" si="38"/>
        <v>-1.1595342966236433E-2</v>
      </c>
      <c r="Y863" s="198">
        <v>1683.420044</v>
      </c>
      <c r="Z863" s="349">
        <f t="shared" si="39"/>
        <v>-3.3804153517479341E-3</v>
      </c>
      <c r="AA863" s="324"/>
      <c r="AB863" s="324"/>
      <c r="AC863" s="324"/>
      <c r="AD863" s="324"/>
      <c r="AE863" s="324"/>
      <c r="AF863" s="324"/>
    </row>
    <row r="864" spans="1:32">
      <c r="A864" s="324"/>
      <c r="B864" s="244"/>
      <c r="C864" s="294"/>
      <c r="D864" s="235"/>
      <c r="E864" s="294"/>
      <c r="F864" s="235"/>
      <c r="G864" s="324"/>
      <c r="H864" s="324"/>
      <c r="I864" s="324"/>
      <c r="J864" s="324"/>
      <c r="K864" s="324"/>
      <c r="L864" s="324"/>
      <c r="M864" s="294"/>
      <c r="N864" s="235"/>
      <c r="O864" s="324"/>
      <c r="P864" s="235"/>
      <c r="Q864" s="324"/>
      <c r="R864" s="324"/>
      <c r="S864" s="324"/>
      <c r="T864" s="324"/>
      <c r="U864" s="324"/>
      <c r="V864" s="377">
        <v>41528</v>
      </c>
      <c r="W864" s="198">
        <v>53.470001000000003</v>
      </c>
      <c r="X864" s="349">
        <f t="shared" si="38"/>
        <v>1.1922804693414113E-2</v>
      </c>
      <c r="Y864" s="198">
        <v>1689.130005</v>
      </c>
      <c r="Z864" s="349">
        <f t="shared" si="39"/>
        <v>3.0522835827544448E-3</v>
      </c>
      <c r="AA864" s="324"/>
      <c r="AB864" s="324"/>
      <c r="AC864" s="324"/>
      <c r="AD864" s="324"/>
      <c r="AE864" s="324"/>
      <c r="AF864" s="324"/>
    </row>
    <row r="865" spans="1:32">
      <c r="A865" s="324"/>
      <c r="B865" s="244"/>
      <c r="C865" s="294"/>
      <c r="D865" s="235"/>
      <c r="E865" s="294"/>
      <c r="F865" s="235"/>
      <c r="G865" s="324"/>
      <c r="H865" s="324"/>
      <c r="I865" s="324"/>
      <c r="J865" s="324"/>
      <c r="K865" s="324"/>
      <c r="L865" s="324"/>
      <c r="M865" s="294"/>
      <c r="N865" s="235"/>
      <c r="O865" s="324"/>
      <c r="P865" s="235"/>
      <c r="Q865" s="324"/>
      <c r="R865" s="324"/>
      <c r="S865" s="324"/>
      <c r="T865" s="324"/>
      <c r="U865" s="324"/>
      <c r="V865" s="377">
        <v>41527</v>
      </c>
      <c r="W865" s="198">
        <v>52.84</v>
      </c>
      <c r="X865" s="349">
        <f t="shared" si="38"/>
        <v>1.2454512597327438E-2</v>
      </c>
      <c r="Y865" s="198">
        <v>1683.98999</v>
      </c>
      <c r="Z865" s="349">
        <f t="shared" si="39"/>
        <v>7.3457892137307468E-3</v>
      </c>
      <c r="AA865" s="324"/>
      <c r="AB865" s="324"/>
      <c r="AC865" s="324"/>
      <c r="AD865" s="324"/>
      <c r="AE865" s="324"/>
      <c r="AF865" s="324"/>
    </row>
    <row r="866" spans="1:32">
      <c r="A866" s="324"/>
      <c r="B866" s="244"/>
      <c r="C866" s="294"/>
      <c r="D866" s="235"/>
      <c r="E866" s="294"/>
      <c r="F866" s="235"/>
      <c r="G866" s="324"/>
      <c r="H866" s="324"/>
      <c r="I866" s="324"/>
      <c r="J866" s="324"/>
      <c r="K866" s="324"/>
      <c r="L866" s="324"/>
      <c r="M866" s="294"/>
      <c r="N866" s="235"/>
      <c r="O866" s="324"/>
      <c r="P866" s="235"/>
      <c r="Q866" s="324"/>
      <c r="R866" s="324"/>
      <c r="S866" s="324"/>
      <c r="T866" s="324"/>
      <c r="U866" s="324"/>
      <c r="V866" s="377">
        <v>41526</v>
      </c>
      <c r="W866" s="198">
        <v>52.189999</v>
      </c>
      <c r="X866" s="349">
        <f t="shared" si="38"/>
        <v>2.2130786875621089E-2</v>
      </c>
      <c r="Y866" s="198">
        <v>1671.709961</v>
      </c>
      <c r="Z866" s="349">
        <f t="shared" si="39"/>
        <v>9.9928808281404269E-3</v>
      </c>
      <c r="AA866" s="324"/>
      <c r="AB866" s="324"/>
      <c r="AC866" s="324"/>
      <c r="AD866" s="324"/>
      <c r="AE866" s="324"/>
      <c r="AF866" s="324"/>
    </row>
    <row r="867" spans="1:32">
      <c r="A867" s="324"/>
      <c r="B867" s="244"/>
      <c r="C867" s="294"/>
      <c r="D867" s="235"/>
      <c r="E867" s="294"/>
      <c r="F867" s="235"/>
      <c r="G867" s="324"/>
      <c r="H867" s="324"/>
      <c r="I867" s="324"/>
      <c r="J867" s="324"/>
      <c r="K867" s="324"/>
      <c r="L867" s="324"/>
      <c r="M867" s="294"/>
      <c r="N867" s="235"/>
      <c r="O867" s="324"/>
      <c r="P867" s="235"/>
      <c r="Q867" s="324"/>
      <c r="R867" s="324"/>
      <c r="S867" s="324"/>
      <c r="T867" s="324"/>
      <c r="U867" s="324"/>
      <c r="V867" s="377">
        <v>41523</v>
      </c>
      <c r="W867" s="198">
        <v>51.060001</v>
      </c>
      <c r="X867" s="349">
        <f t="shared" si="38"/>
        <v>3.9323632730561275E-3</v>
      </c>
      <c r="Y867" s="198">
        <v>1655.170044</v>
      </c>
      <c r="Z867" s="349">
        <f t="shared" si="39"/>
        <v>5.4431207189287178E-5</v>
      </c>
      <c r="AA867" s="324"/>
      <c r="AB867" s="324"/>
      <c r="AC867" s="324"/>
      <c r="AD867" s="324"/>
      <c r="AE867" s="324"/>
      <c r="AF867" s="324"/>
    </row>
    <row r="868" spans="1:32">
      <c r="A868" s="324"/>
      <c r="B868" s="244"/>
      <c r="C868" s="294"/>
      <c r="D868" s="235"/>
      <c r="E868" s="294"/>
      <c r="F868" s="235"/>
      <c r="G868" s="324"/>
      <c r="H868" s="324"/>
      <c r="I868" s="324"/>
      <c r="J868" s="324"/>
      <c r="K868" s="324"/>
      <c r="L868" s="324"/>
      <c r="M868" s="294"/>
      <c r="N868" s="235"/>
      <c r="O868" s="324"/>
      <c r="P868" s="235"/>
      <c r="Q868" s="324"/>
      <c r="R868" s="324"/>
      <c r="S868" s="324"/>
      <c r="T868" s="324"/>
      <c r="U868" s="324"/>
      <c r="V868" s="377">
        <v>41522</v>
      </c>
      <c r="W868" s="198">
        <v>50.860000999999997</v>
      </c>
      <c r="X868" s="349">
        <f t="shared" si="38"/>
        <v>-5.6696185466426074E-3</v>
      </c>
      <c r="Y868" s="198">
        <v>1655.079956</v>
      </c>
      <c r="Z868" s="349">
        <f t="shared" si="39"/>
        <v>1.2098628337611217E-3</v>
      </c>
      <c r="AA868" s="324"/>
      <c r="AB868" s="324"/>
      <c r="AC868" s="324"/>
      <c r="AD868" s="324"/>
      <c r="AE868" s="324"/>
      <c r="AF868" s="324"/>
    </row>
    <row r="869" spans="1:32">
      <c r="A869" s="324"/>
      <c r="B869" s="244"/>
      <c r="C869" s="294"/>
      <c r="D869" s="235"/>
      <c r="E869" s="294"/>
      <c r="F869" s="235"/>
      <c r="G869" s="324"/>
      <c r="H869" s="324"/>
      <c r="I869" s="324"/>
      <c r="J869" s="324"/>
      <c r="K869" s="324"/>
      <c r="L869" s="324"/>
      <c r="M869" s="294"/>
      <c r="N869" s="235"/>
      <c r="O869" s="324"/>
      <c r="P869" s="235"/>
      <c r="Q869" s="324"/>
      <c r="R869" s="324"/>
      <c r="S869" s="324"/>
      <c r="T869" s="324"/>
      <c r="U869" s="324"/>
      <c r="V869" s="377">
        <v>41521</v>
      </c>
      <c r="W869" s="198">
        <v>51.150002000000001</v>
      </c>
      <c r="X869" s="349">
        <f t="shared" si="38"/>
        <v>5.899783909529388E-3</v>
      </c>
      <c r="Y869" s="198">
        <v>1653.079956</v>
      </c>
      <c r="Z869" s="349">
        <f t="shared" si="39"/>
        <v>8.1169528883080488E-3</v>
      </c>
      <c r="AA869" s="324"/>
      <c r="AB869" s="324"/>
      <c r="AC869" s="324"/>
      <c r="AD869" s="324"/>
      <c r="AE869" s="324"/>
      <c r="AF869" s="324"/>
    </row>
    <row r="870" spans="1:32">
      <c r="A870" s="324"/>
      <c r="B870" s="244"/>
      <c r="C870" s="294"/>
      <c r="D870" s="235"/>
      <c r="E870" s="294"/>
      <c r="F870" s="235"/>
      <c r="G870" s="324"/>
      <c r="H870" s="324"/>
      <c r="I870" s="324"/>
      <c r="J870" s="324"/>
      <c r="K870" s="324"/>
      <c r="L870" s="324"/>
      <c r="M870" s="294"/>
      <c r="N870" s="235"/>
      <c r="O870" s="324"/>
      <c r="P870" s="235"/>
      <c r="Q870" s="324"/>
      <c r="R870" s="324"/>
      <c r="S870" s="324"/>
      <c r="T870" s="324"/>
      <c r="U870" s="324"/>
      <c r="V870" s="377">
        <v>41520</v>
      </c>
      <c r="W870" s="198">
        <v>50.849997999999999</v>
      </c>
      <c r="X870" s="349">
        <f t="shared" si="38"/>
        <v>6.5320269200315195E-3</v>
      </c>
      <c r="Y870" s="198">
        <v>1639.7700199999999</v>
      </c>
      <c r="Z870" s="349">
        <f t="shared" si="39"/>
        <v>4.1642217069282061E-3</v>
      </c>
      <c r="AA870" s="324"/>
      <c r="AB870" s="324"/>
      <c r="AC870" s="324"/>
      <c r="AD870" s="324"/>
      <c r="AE870" s="324"/>
      <c r="AF870" s="324"/>
    </row>
    <row r="871" spans="1:32">
      <c r="A871" s="324"/>
      <c r="B871" s="244"/>
      <c r="C871" s="294"/>
      <c r="D871" s="235"/>
      <c r="E871" s="294"/>
      <c r="F871" s="235"/>
      <c r="G871" s="324"/>
      <c r="H871" s="324"/>
      <c r="I871" s="324"/>
      <c r="J871" s="324"/>
      <c r="K871" s="324"/>
      <c r="L871" s="324"/>
      <c r="M871" s="294"/>
      <c r="N871" s="235"/>
      <c r="O871" s="324"/>
      <c r="P871" s="235"/>
      <c r="Q871" s="324"/>
      <c r="R871" s="324"/>
      <c r="S871" s="324"/>
      <c r="T871" s="324"/>
      <c r="U871" s="324"/>
      <c r="V871" s="377">
        <v>41516</v>
      </c>
      <c r="W871" s="198">
        <v>50.52</v>
      </c>
      <c r="X871" s="349">
        <f t="shared" si="38"/>
        <v>-6.4896364401035855E-3</v>
      </c>
      <c r="Y871" s="198">
        <v>1632.969971</v>
      </c>
      <c r="Z871" s="349">
        <f t="shared" si="39"/>
        <v>-3.1743182089343236E-3</v>
      </c>
      <c r="AA871" s="324"/>
      <c r="AB871" s="324"/>
      <c r="AC871" s="324"/>
      <c r="AD871" s="324"/>
      <c r="AE871" s="324"/>
      <c r="AF871" s="324"/>
    </row>
    <row r="872" spans="1:32">
      <c r="A872" s="324"/>
      <c r="B872" s="244"/>
      <c r="C872" s="294"/>
      <c r="D872" s="235"/>
      <c r="E872" s="294"/>
      <c r="F872" s="235"/>
      <c r="G872" s="324"/>
      <c r="H872" s="324"/>
      <c r="I872" s="324"/>
      <c r="J872" s="324"/>
      <c r="K872" s="324"/>
      <c r="L872" s="324"/>
      <c r="M872" s="294"/>
      <c r="N872" s="235"/>
      <c r="O872" s="324"/>
      <c r="P872" s="235"/>
      <c r="Q872" s="324"/>
      <c r="R872" s="324"/>
      <c r="S872" s="324"/>
      <c r="T872" s="324"/>
      <c r="U872" s="324"/>
      <c r="V872" s="377">
        <v>41515</v>
      </c>
      <c r="W872" s="198">
        <v>50.849997999999999</v>
      </c>
      <c r="X872" s="349">
        <f t="shared" si="38"/>
        <v>1.0532551669316437E-2</v>
      </c>
      <c r="Y872" s="198">
        <v>1638.170044</v>
      </c>
      <c r="Z872" s="349">
        <f t="shared" si="39"/>
        <v>1.9634015979428376E-3</v>
      </c>
      <c r="AA872" s="324"/>
      <c r="AB872" s="324"/>
      <c r="AC872" s="324"/>
      <c r="AD872" s="324"/>
      <c r="AE872" s="324"/>
      <c r="AF872" s="324"/>
    </row>
    <row r="873" spans="1:32">
      <c r="A873" s="324"/>
      <c r="B873" s="244"/>
      <c r="C873" s="294"/>
      <c r="D873" s="235"/>
      <c r="E873" s="294"/>
      <c r="F873" s="235"/>
      <c r="G873" s="324"/>
      <c r="H873" s="324"/>
      <c r="I873" s="324"/>
      <c r="J873" s="324"/>
      <c r="K873" s="324"/>
      <c r="L873" s="324"/>
      <c r="M873" s="294"/>
      <c r="N873" s="235"/>
      <c r="O873" s="324"/>
      <c r="P873" s="235"/>
      <c r="Q873" s="324"/>
      <c r="R873" s="324"/>
      <c r="S873" s="324"/>
      <c r="T873" s="324"/>
      <c r="U873" s="324"/>
      <c r="V873" s="377">
        <v>41514</v>
      </c>
      <c r="W873" s="198">
        <v>50.32</v>
      </c>
      <c r="X873" s="349">
        <f t="shared" si="38"/>
        <v>2.9898745461380827E-3</v>
      </c>
      <c r="Y873" s="198">
        <v>1634.959961</v>
      </c>
      <c r="Z873" s="349">
        <f t="shared" si="39"/>
        <v>2.7476455123356391E-3</v>
      </c>
      <c r="AA873" s="324"/>
      <c r="AB873" s="324"/>
      <c r="AC873" s="324"/>
      <c r="AD873" s="324"/>
      <c r="AE873" s="324"/>
      <c r="AF873" s="324"/>
    </row>
    <row r="874" spans="1:32">
      <c r="A874" s="324"/>
      <c r="B874" s="244"/>
      <c r="C874" s="294"/>
      <c r="D874" s="235"/>
      <c r="E874" s="294"/>
      <c r="F874" s="235"/>
      <c r="G874" s="324"/>
      <c r="H874" s="324"/>
      <c r="I874" s="324"/>
      <c r="J874" s="324"/>
      <c r="K874" s="324"/>
      <c r="L874" s="324"/>
      <c r="M874" s="294"/>
      <c r="N874" s="235"/>
      <c r="O874" s="324"/>
      <c r="P874" s="235"/>
      <c r="Q874" s="324"/>
      <c r="R874" s="324"/>
      <c r="S874" s="324"/>
      <c r="T874" s="324"/>
      <c r="U874" s="324"/>
      <c r="V874" s="377">
        <v>41513</v>
      </c>
      <c r="W874" s="198">
        <v>50.169998</v>
      </c>
      <c r="X874" s="349">
        <f t="shared" si="38"/>
        <v>-2.9593867899538329E-2</v>
      </c>
      <c r="Y874" s="198">
        <v>1630.4799800000001</v>
      </c>
      <c r="Z874" s="349">
        <f t="shared" si="39"/>
        <v>-1.5874194847625089E-2</v>
      </c>
      <c r="AA874" s="324"/>
      <c r="AB874" s="324"/>
      <c r="AC874" s="324"/>
      <c r="AD874" s="324"/>
      <c r="AE874" s="324"/>
      <c r="AF874" s="324"/>
    </row>
    <row r="875" spans="1:32">
      <c r="A875" s="324"/>
      <c r="B875" s="244"/>
      <c r="C875" s="294"/>
      <c r="D875" s="235"/>
      <c r="E875" s="294"/>
      <c r="F875" s="235"/>
      <c r="G875" s="324"/>
      <c r="H875" s="324"/>
      <c r="I875" s="324"/>
      <c r="J875" s="324"/>
      <c r="K875" s="324"/>
      <c r="L875" s="324"/>
      <c r="M875" s="294"/>
      <c r="N875" s="235"/>
      <c r="O875" s="324"/>
      <c r="P875" s="235"/>
      <c r="Q875" s="324"/>
      <c r="R875" s="324"/>
      <c r="S875" s="324"/>
      <c r="T875" s="324"/>
      <c r="U875" s="324"/>
      <c r="V875" s="377">
        <v>41512</v>
      </c>
      <c r="W875" s="198">
        <v>51.700001</v>
      </c>
      <c r="X875" s="349">
        <f t="shared" si="38"/>
        <v>2.5208648439014603E-3</v>
      </c>
      <c r="Y875" s="198">
        <v>1656.780029</v>
      </c>
      <c r="Z875" s="349">
        <f t="shared" si="39"/>
        <v>-4.039657950105191E-3</v>
      </c>
      <c r="AA875" s="324"/>
      <c r="AB875" s="324"/>
      <c r="AC875" s="324"/>
      <c r="AD875" s="324"/>
      <c r="AE875" s="324"/>
      <c r="AF875" s="324"/>
    </row>
    <row r="876" spans="1:32">
      <c r="A876" s="324"/>
      <c r="B876" s="244"/>
      <c r="C876" s="294"/>
      <c r="D876" s="235"/>
      <c r="E876" s="294"/>
      <c r="F876" s="235"/>
      <c r="G876" s="324"/>
      <c r="H876" s="324"/>
      <c r="I876" s="324"/>
      <c r="J876" s="324"/>
      <c r="K876" s="324"/>
      <c r="L876" s="324"/>
      <c r="M876" s="294"/>
      <c r="N876" s="235"/>
      <c r="O876" s="324"/>
      <c r="P876" s="235"/>
      <c r="Q876" s="324"/>
      <c r="R876" s="324"/>
      <c r="S876" s="324"/>
      <c r="T876" s="324"/>
      <c r="U876" s="324"/>
      <c r="V876" s="377">
        <v>41509</v>
      </c>
      <c r="W876" s="198">
        <v>51.57</v>
      </c>
      <c r="X876" s="349">
        <f t="shared" si="38"/>
        <v>-7.5057545709344975E-3</v>
      </c>
      <c r="Y876" s="198">
        <v>1663.5</v>
      </c>
      <c r="Z876" s="349">
        <f t="shared" si="39"/>
        <v>3.9470108837469375E-3</v>
      </c>
      <c r="AA876" s="324"/>
      <c r="AB876" s="324"/>
      <c r="AC876" s="324"/>
      <c r="AD876" s="324"/>
      <c r="AE876" s="324"/>
      <c r="AF876" s="324"/>
    </row>
    <row r="877" spans="1:32">
      <c r="A877" s="324"/>
      <c r="B877" s="244"/>
      <c r="C877" s="294"/>
      <c r="D877" s="235"/>
      <c r="E877" s="294"/>
      <c r="F877" s="235"/>
      <c r="G877" s="324"/>
      <c r="H877" s="324"/>
      <c r="I877" s="324"/>
      <c r="J877" s="324"/>
      <c r="K877" s="324"/>
      <c r="L877" s="324"/>
      <c r="M877" s="294"/>
      <c r="N877" s="235"/>
      <c r="O877" s="324"/>
      <c r="P877" s="235"/>
      <c r="Q877" s="324"/>
      <c r="R877" s="324"/>
      <c r="S877" s="324"/>
      <c r="T877" s="324"/>
      <c r="U877" s="324"/>
      <c r="V877" s="377">
        <v>41508</v>
      </c>
      <c r="W877" s="198">
        <v>51.959999000000003</v>
      </c>
      <c r="X877" s="349">
        <f t="shared" si="38"/>
        <v>1.6829765825039811E-2</v>
      </c>
      <c r="Y877" s="198">
        <v>1656.959961</v>
      </c>
      <c r="Z877" s="349">
        <f t="shared" si="39"/>
        <v>8.6193764168800424E-3</v>
      </c>
      <c r="AA877" s="324"/>
      <c r="AB877" s="324"/>
      <c r="AC877" s="324"/>
      <c r="AD877" s="324"/>
      <c r="AE877" s="324"/>
      <c r="AF877" s="324"/>
    </row>
    <row r="878" spans="1:32">
      <c r="A878" s="324"/>
      <c r="B878" s="244"/>
      <c r="C878" s="294"/>
      <c r="D878" s="235"/>
      <c r="E878" s="294"/>
      <c r="F878" s="235"/>
      <c r="G878" s="324"/>
      <c r="H878" s="324"/>
      <c r="I878" s="324"/>
      <c r="J878" s="324"/>
      <c r="K878" s="324"/>
      <c r="L878" s="324"/>
      <c r="M878" s="294"/>
      <c r="N878" s="235"/>
      <c r="O878" s="324"/>
      <c r="P878" s="235"/>
      <c r="Q878" s="324"/>
      <c r="R878" s="324"/>
      <c r="S878" s="324"/>
      <c r="T878" s="324"/>
      <c r="U878" s="324"/>
      <c r="V878" s="377">
        <v>41507</v>
      </c>
      <c r="W878" s="198">
        <v>51.099997999999999</v>
      </c>
      <c r="X878" s="349">
        <f t="shared" si="38"/>
        <v>-4.2868667186282128E-3</v>
      </c>
      <c r="Y878" s="198">
        <v>1642.8000489999999</v>
      </c>
      <c r="Z878" s="349">
        <f t="shared" si="39"/>
        <v>-5.7796030736287918E-3</v>
      </c>
      <c r="AA878" s="324"/>
      <c r="AB878" s="324"/>
      <c r="AC878" s="324"/>
      <c r="AD878" s="324"/>
      <c r="AE878" s="324"/>
      <c r="AF878" s="324"/>
    </row>
    <row r="879" spans="1:32">
      <c r="A879" s="324"/>
      <c r="B879" s="244"/>
      <c r="C879" s="294"/>
      <c r="D879" s="235"/>
      <c r="E879" s="294"/>
      <c r="F879" s="235"/>
      <c r="G879" s="324"/>
      <c r="H879" s="324"/>
      <c r="I879" s="324"/>
      <c r="J879" s="324"/>
      <c r="K879" s="324"/>
      <c r="L879" s="324"/>
      <c r="M879" s="294"/>
      <c r="N879" s="235"/>
      <c r="O879" s="324"/>
      <c r="P879" s="235"/>
      <c r="Q879" s="324"/>
      <c r="R879" s="324"/>
      <c r="S879" s="324"/>
      <c r="T879" s="324"/>
      <c r="U879" s="324"/>
      <c r="V879" s="377">
        <v>41506</v>
      </c>
      <c r="W879" s="198">
        <v>51.32</v>
      </c>
      <c r="X879" s="349">
        <f t="shared" si="38"/>
        <v>1.3658536585365866E-3</v>
      </c>
      <c r="Y879" s="198">
        <v>1652.349976</v>
      </c>
      <c r="Z879" s="349">
        <f t="shared" si="39"/>
        <v>3.8211953237121676E-3</v>
      </c>
      <c r="AA879" s="324"/>
      <c r="AB879" s="324"/>
      <c r="AC879" s="324"/>
      <c r="AD879" s="324"/>
      <c r="AE879" s="324"/>
      <c r="AF879" s="324"/>
    </row>
    <row r="880" spans="1:32">
      <c r="A880" s="324"/>
      <c r="B880" s="244"/>
      <c r="C880" s="294"/>
      <c r="D880" s="235"/>
      <c r="E880" s="294"/>
      <c r="F880" s="235"/>
      <c r="G880" s="324"/>
      <c r="H880" s="324"/>
      <c r="I880" s="324"/>
      <c r="J880" s="324"/>
      <c r="K880" s="324"/>
      <c r="L880" s="324"/>
      <c r="M880" s="294"/>
      <c r="N880" s="235"/>
      <c r="O880" s="324"/>
      <c r="P880" s="235"/>
      <c r="Q880" s="324"/>
      <c r="R880" s="324"/>
      <c r="S880" s="324"/>
      <c r="T880" s="324"/>
      <c r="U880" s="324"/>
      <c r="V880" s="377">
        <v>41505</v>
      </c>
      <c r="W880" s="198">
        <v>51.25</v>
      </c>
      <c r="X880" s="349">
        <f t="shared" si="38"/>
        <v>-5.0475249484576157E-3</v>
      </c>
      <c r="Y880" s="198">
        <v>1646.0600589999999</v>
      </c>
      <c r="Z880" s="349">
        <f t="shared" si="39"/>
        <v>-5.9003021201532446E-3</v>
      </c>
      <c r="AA880" s="324"/>
      <c r="AB880" s="324"/>
      <c r="AC880" s="324"/>
      <c r="AD880" s="324"/>
      <c r="AE880" s="324"/>
      <c r="AF880" s="324"/>
    </row>
    <row r="881" spans="1:32">
      <c r="A881" s="324"/>
      <c r="B881" s="244"/>
      <c r="C881" s="294"/>
      <c r="D881" s="235"/>
      <c r="E881" s="294"/>
      <c r="F881" s="235"/>
      <c r="G881" s="324"/>
      <c r="H881" s="324"/>
      <c r="I881" s="324"/>
      <c r="J881" s="324"/>
      <c r="K881" s="324"/>
      <c r="L881" s="324"/>
      <c r="M881" s="294"/>
      <c r="N881" s="235"/>
      <c r="O881" s="324"/>
      <c r="P881" s="235"/>
      <c r="Q881" s="324"/>
      <c r="R881" s="324"/>
      <c r="S881" s="324"/>
      <c r="T881" s="324"/>
      <c r="U881" s="324"/>
      <c r="V881" s="377">
        <v>41502</v>
      </c>
      <c r="W881" s="198">
        <v>51.509998000000003</v>
      </c>
      <c r="X881" s="349">
        <f t="shared" si="38"/>
        <v>-8.8513178978003593E-3</v>
      </c>
      <c r="Y881" s="198">
        <v>1655.829956</v>
      </c>
      <c r="Z881" s="349">
        <f t="shared" si="39"/>
        <v>-3.304595248626474E-3</v>
      </c>
      <c r="AA881" s="324"/>
      <c r="AB881" s="324"/>
      <c r="AC881" s="324"/>
      <c r="AD881" s="324"/>
      <c r="AE881" s="324"/>
      <c r="AF881" s="324"/>
    </row>
    <row r="882" spans="1:32">
      <c r="A882" s="324"/>
      <c r="B882" s="244"/>
      <c r="C882" s="294"/>
      <c r="D882" s="235"/>
      <c r="E882" s="294"/>
      <c r="F882" s="235"/>
      <c r="G882" s="324"/>
      <c r="H882" s="324"/>
      <c r="I882" s="324"/>
      <c r="J882" s="324"/>
      <c r="K882" s="324"/>
      <c r="L882" s="324"/>
      <c r="M882" s="294"/>
      <c r="N882" s="235"/>
      <c r="O882" s="324"/>
      <c r="P882" s="235"/>
      <c r="Q882" s="324"/>
      <c r="R882" s="324"/>
      <c r="S882" s="324"/>
      <c r="T882" s="324"/>
      <c r="U882" s="324"/>
      <c r="V882" s="377">
        <v>41501</v>
      </c>
      <c r="W882" s="198">
        <v>51.970001000000003</v>
      </c>
      <c r="X882" s="349">
        <f t="shared" si="38"/>
        <v>-2.0911849249741876E-2</v>
      </c>
      <c r="Y882" s="198">
        <v>1661.3199460000001</v>
      </c>
      <c r="Z882" s="349">
        <f t="shared" si="39"/>
        <v>-1.4281601757323736E-2</v>
      </c>
      <c r="AA882" s="324"/>
      <c r="AB882" s="324"/>
      <c r="AC882" s="324"/>
      <c r="AD882" s="324"/>
      <c r="AE882" s="324"/>
      <c r="AF882" s="324"/>
    </row>
    <row r="883" spans="1:32">
      <c r="A883" s="324"/>
      <c r="B883" s="244"/>
      <c r="C883" s="294"/>
      <c r="D883" s="235"/>
      <c r="E883" s="294"/>
      <c r="F883" s="235"/>
      <c r="G883" s="324"/>
      <c r="H883" s="324"/>
      <c r="I883" s="324"/>
      <c r="J883" s="324"/>
      <c r="K883" s="324"/>
      <c r="L883" s="324"/>
      <c r="M883" s="294"/>
      <c r="N883" s="235"/>
      <c r="O883" s="324"/>
      <c r="P883" s="235"/>
      <c r="Q883" s="324"/>
      <c r="R883" s="324"/>
      <c r="S883" s="324"/>
      <c r="T883" s="324"/>
      <c r="U883" s="324"/>
      <c r="V883" s="377">
        <v>41500</v>
      </c>
      <c r="W883" s="198">
        <v>53.080002</v>
      </c>
      <c r="X883" s="349">
        <f t="shared" si="38"/>
        <v>-8.2211883408072062E-3</v>
      </c>
      <c r="Y883" s="198">
        <v>1685.3900149999999</v>
      </c>
      <c r="Z883" s="349">
        <f t="shared" si="39"/>
        <v>-5.1766178070519198E-3</v>
      </c>
      <c r="AA883" s="324"/>
      <c r="AB883" s="324"/>
      <c r="AC883" s="324"/>
      <c r="AD883" s="324"/>
      <c r="AE883" s="324"/>
      <c r="AF883" s="324"/>
    </row>
    <row r="884" spans="1:32">
      <c r="A884" s="324"/>
      <c r="B884" s="244"/>
      <c r="C884" s="294"/>
      <c r="D884" s="235"/>
      <c r="E884" s="294"/>
      <c r="F884" s="235"/>
      <c r="G884" s="324"/>
      <c r="H884" s="324"/>
      <c r="I884" s="324"/>
      <c r="J884" s="324"/>
      <c r="K884" s="324"/>
      <c r="L884" s="324"/>
      <c r="M884" s="294"/>
      <c r="N884" s="235"/>
      <c r="O884" s="324"/>
      <c r="P884" s="235"/>
      <c r="Q884" s="324"/>
      <c r="R884" s="324"/>
      <c r="S884" s="324"/>
      <c r="T884" s="324"/>
      <c r="U884" s="324"/>
      <c r="V884" s="377">
        <v>41499</v>
      </c>
      <c r="W884" s="198">
        <v>53.52</v>
      </c>
      <c r="X884" s="349">
        <f t="shared" si="38"/>
        <v>2.3718458755135119E-2</v>
      </c>
      <c r="Y884" s="198">
        <v>1694.160034</v>
      </c>
      <c r="Z884" s="349">
        <f t="shared" si="39"/>
        <v>2.7760558521343626E-3</v>
      </c>
      <c r="AA884" s="324"/>
      <c r="AB884" s="324"/>
      <c r="AC884" s="324"/>
      <c r="AD884" s="324"/>
      <c r="AE884" s="324"/>
      <c r="AF884" s="324"/>
    </row>
    <row r="885" spans="1:32">
      <c r="A885" s="324"/>
      <c r="B885" s="244"/>
      <c r="C885" s="294"/>
      <c r="D885" s="235"/>
      <c r="E885" s="294"/>
      <c r="F885" s="235"/>
      <c r="G885" s="324"/>
      <c r="H885" s="324"/>
      <c r="I885" s="324"/>
      <c r="J885" s="324"/>
      <c r="K885" s="324"/>
      <c r="L885" s="324"/>
      <c r="M885" s="294"/>
      <c r="N885" s="235"/>
      <c r="O885" s="324"/>
      <c r="P885" s="235"/>
      <c r="Q885" s="324"/>
      <c r="R885" s="324"/>
      <c r="S885" s="324"/>
      <c r="T885" s="324"/>
      <c r="U885" s="324"/>
      <c r="V885" s="377">
        <v>41498</v>
      </c>
      <c r="W885" s="198">
        <v>52.279998999999997</v>
      </c>
      <c r="X885" s="349">
        <f t="shared" si="38"/>
        <v>-3.4311857306746907E-3</v>
      </c>
      <c r="Y885" s="198">
        <v>1689.469971</v>
      </c>
      <c r="Z885" s="349">
        <f t="shared" si="39"/>
        <v>-1.1529205929168285E-3</v>
      </c>
      <c r="AA885" s="324"/>
      <c r="AB885" s="324"/>
      <c r="AC885" s="324"/>
      <c r="AD885" s="324"/>
      <c r="AE885" s="324"/>
      <c r="AF885" s="324"/>
    </row>
    <row r="886" spans="1:32">
      <c r="A886" s="324"/>
      <c r="B886" s="244"/>
      <c r="C886" s="294"/>
      <c r="D886" s="235"/>
      <c r="E886" s="294"/>
      <c r="F886" s="235"/>
      <c r="G886" s="324"/>
      <c r="H886" s="324"/>
      <c r="I886" s="324"/>
      <c r="J886" s="324"/>
      <c r="K886" s="324"/>
      <c r="L886" s="324"/>
      <c r="M886" s="294"/>
      <c r="N886" s="235"/>
      <c r="O886" s="324"/>
      <c r="P886" s="235"/>
      <c r="Q886" s="324"/>
      <c r="R886" s="324"/>
      <c r="S886" s="324"/>
      <c r="T886" s="324"/>
      <c r="U886" s="324"/>
      <c r="V886" s="377">
        <v>41495</v>
      </c>
      <c r="W886" s="198">
        <v>52.459999000000003</v>
      </c>
      <c r="X886" s="349">
        <f t="shared" si="38"/>
        <v>8.0706762476812077E-3</v>
      </c>
      <c r="Y886" s="198">
        <v>1691.420044</v>
      </c>
      <c r="Z886" s="349">
        <f t="shared" si="39"/>
        <v>-3.5699602183232315E-3</v>
      </c>
      <c r="AA886" s="324"/>
      <c r="AB886" s="324"/>
      <c r="AC886" s="324"/>
      <c r="AD886" s="324"/>
      <c r="AE886" s="324"/>
      <c r="AF886" s="324"/>
    </row>
    <row r="887" spans="1:32">
      <c r="A887" s="324"/>
      <c r="B887" s="244"/>
      <c r="C887" s="294"/>
      <c r="D887" s="235"/>
      <c r="E887" s="294"/>
      <c r="F887" s="235"/>
      <c r="G887" s="324"/>
      <c r="H887" s="324"/>
      <c r="I887" s="324"/>
      <c r="J887" s="324"/>
      <c r="K887" s="324"/>
      <c r="L887" s="324"/>
      <c r="M887" s="294"/>
      <c r="N887" s="235"/>
      <c r="O887" s="324"/>
      <c r="P887" s="235"/>
      <c r="Q887" s="324"/>
      <c r="R887" s="324"/>
      <c r="S887" s="324"/>
      <c r="T887" s="324"/>
      <c r="U887" s="324"/>
      <c r="V887" s="377">
        <v>41494</v>
      </c>
      <c r="W887" s="198">
        <v>52.040000999999997</v>
      </c>
      <c r="X887" s="349">
        <f t="shared" si="38"/>
        <v>1.5414653658536448E-2</v>
      </c>
      <c r="Y887" s="198">
        <v>1697.4799800000001</v>
      </c>
      <c r="Z887" s="349">
        <f t="shared" si="39"/>
        <v>3.8854497684055467E-3</v>
      </c>
      <c r="AA887" s="324"/>
      <c r="AB887" s="324"/>
      <c r="AC887" s="324"/>
      <c r="AD887" s="324"/>
      <c r="AE887" s="324"/>
      <c r="AF887" s="324"/>
    </row>
    <row r="888" spans="1:32">
      <c r="A888" s="324"/>
      <c r="B888" s="244"/>
      <c r="C888" s="294"/>
      <c r="D888" s="235"/>
      <c r="E888" s="294"/>
      <c r="F888" s="235"/>
      <c r="G888" s="324"/>
      <c r="H888" s="324"/>
      <c r="I888" s="324"/>
      <c r="J888" s="324"/>
      <c r="K888" s="324"/>
      <c r="L888" s="324"/>
      <c r="M888" s="294"/>
      <c r="N888" s="235"/>
      <c r="O888" s="324"/>
      <c r="P888" s="235"/>
      <c r="Q888" s="324"/>
      <c r="R888" s="324"/>
      <c r="S888" s="324"/>
      <c r="T888" s="324"/>
      <c r="U888" s="324"/>
      <c r="V888" s="377">
        <v>41493</v>
      </c>
      <c r="W888" s="198">
        <v>51.25</v>
      </c>
      <c r="X888" s="349">
        <f t="shared" si="38"/>
        <v>-7.9365079365079083E-3</v>
      </c>
      <c r="Y888" s="198">
        <v>1690.910034</v>
      </c>
      <c r="Z888" s="349">
        <f t="shared" si="39"/>
        <v>-3.8058649669956424E-3</v>
      </c>
      <c r="AA888" s="324"/>
      <c r="AB888" s="324"/>
      <c r="AC888" s="324"/>
      <c r="AD888" s="324"/>
      <c r="AE888" s="324"/>
      <c r="AF888" s="324"/>
    </row>
    <row r="889" spans="1:32">
      <c r="A889" s="324"/>
      <c r="B889" s="244"/>
      <c r="C889" s="294"/>
      <c r="D889" s="235"/>
      <c r="E889" s="294"/>
      <c r="F889" s="235"/>
      <c r="G889" s="324"/>
      <c r="H889" s="324"/>
      <c r="I889" s="324"/>
      <c r="J889" s="324"/>
      <c r="K889" s="324"/>
      <c r="L889" s="324"/>
      <c r="M889" s="294"/>
      <c r="N889" s="235"/>
      <c r="O889" s="324"/>
      <c r="P889" s="235"/>
      <c r="Q889" s="324"/>
      <c r="R889" s="324"/>
      <c r="S889" s="324"/>
      <c r="T889" s="324"/>
      <c r="U889" s="324"/>
      <c r="V889" s="377">
        <v>41492</v>
      </c>
      <c r="W889" s="198">
        <v>51.66</v>
      </c>
      <c r="X889" s="349">
        <f t="shared" si="38"/>
        <v>-1.1102641228842192E-2</v>
      </c>
      <c r="Y889" s="198">
        <v>1697.369995</v>
      </c>
      <c r="Z889" s="349">
        <f t="shared" si="39"/>
        <v>-5.7230337957955291E-3</v>
      </c>
      <c r="AA889" s="324"/>
      <c r="AB889" s="324"/>
      <c r="AC889" s="324"/>
      <c r="AD889" s="324"/>
      <c r="AE889" s="324"/>
      <c r="AF889" s="324"/>
    </row>
    <row r="890" spans="1:32">
      <c r="A890" s="324"/>
      <c r="B890" s="244"/>
      <c r="C890" s="294"/>
      <c r="D890" s="235"/>
      <c r="E890" s="294"/>
      <c r="F890" s="235"/>
      <c r="G890" s="324"/>
      <c r="H890" s="324"/>
      <c r="I890" s="324"/>
      <c r="J890" s="324"/>
      <c r="K890" s="324"/>
      <c r="L890" s="324"/>
      <c r="M890" s="294"/>
      <c r="N890" s="235"/>
      <c r="O890" s="324"/>
      <c r="P890" s="235"/>
      <c r="Q890" s="324"/>
      <c r="R890" s="324"/>
      <c r="S890" s="324"/>
      <c r="T890" s="324"/>
      <c r="U890" s="324"/>
      <c r="V890" s="377">
        <v>41491</v>
      </c>
      <c r="W890" s="198">
        <v>52.240001999999997</v>
      </c>
      <c r="X890" s="349">
        <f t="shared" si="38"/>
        <v>-3.8138253969074443E-3</v>
      </c>
      <c r="Y890" s="198">
        <v>1707.1400149999999</v>
      </c>
      <c r="Z890" s="349">
        <f t="shared" si="39"/>
        <v>-1.479834666858082E-3</v>
      </c>
      <c r="AA890" s="324"/>
      <c r="AB890" s="324"/>
      <c r="AC890" s="324"/>
      <c r="AD890" s="324"/>
      <c r="AE890" s="324"/>
      <c r="AF890" s="324"/>
    </row>
    <row r="891" spans="1:32">
      <c r="A891" s="324"/>
      <c r="B891" s="244"/>
      <c r="C891" s="294"/>
      <c r="D891" s="235"/>
      <c r="E891" s="294"/>
      <c r="F891" s="235"/>
      <c r="G891" s="324"/>
      <c r="H891" s="324"/>
      <c r="I891" s="324"/>
      <c r="J891" s="324"/>
      <c r="K891" s="324"/>
      <c r="L891" s="324"/>
      <c r="M891" s="294"/>
      <c r="N891" s="235"/>
      <c r="O891" s="324"/>
      <c r="P891" s="235"/>
      <c r="Q891" s="324"/>
      <c r="R891" s="324"/>
      <c r="S891" s="324"/>
      <c r="T891" s="324"/>
      <c r="U891" s="324"/>
      <c r="V891" s="377">
        <v>41488</v>
      </c>
      <c r="W891" s="198">
        <v>52.439999</v>
      </c>
      <c r="X891" s="349">
        <f t="shared" si="38"/>
        <v>-7.6221417682920123E-4</v>
      </c>
      <c r="Y891" s="198">
        <v>1709.670044</v>
      </c>
      <c r="Z891" s="349">
        <f t="shared" si="39"/>
        <v>1.6404582705198401E-3</v>
      </c>
      <c r="AA891" s="324"/>
      <c r="AB891" s="324"/>
      <c r="AC891" s="324"/>
      <c r="AD891" s="324"/>
      <c r="AE891" s="324"/>
      <c r="AF891" s="324"/>
    </row>
    <row r="892" spans="1:32">
      <c r="A892" s="324"/>
      <c r="B892" s="244"/>
      <c r="C892" s="294"/>
      <c r="D892" s="235"/>
      <c r="E892" s="294"/>
      <c r="F892" s="235"/>
      <c r="G892" s="324"/>
      <c r="H892" s="324"/>
      <c r="I892" s="324"/>
      <c r="J892" s="324"/>
      <c r="K892" s="324"/>
      <c r="L892" s="324"/>
      <c r="M892" s="294"/>
      <c r="N892" s="235"/>
      <c r="O892" s="324"/>
      <c r="P892" s="235"/>
      <c r="Q892" s="324"/>
      <c r="R892" s="324"/>
      <c r="S892" s="324"/>
      <c r="T892" s="324"/>
      <c r="U892" s="324"/>
      <c r="V892" s="377">
        <v>41487</v>
      </c>
      <c r="W892" s="198">
        <v>52.48</v>
      </c>
      <c r="X892" s="349">
        <f t="shared" si="38"/>
        <v>1.3714506470928978E-2</v>
      </c>
      <c r="Y892" s="198">
        <v>1706.869995</v>
      </c>
      <c r="Z892" s="349">
        <f t="shared" si="39"/>
        <v>1.2540570109573546E-2</v>
      </c>
      <c r="AA892" s="324"/>
      <c r="AB892" s="324"/>
      <c r="AC892" s="324"/>
      <c r="AD892" s="324"/>
      <c r="AE892" s="324"/>
      <c r="AF892" s="324"/>
    </row>
    <row r="893" spans="1:32">
      <c r="A893" s="324"/>
      <c r="B893" s="244"/>
      <c r="C893" s="294"/>
      <c r="D893" s="235"/>
      <c r="E893" s="294"/>
      <c r="F893" s="235"/>
      <c r="G893" s="324"/>
      <c r="H893" s="324"/>
      <c r="I893" s="324"/>
      <c r="J893" s="324"/>
      <c r="K893" s="324"/>
      <c r="L893" s="324"/>
      <c r="M893" s="294"/>
      <c r="N893" s="235"/>
      <c r="O893" s="324"/>
      <c r="P893" s="235"/>
      <c r="Q893" s="324"/>
      <c r="R893" s="324"/>
      <c r="S893" s="324"/>
      <c r="T893" s="324"/>
      <c r="U893" s="324"/>
      <c r="V893" s="377">
        <v>41486</v>
      </c>
      <c r="W893" s="198">
        <v>51.77</v>
      </c>
      <c r="X893" s="349">
        <f t="shared" si="38"/>
        <v>1.3508182713070527E-2</v>
      </c>
      <c r="Y893" s="198">
        <v>1685.7299800000001</v>
      </c>
      <c r="Z893" s="349">
        <f t="shared" si="39"/>
        <v>-1.3640952651305938E-4</v>
      </c>
      <c r="AA893" s="324"/>
      <c r="AB893" s="324"/>
      <c r="AC893" s="324"/>
      <c r="AD893" s="324"/>
      <c r="AE893" s="324"/>
      <c r="AF893" s="324"/>
    </row>
    <row r="894" spans="1:32">
      <c r="A894" s="324"/>
      <c r="B894" s="244"/>
      <c r="C894" s="294"/>
      <c r="D894" s="235"/>
      <c r="E894" s="294"/>
      <c r="F894" s="235"/>
      <c r="G894" s="324"/>
      <c r="H894" s="324"/>
      <c r="I894" s="324"/>
      <c r="J894" s="324"/>
      <c r="K894" s="324"/>
      <c r="L894" s="324"/>
      <c r="M894" s="294"/>
      <c r="N894" s="235"/>
      <c r="O894" s="324"/>
      <c r="P894" s="235"/>
      <c r="Q894" s="324"/>
      <c r="R894" s="324"/>
      <c r="S894" s="324"/>
      <c r="T894" s="324"/>
      <c r="U894" s="324"/>
      <c r="V894" s="377">
        <v>41485</v>
      </c>
      <c r="W894" s="198">
        <v>51.080002</v>
      </c>
      <c r="X894" s="349">
        <f t="shared" si="38"/>
        <v>6.1060074847349988E-3</v>
      </c>
      <c r="Y894" s="198">
        <v>1685.959961</v>
      </c>
      <c r="Z894" s="349">
        <f t="shared" si="39"/>
        <v>3.7381700702421305E-4</v>
      </c>
      <c r="AA894" s="324"/>
      <c r="AB894" s="324"/>
      <c r="AC894" s="324"/>
      <c r="AD894" s="324"/>
      <c r="AE894" s="324"/>
      <c r="AF894" s="324"/>
    </row>
    <row r="895" spans="1:32">
      <c r="A895" s="324"/>
      <c r="B895" s="244"/>
      <c r="C895" s="294"/>
      <c r="D895" s="235"/>
      <c r="E895" s="294"/>
      <c r="F895" s="235"/>
      <c r="G895" s="324"/>
      <c r="H895" s="324"/>
      <c r="I895" s="324"/>
      <c r="J895" s="324"/>
      <c r="K895" s="324"/>
      <c r="L895" s="324"/>
      <c r="M895" s="294"/>
      <c r="N895" s="235"/>
      <c r="O895" s="324"/>
      <c r="P895" s="235"/>
      <c r="Q895" s="324"/>
      <c r="R895" s="324"/>
      <c r="S895" s="324"/>
      <c r="T895" s="324"/>
      <c r="U895" s="324"/>
      <c r="V895" s="377">
        <v>41484</v>
      </c>
      <c r="W895" s="198">
        <v>50.77</v>
      </c>
      <c r="X895" s="349">
        <f t="shared" si="38"/>
        <v>-1.1804445728724744E-3</v>
      </c>
      <c r="Y895" s="198">
        <v>1685.329956</v>
      </c>
      <c r="Z895" s="349">
        <f t="shared" si="39"/>
        <v>-3.7360375434251081E-3</v>
      </c>
      <c r="AA895" s="324"/>
      <c r="AB895" s="324"/>
      <c r="AC895" s="324"/>
      <c r="AD895" s="324"/>
      <c r="AE895" s="324"/>
      <c r="AF895" s="324"/>
    </row>
    <row r="896" spans="1:32">
      <c r="A896" s="324"/>
      <c r="B896" s="244"/>
      <c r="C896" s="294"/>
      <c r="D896" s="235"/>
      <c r="E896" s="294"/>
      <c r="F896" s="235"/>
      <c r="G896" s="324"/>
      <c r="H896" s="324"/>
      <c r="I896" s="324"/>
      <c r="J896" s="324"/>
      <c r="K896" s="324"/>
      <c r="L896" s="324"/>
      <c r="M896" s="294"/>
      <c r="N896" s="235"/>
      <c r="O896" s="324"/>
      <c r="P896" s="235"/>
      <c r="Q896" s="324"/>
      <c r="R896" s="324"/>
      <c r="S896" s="324"/>
      <c r="T896" s="324"/>
      <c r="U896" s="324"/>
      <c r="V896" s="377">
        <v>41481</v>
      </c>
      <c r="W896" s="198">
        <v>50.830002</v>
      </c>
      <c r="X896" s="349">
        <f t="shared" si="38"/>
        <v>-1.7777739130434789E-2</v>
      </c>
      <c r="Y896" s="198">
        <v>1691.650024</v>
      </c>
      <c r="Z896" s="349">
        <f t="shared" si="39"/>
        <v>8.2829403934336909E-4</v>
      </c>
      <c r="AA896" s="324"/>
      <c r="AB896" s="324"/>
      <c r="AC896" s="324"/>
      <c r="AD896" s="324"/>
      <c r="AE896" s="324"/>
      <c r="AF896" s="324"/>
    </row>
    <row r="897" spans="1:32">
      <c r="A897" s="324"/>
      <c r="B897" s="244"/>
      <c r="C897" s="294"/>
      <c r="D897" s="235"/>
      <c r="E897" s="294"/>
      <c r="F897" s="235"/>
      <c r="G897" s="324"/>
      <c r="H897" s="324"/>
      <c r="I897" s="324"/>
      <c r="J897" s="324"/>
      <c r="K897" s="324"/>
      <c r="L897" s="324"/>
      <c r="M897" s="294"/>
      <c r="N897" s="235"/>
      <c r="O897" s="324"/>
      <c r="P897" s="235"/>
      <c r="Q897" s="324"/>
      <c r="R897" s="324"/>
      <c r="S897" s="324"/>
      <c r="T897" s="324"/>
      <c r="U897" s="324"/>
      <c r="V897" s="377">
        <v>41480</v>
      </c>
      <c r="W897" s="198">
        <v>51.75</v>
      </c>
      <c r="X897" s="349">
        <f t="shared" si="38"/>
        <v>2.3941412268670081E-2</v>
      </c>
      <c r="Y897" s="198">
        <v>1690.25</v>
      </c>
      <c r="Z897" s="349">
        <f t="shared" si="39"/>
        <v>2.5564724431663688E-3</v>
      </c>
      <c r="AA897" s="324"/>
      <c r="AB897" s="324"/>
      <c r="AC897" s="324"/>
      <c r="AD897" s="324"/>
      <c r="AE897" s="324"/>
      <c r="AF897" s="324"/>
    </row>
    <row r="898" spans="1:32">
      <c r="A898" s="324"/>
      <c r="B898" s="244"/>
      <c r="C898" s="294"/>
      <c r="D898" s="235"/>
      <c r="E898" s="294"/>
      <c r="F898" s="235"/>
      <c r="G898" s="324"/>
      <c r="H898" s="324"/>
      <c r="I898" s="324"/>
      <c r="J898" s="324"/>
      <c r="K898" s="324"/>
      <c r="L898" s="324"/>
      <c r="M898" s="294"/>
      <c r="N898" s="235"/>
      <c r="O898" s="324"/>
      <c r="P898" s="235"/>
      <c r="Q898" s="324"/>
      <c r="R898" s="324"/>
      <c r="S898" s="324"/>
      <c r="T898" s="324"/>
      <c r="U898" s="324"/>
      <c r="V898" s="377">
        <v>41479</v>
      </c>
      <c r="W898" s="198">
        <v>50.540000999999997</v>
      </c>
      <c r="X898" s="349">
        <f t="shared" si="38"/>
        <v>3.5868005003730108E-2</v>
      </c>
      <c r="Y898" s="198">
        <v>1685.9399410000001</v>
      </c>
      <c r="Z898" s="349">
        <f t="shared" si="39"/>
        <v>-3.8112219658775759E-3</v>
      </c>
      <c r="AA898" s="324"/>
      <c r="AB898" s="324"/>
      <c r="AC898" s="324"/>
      <c r="AD898" s="324"/>
      <c r="AE898" s="324"/>
      <c r="AF898" s="324"/>
    </row>
    <row r="899" spans="1:32">
      <c r="A899" s="324"/>
      <c r="B899" s="244"/>
      <c r="C899" s="294"/>
      <c r="D899" s="235"/>
      <c r="E899" s="294"/>
      <c r="F899" s="235"/>
      <c r="G899" s="324"/>
      <c r="H899" s="324"/>
      <c r="I899" s="324"/>
      <c r="J899" s="324"/>
      <c r="K899" s="324"/>
      <c r="L899" s="324"/>
      <c r="M899" s="294"/>
      <c r="N899" s="235"/>
      <c r="O899" s="324"/>
      <c r="P899" s="235"/>
      <c r="Q899" s="324"/>
      <c r="R899" s="324"/>
      <c r="S899" s="324"/>
      <c r="T899" s="324"/>
      <c r="U899" s="324"/>
      <c r="V899" s="377">
        <v>41478</v>
      </c>
      <c r="W899" s="198">
        <v>48.790000999999997</v>
      </c>
      <c r="X899" s="349">
        <f t="shared" si="38"/>
        <v>-3.4721814434679477E-3</v>
      </c>
      <c r="Y899" s="198">
        <v>1692.3900149999999</v>
      </c>
      <c r="Z899" s="349">
        <f t="shared" si="39"/>
        <v>-1.8519365309336289E-3</v>
      </c>
      <c r="AA899" s="324"/>
      <c r="AB899" s="324"/>
      <c r="AC899" s="324"/>
      <c r="AD899" s="324"/>
      <c r="AE899" s="324"/>
      <c r="AF899" s="324"/>
    </row>
    <row r="900" spans="1:32">
      <c r="A900" s="324"/>
      <c r="B900" s="244"/>
      <c r="C900" s="294"/>
      <c r="D900" s="235"/>
      <c r="E900" s="294"/>
      <c r="F900" s="235"/>
      <c r="G900" s="324"/>
      <c r="H900" s="324"/>
      <c r="I900" s="324"/>
      <c r="J900" s="324"/>
      <c r="K900" s="324"/>
      <c r="L900" s="324"/>
      <c r="M900" s="294"/>
      <c r="N900" s="235"/>
      <c r="O900" s="324"/>
      <c r="P900" s="235"/>
      <c r="Q900" s="324"/>
      <c r="R900" s="324"/>
      <c r="S900" s="324"/>
      <c r="T900" s="324"/>
      <c r="U900" s="324"/>
      <c r="V900" s="377">
        <v>41477</v>
      </c>
      <c r="W900" s="198">
        <v>48.959999000000003</v>
      </c>
      <c r="X900" s="349">
        <f t="shared" si="38"/>
        <v>-8.505508130710604E-3</v>
      </c>
      <c r="Y900" s="198">
        <v>1695.530029</v>
      </c>
      <c r="Z900" s="349">
        <f t="shared" si="39"/>
        <v>2.033026061925236E-3</v>
      </c>
      <c r="AA900" s="324"/>
      <c r="AB900" s="324"/>
      <c r="AC900" s="324"/>
      <c r="AD900" s="324"/>
      <c r="AE900" s="324"/>
      <c r="AF900" s="324"/>
    </row>
    <row r="901" spans="1:32">
      <c r="A901" s="324"/>
      <c r="B901" s="244"/>
      <c r="C901" s="294"/>
      <c r="D901" s="235"/>
      <c r="E901" s="294"/>
      <c r="F901" s="235"/>
      <c r="G901" s="324"/>
      <c r="H901" s="324"/>
      <c r="I901" s="324"/>
      <c r="J901" s="324"/>
      <c r="K901" s="324"/>
      <c r="L901" s="324"/>
      <c r="M901" s="294"/>
      <c r="N901" s="235"/>
      <c r="O901" s="324"/>
      <c r="P901" s="235"/>
      <c r="Q901" s="324"/>
      <c r="R901" s="324"/>
      <c r="S901" s="324"/>
      <c r="T901" s="324"/>
      <c r="U901" s="324"/>
      <c r="V901" s="377">
        <v>41474</v>
      </c>
      <c r="W901" s="198">
        <v>49.380001</v>
      </c>
      <c r="X901" s="349">
        <f t="shared" si="38"/>
        <v>-1.6530532095808348E-2</v>
      </c>
      <c r="Y901" s="198">
        <v>1692.089966</v>
      </c>
      <c r="Z901" s="349">
        <f t="shared" si="39"/>
        <v>1.6100504969605023E-3</v>
      </c>
      <c r="AA901" s="324"/>
      <c r="AB901" s="324"/>
      <c r="AC901" s="324"/>
      <c r="AD901" s="324"/>
      <c r="AE901" s="324"/>
      <c r="AF901" s="324"/>
    </row>
    <row r="902" spans="1:32">
      <c r="A902" s="324"/>
      <c r="B902" s="244"/>
      <c r="C902" s="294"/>
      <c r="D902" s="235"/>
      <c r="E902" s="294"/>
      <c r="F902" s="235"/>
      <c r="G902" s="324"/>
      <c r="H902" s="324"/>
      <c r="I902" s="324"/>
      <c r="J902" s="324"/>
      <c r="K902" s="324"/>
      <c r="L902" s="324"/>
      <c r="M902" s="294"/>
      <c r="N902" s="235"/>
      <c r="O902" s="324"/>
      <c r="P902" s="235"/>
      <c r="Q902" s="324"/>
      <c r="R902" s="324"/>
      <c r="S902" s="324"/>
      <c r="T902" s="324"/>
      <c r="U902" s="324"/>
      <c r="V902" s="377">
        <v>41473</v>
      </c>
      <c r="W902" s="198">
        <v>50.209999000000003</v>
      </c>
      <c r="X902" s="349">
        <f t="shared" si="38"/>
        <v>1.066825684380035E-2</v>
      </c>
      <c r="Y902" s="198">
        <v>1689.369995</v>
      </c>
      <c r="Z902" s="349">
        <f t="shared" si="39"/>
        <v>5.0329647803148969E-3</v>
      </c>
      <c r="AA902" s="324"/>
      <c r="AB902" s="324"/>
      <c r="AC902" s="324"/>
      <c r="AD902" s="324"/>
      <c r="AE902" s="324"/>
      <c r="AF902" s="324"/>
    </row>
    <row r="903" spans="1:32">
      <c r="A903" s="324"/>
      <c r="B903" s="244"/>
      <c r="C903" s="294"/>
      <c r="D903" s="235"/>
      <c r="E903" s="294"/>
      <c r="F903" s="235"/>
      <c r="G903" s="324"/>
      <c r="H903" s="324"/>
      <c r="I903" s="324"/>
      <c r="J903" s="324"/>
      <c r="K903" s="324"/>
      <c r="L903" s="324"/>
      <c r="M903" s="294"/>
      <c r="N903" s="235"/>
      <c r="O903" s="324"/>
      <c r="P903" s="235"/>
      <c r="Q903" s="324"/>
      <c r="R903" s="324"/>
      <c r="S903" s="324"/>
      <c r="T903" s="324"/>
      <c r="U903" s="324"/>
      <c r="V903" s="377">
        <v>41472</v>
      </c>
      <c r="W903" s="198">
        <v>49.68</v>
      </c>
      <c r="X903" s="349">
        <f t="shared" si="38"/>
        <v>1.814882032667775E-3</v>
      </c>
      <c r="Y903" s="198">
        <v>1680.910034</v>
      </c>
      <c r="Z903" s="349">
        <f t="shared" si="39"/>
        <v>2.7740469690020753E-3</v>
      </c>
      <c r="AA903" s="324"/>
      <c r="AB903" s="324"/>
      <c r="AC903" s="324"/>
      <c r="AD903" s="324"/>
      <c r="AE903" s="324"/>
      <c r="AF903" s="324"/>
    </row>
    <row r="904" spans="1:32">
      <c r="A904" s="324"/>
      <c r="B904" s="244"/>
      <c r="C904" s="294"/>
      <c r="D904" s="235"/>
      <c r="E904" s="294"/>
      <c r="F904" s="235"/>
      <c r="G904" s="324"/>
      <c r="H904" s="324"/>
      <c r="I904" s="324"/>
      <c r="J904" s="324"/>
      <c r="K904" s="324"/>
      <c r="L904" s="324"/>
      <c r="M904" s="294"/>
      <c r="N904" s="235"/>
      <c r="O904" s="324"/>
      <c r="P904" s="235"/>
      <c r="Q904" s="324"/>
      <c r="R904" s="324"/>
      <c r="S904" s="324"/>
      <c r="T904" s="324"/>
      <c r="U904" s="324"/>
      <c r="V904" s="377">
        <v>41471</v>
      </c>
      <c r="W904" s="198">
        <v>49.59</v>
      </c>
      <c r="X904" s="349">
        <f t="shared" si="38"/>
        <v>-5.2156070297133539E-3</v>
      </c>
      <c r="Y904" s="198">
        <v>1676.26001</v>
      </c>
      <c r="Z904" s="349">
        <f t="shared" si="39"/>
        <v>-3.7087607726598026E-3</v>
      </c>
      <c r="AA904" s="324"/>
      <c r="AB904" s="324"/>
      <c r="AC904" s="324"/>
      <c r="AD904" s="324"/>
      <c r="AE904" s="324"/>
      <c r="AF904" s="324"/>
    </row>
    <row r="905" spans="1:32">
      <c r="A905" s="324"/>
      <c r="B905" s="244"/>
      <c r="C905" s="294"/>
      <c r="D905" s="235"/>
      <c r="E905" s="294"/>
      <c r="F905" s="235"/>
      <c r="G905" s="324"/>
      <c r="H905" s="324"/>
      <c r="I905" s="324"/>
      <c r="J905" s="324"/>
      <c r="K905" s="324"/>
      <c r="L905" s="324"/>
      <c r="M905" s="294"/>
      <c r="N905" s="235"/>
      <c r="O905" s="324"/>
      <c r="P905" s="235"/>
      <c r="Q905" s="324"/>
      <c r="R905" s="324"/>
      <c r="S905" s="324"/>
      <c r="T905" s="324"/>
      <c r="U905" s="324"/>
      <c r="V905" s="377">
        <v>41470</v>
      </c>
      <c r="W905" s="198">
        <v>49.849997999999999</v>
      </c>
      <c r="X905" s="349">
        <f t="shared" ref="X905:X968" si="40">W905/W906-1</f>
        <v>-8.1575809055942639E-3</v>
      </c>
      <c r="Y905" s="198">
        <v>1682.5</v>
      </c>
      <c r="Z905" s="349">
        <f t="shared" ref="Z905:Z968" si="41">Y905/Y906-1</f>
        <v>1.3748796749877279E-3</v>
      </c>
      <c r="AA905" s="324"/>
      <c r="AB905" s="324"/>
      <c r="AC905" s="324"/>
      <c r="AD905" s="324"/>
      <c r="AE905" s="324"/>
      <c r="AF905" s="324"/>
    </row>
    <row r="906" spans="1:32">
      <c r="A906" s="324"/>
      <c r="B906" s="244"/>
      <c r="C906" s="294"/>
      <c r="D906" s="235"/>
      <c r="E906" s="294"/>
      <c r="F906" s="235"/>
      <c r="G906" s="324"/>
      <c r="H906" s="324"/>
      <c r="I906" s="324"/>
      <c r="J906" s="324"/>
      <c r="K906" s="324"/>
      <c r="L906" s="324"/>
      <c r="M906" s="294"/>
      <c r="N906" s="235"/>
      <c r="O906" s="324"/>
      <c r="P906" s="235"/>
      <c r="Q906" s="324"/>
      <c r="R906" s="324"/>
      <c r="S906" s="324"/>
      <c r="T906" s="324"/>
      <c r="U906" s="324"/>
      <c r="V906" s="377">
        <v>41467</v>
      </c>
      <c r="W906" s="198">
        <v>50.259998000000003</v>
      </c>
      <c r="X906" s="349">
        <f t="shared" si="40"/>
        <v>-6.1301562191021786E-3</v>
      </c>
      <c r="Y906" s="198">
        <v>1680.1899410000001</v>
      </c>
      <c r="Z906" s="349">
        <f t="shared" si="41"/>
        <v>3.0864831096168999E-3</v>
      </c>
      <c r="AA906" s="324"/>
      <c r="AB906" s="324"/>
      <c r="AC906" s="324"/>
      <c r="AD906" s="324"/>
      <c r="AE906" s="324"/>
      <c r="AF906" s="324"/>
    </row>
    <row r="907" spans="1:32">
      <c r="A907" s="324"/>
      <c r="B907" s="244"/>
      <c r="C907" s="294"/>
      <c r="D907" s="235"/>
      <c r="E907" s="294"/>
      <c r="F907" s="235"/>
      <c r="G907" s="324"/>
      <c r="H907" s="324"/>
      <c r="I907" s="324"/>
      <c r="J907" s="324"/>
      <c r="K907" s="324"/>
      <c r="L907" s="324"/>
      <c r="M907" s="294"/>
      <c r="N907" s="235"/>
      <c r="O907" s="324"/>
      <c r="P907" s="235"/>
      <c r="Q907" s="324"/>
      <c r="R907" s="324"/>
      <c r="S907" s="324"/>
      <c r="T907" s="324"/>
      <c r="U907" s="324"/>
      <c r="V907" s="377">
        <v>41466</v>
      </c>
      <c r="W907" s="198">
        <v>50.57</v>
      </c>
      <c r="X907" s="349">
        <f t="shared" si="40"/>
        <v>4.6347980701511249E-2</v>
      </c>
      <c r="Y907" s="198">
        <v>1675.0200199999999</v>
      </c>
      <c r="Z907" s="349">
        <f t="shared" si="41"/>
        <v>1.3554250261869738E-2</v>
      </c>
      <c r="AA907" s="324"/>
      <c r="AB907" s="324"/>
      <c r="AC907" s="324"/>
      <c r="AD907" s="324"/>
      <c r="AE907" s="324"/>
      <c r="AF907" s="324"/>
    </row>
    <row r="908" spans="1:32">
      <c r="A908" s="324"/>
      <c r="B908" s="244"/>
      <c r="C908" s="294"/>
      <c r="D908" s="235"/>
      <c r="E908" s="294"/>
      <c r="F908" s="235"/>
      <c r="G908" s="324"/>
      <c r="H908" s="324"/>
      <c r="I908" s="324"/>
      <c r="J908" s="324"/>
      <c r="K908" s="324"/>
      <c r="L908" s="324"/>
      <c r="M908" s="294"/>
      <c r="N908" s="235"/>
      <c r="O908" s="324"/>
      <c r="P908" s="235"/>
      <c r="Q908" s="324"/>
      <c r="R908" s="324"/>
      <c r="S908" s="324"/>
      <c r="T908" s="324"/>
      <c r="U908" s="324"/>
      <c r="V908" s="377">
        <v>41465</v>
      </c>
      <c r="W908" s="198">
        <v>48.330002</v>
      </c>
      <c r="X908" s="349">
        <f t="shared" si="40"/>
        <v>3.9468841700640578E-3</v>
      </c>
      <c r="Y908" s="198">
        <v>1652.619995</v>
      </c>
      <c r="Z908" s="349">
        <f t="shared" si="41"/>
        <v>1.8159255459360146E-4</v>
      </c>
      <c r="AA908" s="324"/>
      <c r="AB908" s="324"/>
      <c r="AC908" s="324"/>
      <c r="AD908" s="324"/>
      <c r="AE908" s="324"/>
      <c r="AF908" s="324"/>
    </row>
    <row r="909" spans="1:32">
      <c r="A909" s="324"/>
      <c r="B909" s="244"/>
      <c r="C909" s="294"/>
      <c r="D909" s="235"/>
      <c r="E909" s="294"/>
      <c r="F909" s="235"/>
      <c r="G909" s="324"/>
      <c r="H909" s="324"/>
      <c r="I909" s="324"/>
      <c r="J909" s="324"/>
      <c r="K909" s="324"/>
      <c r="L909" s="324"/>
      <c r="M909" s="294"/>
      <c r="N909" s="235"/>
      <c r="O909" s="324"/>
      <c r="P909" s="235"/>
      <c r="Q909" s="324"/>
      <c r="R909" s="324"/>
      <c r="S909" s="324"/>
      <c r="T909" s="324"/>
      <c r="U909" s="324"/>
      <c r="V909" s="377">
        <v>41464</v>
      </c>
      <c r="W909" s="198">
        <v>48.139999000000003</v>
      </c>
      <c r="X909" s="349">
        <f t="shared" si="40"/>
        <v>4.1718816055880126E-3</v>
      </c>
      <c r="Y909" s="198">
        <v>1652.3199460000001</v>
      </c>
      <c r="Z909" s="349">
        <f t="shared" si="41"/>
        <v>7.2296705082459667E-3</v>
      </c>
      <c r="AA909" s="324"/>
      <c r="AB909" s="324"/>
      <c r="AC909" s="324"/>
      <c r="AD909" s="324"/>
      <c r="AE909" s="324"/>
      <c r="AF909" s="324"/>
    </row>
    <row r="910" spans="1:32">
      <c r="A910" s="324"/>
      <c r="B910" s="244"/>
      <c r="C910" s="294"/>
      <c r="D910" s="235"/>
      <c r="E910" s="294"/>
      <c r="F910" s="235"/>
      <c r="G910" s="324"/>
      <c r="H910" s="324"/>
      <c r="I910" s="324"/>
      <c r="J910" s="324"/>
      <c r="K910" s="324"/>
      <c r="L910" s="324"/>
      <c r="M910" s="294"/>
      <c r="N910" s="235"/>
      <c r="O910" s="324"/>
      <c r="P910" s="235"/>
      <c r="Q910" s="324"/>
      <c r="R910" s="324"/>
      <c r="S910" s="324"/>
      <c r="T910" s="324"/>
      <c r="U910" s="324"/>
      <c r="V910" s="377">
        <v>41463</v>
      </c>
      <c r="W910" s="198">
        <v>47.939999</v>
      </c>
      <c r="X910" s="349">
        <f t="shared" si="40"/>
        <v>-8.2747414149773046E-3</v>
      </c>
      <c r="Y910" s="198">
        <v>1640.459961</v>
      </c>
      <c r="Z910" s="349">
        <f t="shared" si="41"/>
        <v>5.2515463182118971E-3</v>
      </c>
      <c r="AA910" s="324"/>
      <c r="AB910" s="324"/>
      <c r="AC910" s="324"/>
      <c r="AD910" s="324"/>
      <c r="AE910" s="324"/>
      <c r="AF910" s="324"/>
    </row>
    <row r="911" spans="1:32">
      <c r="A911" s="324"/>
      <c r="B911" s="244"/>
      <c r="C911" s="294"/>
      <c r="D911" s="235"/>
      <c r="E911" s="294"/>
      <c r="F911" s="235"/>
      <c r="G911" s="324"/>
      <c r="H911" s="324"/>
      <c r="I911" s="324"/>
      <c r="J911" s="324"/>
      <c r="K911" s="324"/>
      <c r="L911" s="324"/>
      <c r="M911" s="294"/>
      <c r="N911" s="235"/>
      <c r="O911" s="324"/>
      <c r="P911" s="235"/>
      <c r="Q911" s="324"/>
      <c r="R911" s="324"/>
      <c r="S911" s="324"/>
      <c r="T911" s="324"/>
      <c r="U911" s="324"/>
      <c r="V911" s="377">
        <v>41460</v>
      </c>
      <c r="W911" s="198">
        <v>48.34</v>
      </c>
      <c r="X911" s="349">
        <f t="shared" si="40"/>
        <v>1.0240376603568579E-2</v>
      </c>
      <c r="Y911" s="198">
        <v>1631.8900149999999</v>
      </c>
      <c r="Z911" s="349">
        <f t="shared" si="41"/>
        <v>1.0201732472338909E-2</v>
      </c>
      <c r="AA911" s="324"/>
      <c r="AB911" s="324"/>
      <c r="AC911" s="324"/>
      <c r="AD911" s="324"/>
      <c r="AE911" s="324"/>
      <c r="AF911" s="324"/>
    </row>
    <row r="912" spans="1:32">
      <c r="A912" s="324"/>
      <c r="B912" s="244"/>
      <c r="C912" s="294"/>
      <c r="D912" s="235"/>
      <c r="E912" s="294"/>
      <c r="F912" s="235"/>
      <c r="G912" s="324"/>
      <c r="H912" s="324"/>
      <c r="I912" s="324"/>
      <c r="J912" s="324"/>
      <c r="K912" s="324"/>
      <c r="L912" s="324"/>
      <c r="M912" s="294"/>
      <c r="N912" s="235"/>
      <c r="O912" s="324"/>
      <c r="P912" s="235"/>
      <c r="Q912" s="324"/>
      <c r="R912" s="324"/>
      <c r="S912" s="324"/>
      <c r="T912" s="324"/>
      <c r="U912" s="324"/>
      <c r="V912" s="377">
        <v>41458</v>
      </c>
      <c r="W912" s="198">
        <v>47.849997999999999</v>
      </c>
      <c r="X912" s="349">
        <f t="shared" si="40"/>
        <v>9.2807002742039124E-3</v>
      </c>
      <c r="Y912" s="198">
        <v>1615.410034</v>
      </c>
      <c r="Z912" s="349">
        <f t="shared" si="41"/>
        <v>8.2404715767370185E-4</v>
      </c>
      <c r="AA912" s="324"/>
      <c r="AB912" s="324"/>
      <c r="AC912" s="324"/>
      <c r="AD912" s="324"/>
      <c r="AE912" s="324"/>
      <c r="AF912" s="324"/>
    </row>
    <row r="913" spans="1:32">
      <c r="A913" s="324"/>
      <c r="B913" s="244"/>
      <c r="C913" s="294"/>
      <c r="D913" s="235"/>
      <c r="E913" s="294"/>
      <c r="F913" s="235"/>
      <c r="G913" s="324"/>
      <c r="H913" s="324"/>
      <c r="I913" s="324"/>
      <c r="J913" s="324"/>
      <c r="K913" s="324"/>
      <c r="L913" s="324"/>
      <c r="M913" s="294"/>
      <c r="N913" s="235"/>
      <c r="O913" s="324"/>
      <c r="P913" s="235"/>
      <c r="Q913" s="324"/>
      <c r="R913" s="324"/>
      <c r="S913" s="324"/>
      <c r="T913" s="324"/>
      <c r="U913" s="324"/>
      <c r="V913" s="377">
        <v>41457</v>
      </c>
      <c r="W913" s="198">
        <v>47.41</v>
      </c>
      <c r="X913" s="349">
        <f t="shared" si="40"/>
        <v>0</v>
      </c>
      <c r="Y913" s="198">
        <v>1614.079956</v>
      </c>
      <c r="Z913" s="349">
        <f t="shared" si="41"/>
        <v>-5.4490824618036449E-4</v>
      </c>
      <c r="AA913" s="324"/>
      <c r="AB913" s="324"/>
      <c r="AC913" s="324"/>
      <c r="AD913" s="324"/>
      <c r="AE913" s="324"/>
      <c r="AF913" s="324"/>
    </row>
    <row r="914" spans="1:32">
      <c r="A914" s="324"/>
      <c r="B914" s="244"/>
      <c r="C914" s="294"/>
      <c r="D914" s="235"/>
      <c r="E914" s="294"/>
      <c r="F914" s="235"/>
      <c r="G914" s="324"/>
      <c r="H914" s="324"/>
      <c r="I914" s="324"/>
      <c r="J914" s="324"/>
      <c r="K914" s="324"/>
      <c r="L914" s="324"/>
      <c r="M914" s="294"/>
      <c r="N914" s="235"/>
      <c r="O914" s="324"/>
      <c r="P914" s="235"/>
      <c r="Q914" s="324"/>
      <c r="R914" s="324"/>
      <c r="S914" s="324"/>
      <c r="T914" s="324"/>
      <c r="U914" s="324"/>
      <c r="V914" s="377">
        <v>41456</v>
      </c>
      <c r="W914" s="198">
        <v>47.41</v>
      </c>
      <c r="X914" s="349">
        <f t="shared" si="40"/>
        <v>-8.5738184859891486E-3</v>
      </c>
      <c r="Y914" s="198">
        <v>1614.959961</v>
      </c>
      <c r="Z914" s="349">
        <f t="shared" si="41"/>
        <v>5.4037476923645134E-3</v>
      </c>
      <c r="AA914" s="324"/>
      <c r="AB914" s="324"/>
      <c r="AC914" s="324"/>
      <c r="AD914" s="324"/>
      <c r="AE914" s="324"/>
      <c r="AF914" s="324"/>
    </row>
    <row r="915" spans="1:32">
      <c r="A915" s="324"/>
      <c r="B915" s="244"/>
      <c r="C915" s="294"/>
      <c r="D915" s="235"/>
      <c r="E915" s="294"/>
      <c r="F915" s="235"/>
      <c r="G915" s="324"/>
      <c r="H915" s="324"/>
      <c r="I915" s="324"/>
      <c r="J915" s="324"/>
      <c r="K915" s="324"/>
      <c r="L915" s="324"/>
      <c r="M915" s="294"/>
      <c r="N915" s="235"/>
      <c r="O915" s="324"/>
      <c r="P915" s="235"/>
      <c r="Q915" s="324"/>
      <c r="R915" s="324"/>
      <c r="S915" s="324"/>
      <c r="T915" s="324"/>
      <c r="U915" s="324"/>
      <c r="V915" s="377">
        <v>41453</v>
      </c>
      <c r="W915" s="198">
        <v>47.82</v>
      </c>
      <c r="X915" s="349">
        <f t="shared" si="40"/>
        <v>-1.3410377276452001E-2</v>
      </c>
      <c r="Y915" s="198">
        <v>1606.280029</v>
      </c>
      <c r="Z915" s="349">
        <f t="shared" si="41"/>
        <v>-4.289562490818577E-3</v>
      </c>
      <c r="AA915" s="324"/>
      <c r="AB915" s="324"/>
      <c r="AC915" s="324"/>
      <c r="AD915" s="324"/>
      <c r="AE915" s="324"/>
      <c r="AF915" s="324"/>
    </row>
    <row r="916" spans="1:32">
      <c r="A916" s="324"/>
      <c r="B916" s="244"/>
      <c r="C916" s="294"/>
      <c r="D916" s="235"/>
      <c r="E916" s="294"/>
      <c r="F916" s="235"/>
      <c r="G916" s="324"/>
      <c r="H916" s="324"/>
      <c r="I916" s="324"/>
      <c r="J916" s="324"/>
      <c r="K916" s="324"/>
      <c r="L916" s="324"/>
      <c r="M916" s="294"/>
      <c r="N916" s="235"/>
      <c r="O916" s="324"/>
      <c r="P916" s="235"/>
      <c r="Q916" s="324"/>
      <c r="R916" s="324"/>
      <c r="S916" s="324"/>
      <c r="T916" s="324"/>
      <c r="U916" s="324"/>
      <c r="V916" s="377">
        <v>41452</v>
      </c>
      <c r="W916" s="198">
        <v>48.470001000000003</v>
      </c>
      <c r="X916" s="349">
        <f t="shared" si="40"/>
        <v>3.5905107161677607E-2</v>
      </c>
      <c r="Y916" s="198">
        <v>1613.1999510000001</v>
      </c>
      <c r="Z916" s="349">
        <f t="shared" si="41"/>
        <v>6.1998309307298438E-3</v>
      </c>
      <c r="AA916" s="324"/>
      <c r="AB916" s="324"/>
      <c r="AC916" s="324"/>
      <c r="AD916" s="324"/>
      <c r="AE916" s="324"/>
      <c r="AF916" s="324"/>
    </row>
    <row r="917" spans="1:32">
      <c r="A917" s="324"/>
      <c r="B917" s="244"/>
      <c r="C917" s="294"/>
      <c r="D917" s="235"/>
      <c r="E917" s="294"/>
      <c r="F917" s="235"/>
      <c r="G917" s="324"/>
      <c r="H917" s="324"/>
      <c r="I917" s="324"/>
      <c r="J917" s="324"/>
      <c r="K917" s="324"/>
      <c r="L917" s="324"/>
      <c r="M917" s="294"/>
      <c r="N917" s="235"/>
      <c r="O917" s="324"/>
      <c r="P917" s="235"/>
      <c r="Q917" s="324"/>
      <c r="R917" s="324"/>
      <c r="S917" s="324"/>
      <c r="T917" s="324"/>
      <c r="U917" s="324"/>
      <c r="V917" s="377">
        <v>41451</v>
      </c>
      <c r="W917" s="198">
        <v>46.790000999999997</v>
      </c>
      <c r="X917" s="349">
        <f t="shared" si="40"/>
        <v>2.0279109893608593E-2</v>
      </c>
      <c r="Y917" s="198">
        <v>1603.26001</v>
      </c>
      <c r="Z917" s="349">
        <f t="shared" si="41"/>
        <v>9.5904867803981997E-3</v>
      </c>
      <c r="AA917" s="324"/>
      <c r="AB917" s="324"/>
      <c r="AC917" s="324"/>
      <c r="AD917" s="324"/>
      <c r="AE917" s="324"/>
      <c r="AF917" s="324"/>
    </row>
    <row r="918" spans="1:32">
      <c r="A918" s="324"/>
      <c r="B918" s="244"/>
      <c r="C918" s="294"/>
      <c r="D918" s="235"/>
      <c r="E918" s="294"/>
      <c r="F918" s="235"/>
      <c r="G918" s="324"/>
      <c r="H918" s="324"/>
      <c r="I918" s="324"/>
      <c r="J918" s="324"/>
      <c r="K918" s="324"/>
      <c r="L918" s="324"/>
      <c r="M918" s="294"/>
      <c r="N918" s="235"/>
      <c r="O918" s="324"/>
      <c r="P918" s="235"/>
      <c r="Q918" s="324"/>
      <c r="R918" s="324"/>
      <c r="S918" s="324"/>
      <c r="T918" s="324"/>
      <c r="U918" s="324"/>
      <c r="V918" s="377">
        <v>41450</v>
      </c>
      <c r="W918" s="198">
        <v>45.860000999999997</v>
      </c>
      <c r="X918" s="349">
        <f t="shared" si="40"/>
        <v>-1.0890655630581003E-3</v>
      </c>
      <c r="Y918" s="198">
        <v>1588.030029</v>
      </c>
      <c r="Z918" s="349">
        <f t="shared" si="41"/>
        <v>9.4972718171923987E-3</v>
      </c>
      <c r="AA918" s="324"/>
      <c r="AB918" s="324"/>
      <c r="AC918" s="324"/>
      <c r="AD918" s="324"/>
      <c r="AE918" s="324"/>
      <c r="AF918" s="324"/>
    </row>
    <row r="919" spans="1:32">
      <c r="A919" s="324"/>
      <c r="B919" s="244"/>
      <c r="C919" s="294"/>
      <c r="D919" s="235"/>
      <c r="E919" s="294"/>
      <c r="F919" s="235"/>
      <c r="G919" s="324"/>
      <c r="H919" s="324"/>
      <c r="I919" s="324"/>
      <c r="J919" s="324"/>
      <c r="K919" s="324"/>
      <c r="L919" s="324"/>
      <c r="M919" s="294"/>
      <c r="N919" s="235"/>
      <c r="O919" s="324"/>
      <c r="P919" s="235"/>
      <c r="Q919" s="324"/>
      <c r="R919" s="324"/>
      <c r="S919" s="324"/>
      <c r="T919" s="324"/>
      <c r="U919" s="324"/>
      <c r="V919" s="377">
        <v>41449</v>
      </c>
      <c r="W919" s="198">
        <v>45.91</v>
      </c>
      <c r="X919" s="349">
        <f t="shared" si="40"/>
        <v>-1.1625424938096374E-2</v>
      </c>
      <c r="Y919" s="198">
        <v>1573.089966</v>
      </c>
      <c r="Z919" s="349">
        <f t="shared" si="41"/>
        <v>-1.2145015695615546E-2</v>
      </c>
      <c r="AA919" s="324"/>
      <c r="AB919" s="324"/>
      <c r="AC919" s="324"/>
      <c r="AD919" s="324"/>
      <c r="AE919" s="324"/>
      <c r="AF919" s="324"/>
    </row>
    <row r="920" spans="1:32">
      <c r="A920" s="324"/>
      <c r="B920" s="244"/>
      <c r="C920" s="294"/>
      <c r="D920" s="235"/>
      <c r="E920" s="294"/>
      <c r="F920" s="235"/>
      <c r="G920" s="324"/>
      <c r="H920" s="324"/>
      <c r="I920" s="324"/>
      <c r="J920" s="324"/>
      <c r="K920" s="324"/>
      <c r="L920" s="324"/>
      <c r="M920" s="294"/>
      <c r="N920" s="235"/>
      <c r="O920" s="324"/>
      <c r="P920" s="235"/>
      <c r="Q920" s="324"/>
      <c r="R920" s="324"/>
      <c r="S920" s="324"/>
      <c r="T920" s="324"/>
      <c r="U920" s="324"/>
      <c r="V920" s="377">
        <v>41446</v>
      </c>
      <c r="W920" s="198">
        <v>46.450001</v>
      </c>
      <c r="X920" s="349">
        <f t="shared" si="40"/>
        <v>1.2423713765830069E-2</v>
      </c>
      <c r="Y920" s="198">
        <v>1592.4300539999999</v>
      </c>
      <c r="Z920" s="349">
        <f t="shared" si="41"/>
        <v>2.6697770150401201E-3</v>
      </c>
      <c r="AA920" s="324"/>
      <c r="AB920" s="324"/>
      <c r="AC920" s="324"/>
      <c r="AD920" s="324"/>
      <c r="AE920" s="324"/>
      <c r="AF920" s="324"/>
    </row>
    <row r="921" spans="1:32">
      <c r="A921" s="324"/>
      <c r="B921" s="244"/>
      <c r="C921" s="294"/>
      <c r="D921" s="235"/>
      <c r="E921" s="294"/>
      <c r="F921" s="235"/>
      <c r="G921" s="324"/>
      <c r="H921" s="324"/>
      <c r="I921" s="324"/>
      <c r="J921" s="324"/>
      <c r="K921" s="324"/>
      <c r="L921" s="324"/>
      <c r="M921" s="294"/>
      <c r="N921" s="235"/>
      <c r="O921" s="324"/>
      <c r="P921" s="235"/>
      <c r="Q921" s="324"/>
      <c r="R921" s="324"/>
      <c r="S921" s="324"/>
      <c r="T921" s="324"/>
      <c r="U921" s="324"/>
      <c r="V921" s="377">
        <v>41445</v>
      </c>
      <c r="W921" s="198">
        <v>45.880001</v>
      </c>
      <c r="X921" s="349">
        <f t="shared" si="40"/>
        <v>-7.3561227313690969E-3</v>
      </c>
      <c r="Y921" s="198">
        <v>1588.1899410000001</v>
      </c>
      <c r="Z921" s="349">
        <f t="shared" si="41"/>
        <v>-2.5010351365277073E-2</v>
      </c>
      <c r="AA921" s="324"/>
      <c r="AB921" s="324"/>
      <c r="AC921" s="324"/>
      <c r="AD921" s="324"/>
      <c r="AE921" s="324"/>
      <c r="AF921" s="324"/>
    </row>
    <row r="922" spans="1:32">
      <c r="A922" s="324"/>
      <c r="B922" s="244"/>
      <c r="C922" s="294"/>
      <c r="D922" s="235"/>
      <c r="E922" s="294"/>
      <c r="F922" s="235"/>
      <c r="G922" s="324"/>
      <c r="H922" s="324"/>
      <c r="I922" s="324"/>
      <c r="J922" s="324"/>
      <c r="K922" s="324"/>
      <c r="L922" s="324"/>
      <c r="M922" s="294"/>
      <c r="N922" s="235"/>
      <c r="O922" s="324"/>
      <c r="P922" s="235"/>
      <c r="Q922" s="324"/>
      <c r="R922" s="324"/>
      <c r="S922" s="324"/>
      <c r="T922" s="324"/>
      <c r="U922" s="324"/>
      <c r="V922" s="377">
        <v>41444</v>
      </c>
      <c r="W922" s="198">
        <v>46.220001000000003</v>
      </c>
      <c r="X922" s="349">
        <f t="shared" si="40"/>
        <v>-8.7926225864759511E-3</v>
      </c>
      <c r="Y922" s="198">
        <v>1628.9300539999999</v>
      </c>
      <c r="Z922" s="349">
        <f t="shared" si="41"/>
        <v>-1.3851474553830623E-2</v>
      </c>
      <c r="AA922" s="324"/>
      <c r="AB922" s="324"/>
      <c r="AC922" s="324"/>
      <c r="AD922" s="324"/>
      <c r="AE922" s="324"/>
      <c r="AF922" s="324"/>
    </row>
    <row r="923" spans="1:32">
      <c r="A923" s="324"/>
      <c r="B923" s="244"/>
      <c r="C923" s="294"/>
      <c r="D923" s="235"/>
      <c r="E923" s="294"/>
      <c r="F923" s="235"/>
      <c r="G923" s="324"/>
      <c r="H923" s="324"/>
      <c r="I923" s="324"/>
      <c r="J923" s="324"/>
      <c r="K923" s="324"/>
      <c r="L923" s="324"/>
      <c r="M923" s="294"/>
      <c r="N923" s="235"/>
      <c r="O923" s="324"/>
      <c r="P923" s="235"/>
      <c r="Q923" s="324"/>
      <c r="R923" s="324"/>
      <c r="S923" s="324"/>
      <c r="T923" s="324"/>
      <c r="U923" s="324"/>
      <c r="V923" s="377">
        <v>41443</v>
      </c>
      <c r="W923" s="198">
        <v>46.630001</v>
      </c>
      <c r="X923" s="349">
        <f t="shared" si="40"/>
        <v>2.0796869527145434E-2</v>
      </c>
      <c r="Y923" s="198">
        <v>1651.8100589999999</v>
      </c>
      <c r="Z923" s="349">
        <f t="shared" si="41"/>
        <v>7.7911580535829916E-3</v>
      </c>
      <c r="AA923" s="324"/>
      <c r="AB923" s="324"/>
      <c r="AC923" s="324"/>
      <c r="AD923" s="324"/>
      <c r="AE923" s="324"/>
      <c r="AF923" s="324"/>
    </row>
    <row r="924" spans="1:32">
      <c r="A924" s="324"/>
      <c r="B924" s="244"/>
      <c r="C924" s="294"/>
      <c r="D924" s="235"/>
      <c r="E924" s="294"/>
      <c r="F924" s="235"/>
      <c r="G924" s="324"/>
      <c r="H924" s="324"/>
      <c r="I924" s="324"/>
      <c r="J924" s="324"/>
      <c r="K924" s="324"/>
      <c r="L924" s="324"/>
      <c r="M924" s="294"/>
      <c r="N924" s="235"/>
      <c r="O924" s="324"/>
      <c r="P924" s="235"/>
      <c r="Q924" s="324"/>
      <c r="R924" s="324"/>
      <c r="S924" s="324"/>
      <c r="T924" s="324"/>
      <c r="U924" s="324"/>
      <c r="V924" s="377">
        <v>41442</v>
      </c>
      <c r="W924" s="198">
        <v>45.68</v>
      </c>
      <c r="X924" s="349">
        <f t="shared" si="40"/>
        <v>-2.8378301061376954E-3</v>
      </c>
      <c r="Y924" s="198">
        <v>1639.040039</v>
      </c>
      <c r="Z924" s="349">
        <f t="shared" si="41"/>
        <v>7.5673646833507302E-3</v>
      </c>
      <c r="AA924" s="324"/>
      <c r="AB924" s="324"/>
      <c r="AC924" s="324"/>
      <c r="AD924" s="324"/>
      <c r="AE924" s="324"/>
      <c r="AF924" s="324"/>
    </row>
    <row r="925" spans="1:32">
      <c r="A925" s="324"/>
      <c r="B925" s="244"/>
      <c r="C925" s="294"/>
      <c r="D925" s="235"/>
      <c r="E925" s="294"/>
      <c r="F925" s="235"/>
      <c r="G925" s="324"/>
      <c r="H925" s="324"/>
      <c r="I925" s="324"/>
      <c r="J925" s="324"/>
      <c r="K925" s="324"/>
      <c r="L925" s="324"/>
      <c r="M925" s="294"/>
      <c r="N925" s="235"/>
      <c r="O925" s="324"/>
      <c r="P925" s="235"/>
      <c r="Q925" s="324"/>
      <c r="R925" s="324"/>
      <c r="S925" s="324"/>
      <c r="T925" s="324"/>
      <c r="U925" s="324"/>
      <c r="V925" s="377">
        <v>41439</v>
      </c>
      <c r="W925" s="198">
        <v>45.810001</v>
      </c>
      <c r="X925" s="349">
        <f t="shared" si="40"/>
        <v>-8.7234464001506584E-4</v>
      </c>
      <c r="Y925" s="198">
        <v>1626.7299800000001</v>
      </c>
      <c r="Z925" s="349">
        <f t="shared" si="41"/>
        <v>-5.8850161873152951E-3</v>
      </c>
      <c r="AA925" s="324"/>
      <c r="AB925" s="324"/>
      <c r="AC925" s="324"/>
      <c r="AD925" s="324"/>
      <c r="AE925" s="324"/>
      <c r="AF925" s="324"/>
    </row>
    <row r="926" spans="1:32">
      <c r="A926" s="324"/>
      <c r="B926" s="244"/>
      <c r="C926" s="294"/>
      <c r="D926" s="235"/>
      <c r="E926" s="294"/>
      <c r="F926" s="235"/>
      <c r="G926" s="324"/>
      <c r="H926" s="324"/>
      <c r="I926" s="324"/>
      <c r="J926" s="324"/>
      <c r="K926" s="324"/>
      <c r="L926" s="324"/>
      <c r="M926" s="294"/>
      <c r="N926" s="235"/>
      <c r="O926" s="324"/>
      <c r="P926" s="235"/>
      <c r="Q926" s="324"/>
      <c r="R926" s="324"/>
      <c r="S926" s="324"/>
      <c r="T926" s="324"/>
      <c r="U926" s="324"/>
      <c r="V926" s="377">
        <v>41438</v>
      </c>
      <c r="W926" s="198">
        <v>45.849997999999999</v>
      </c>
      <c r="X926" s="349">
        <f t="shared" si="40"/>
        <v>-1.1853533971830421E-2</v>
      </c>
      <c r="Y926" s="198">
        <v>1636.3599850000001</v>
      </c>
      <c r="Z926" s="349">
        <f t="shared" si="41"/>
        <v>1.4784290864184202E-2</v>
      </c>
      <c r="AA926" s="324"/>
      <c r="AB926" s="324"/>
      <c r="AC926" s="324"/>
      <c r="AD926" s="324"/>
      <c r="AE926" s="324"/>
      <c r="AF926" s="324"/>
    </row>
    <row r="927" spans="1:32">
      <c r="A927" s="324"/>
      <c r="B927" s="244"/>
      <c r="C927" s="294"/>
      <c r="D927" s="235"/>
      <c r="E927" s="294"/>
      <c r="F927" s="235"/>
      <c r="G927" s="324"/>
      <c r="H927" s="324"/>
      <c r="I927" s="324"/>
      <c r="J927" s="324"/>
      <c r="K927" s="324"/>
      <c r="L927" s="324"/>
      <c r="M927" s="294"/>
      <c r="N927" s="235"/>
      <c r="O927" s="324"/>
      <c r="P927" s="235"/>
      <c r="Q927" s="324"/>
      <c r="R927" s="324"/>
      <c r="S927" s="324"/>
      <c r="T927" s="324"/>
      <c r="U927" s="324"/>
      <c r="V927" s="377">
        <v>41437</v>
      </c>
      <c r="W927" s="198">
        <v>46.400002000000001</v>
      </c>
      <c r="X927" s="349">
        <f t="shared" si="40"/>
        <v>3.4602074627938517E-3</v>
      </c>
      <c r="Y927" s="198">
        <v>1612.5200199999999</v>
      </c>
      <c r="Z927" s="349">
        <f t="shared" si="41"/>
        <v>-8.3695552988705124E-3</v>
      </c>
      <c r="AA927" s="324"/>
      <c r="AB927" s="324"/>
      <c r="AC927" s="324"/>
      <c r="AD927" s="324"/>
      <c r="AE927" s="324"/>
      <c r="AF927" s="324"/>
    </row>
    <row r="928" spans="1:32">
      <c r="A928" s="324"/>
      <c r="B928" s="244"/>
      <c r="C928" s="294"/>
      <c r="D928" s="235"/>
      <c r="E928" s="294"/>
      <c r="F928" s="235"/>
      <c r="G928" s="324"/>
      <c r="H928" s="324"/>
      <c r="I928" s="324"/>
      <c r="J928" s="324"/>
      <c r="K928" s="324"/>
      <c r="L928" s="324"/>
      <c r="M928" s="294"/>
      <c r="N928" s="235"/>
      <c r="O928" s="324"/>
      <c r="P928" s="235"/>
      <c r="Q928" s="324"/>
      <c r="R928" s="324"/>
      <c r="S928" s="324"/>
      <c r="T928" s="324"/>
      <c r="U928" s="324"/>
      <c r="V928" s="377">
        <v>41436</v>
      </c>
      <c r="W928" s="198">
        <v>46.240001999999997</v>
      </c>
      <c r="X928" s="349">
        <f t="shared" si="40"/>
        <v>-3.4482757134364217E-3</v>
      </c>
      <c r="Y928" s="198">
        <v>1626.130005</v>
      </c>
      <c r="Z928" s="349">
        <f t="shared" si="41"/>
        <v>-1.0153367340685282E-2</v>
      </c>
      <c r="AA928" s="324"/>
      <c r="AB928" s="324"/>
      <c r="AC928" s="324"/>
      <c r="AD928" s="324"/>
      <c r="AE928" s="324"/>
      <c r="AF928" s="324"/>
    </row>
    <row r="929" spans="1:32">
      <c r="A929" s="324"/>
      <c r="B929" s="244"/>
      <c r="C929" s="294"/>
      <c r="D929" s="235"/>
      <c r="E929" s="294"/>
      <c r="F929" s="235"/>
      <c r="G929" s="324"/>
      <c r="H929" s="324"/>
      <c r="I929" s="324"/>
      <c r="J929" s="324"/>
      <c r="K929" s="324"/>
      <c r="L929" s="324"/>
      <c r="M929" s="294"/>
      <c r="N929" s="235"/>
      <c r="O929" s="324"/>
      <c r="P929" s="235"/>
      <c r="Q929" s="324"/>
      <c r="R929" s="324"/>
      <c r="S929" s="324"/>
      <c r="T929" s="324"/>
      <c r="U929" s="324"/>
      <c r="V929" s="377">
        <v>41435</v>
      </c>
      <c r="W929" s="198">
        <v>46.400002000000001</v>
      </c>
      <c r="X929" s="349">
        <f t="shared" si="40"/>
        <v>3.4602074627938517E-3</v>
      </c>
      <c r="Y929" s="198">
        <v>1642.8100589999999</v>
      </c>
      <c r="Z929" s="349">
        <f t="shared" si="41"/>
        <v>-3.4681327402430462E-4</v>
      </c>
      <c r="AA929" s="324"/>
      <c r="AB929" s="324"/>
      <c r="AC929" s="324"/>
      <c r="AD929" s="324"/>
      <c r="AE929" s="324"/>
      <c r="AF929" s="324"/>
    </row>
    <row r="930" spans="1:32">
      <c r="A930" s="324"/>
      <c r="B930" s="244"/>
      <c r="C930" s="294"/>
      <c r="D930" s="235"/>
      <c r="E930" s="294"/>
      <c r="F930" s="235"/>
      <c r="G930" s="324"/>
      <c r="H930" s="324"/>
      <c r="I930" s="324"/>
      <c r="J930" s="324"/>
      <c r="K930" s="324"/>
      <c r="L930" s="324"/>
      <c r="M930" s="294"/>
      <c r="N930" s="235"/>
      <c r="O930" s="324"/>
      <c r="P930" s="235"/>
      <c r="Q930" s="324"/>
      <c r="R930" s="324"/>
      <c r="S930" s="324"/>
      <c r="T930" s="324"/>
      <c r="U930" s="324"/>
      <c r="V930" s="377">
        <v>41432</v>
      </c>
      <c r="W930" s="198">
        <v>46.240001999999997</v>
      </c>
      <c r="X930" s="349">
        <f t="shared" si="40"/>
        <v>1.6710686015831033E-2</v>
      </c>
      <c r="Y930" s="198">
        <v>1643.380005</v>
      </c>
      <c r="Z930" s="349">
        <f t="shared" si="41"/>
        <v>1.2831541048059281E-2</v>
      </c>
      <c r="AA930" s="324"/>
      <c r="AB930" s="324"/>
      <c r="AC930" s="324"/>
      <c r="AD930" s="324"/>
      <c r="AE930" s="324"/>
      <c r="AF930" s="324"/>
    </row>
    <row r="931" spans="1:32">
      <c r="A931" s="324"/>
      <c r="B931" s="244"/>
      <c r="C931" s="294"/>
      <c r="D931" s="235"/>
      <c r="E931" s="294"/>
      <c r="F931" s="235"/>
      <c r="G931" s="324"/>
      <c r="H931" s="324"/>
      <c r="I931" s="324"/>
      <c r="J931" s="324"/>
      <c r="K931" s="324"/>
      <c r="L931" s="324"/>
      <c r="M931" s="294"/>
      <c r="N931" s="235"/>
      <c r="O931" s="324"/>
      <c r="P931" s="235"/>
      <c r="Q931" s="324"/>
      <c r="R931" s="324"/>
      <c r="S931" s="324"/>
      <c r="T931" s="324"/>
      <c r="U931" s="324"/>
      <c r="V931" s="377">
        <v>41431</v>
      </c>
      <c r="W931" s="198">
        <v>45.48</v>
      </c>
      <c r="X931" s="349">
        <f t="shared" si="40"/>
        <v>-4.8140261528659689E-3</v>
      </c>
      <c r="Y931" s="198">
        <v>1622.5600589999999</v>
      </c>
      <c r="Z931" s="349">
        <f t="shared" si="41"/>
        <v>8.4902944845750561E-3</v>
      </c>
      <c r="AA931" s="324"/>
      <c r="AB931" s="324"/>
      <c r="AC931" s="324"/>
      <c r="AD931" s="324"/>
      <c r="AE931" s="324"/>
      <c r="AF931" s="324"/>
    </row>
    <row r="932" spans="1:32">
      <c r="A932" s="324"/>
      <c r="B932" s="244"/>
      <c r="C932" s="294"/>
      <c r="D932" s="235"/>
      <c r="E932" s="294"/>
      <c r="F932" s="235"/>
      <c r="G932" s="324"/>
      <c r="H932" s="324"/>
      <c r="I932" s="324"/>
      <c r="J932" s="324"/>
      <c r="K932" s="324"/>
      <c r="L932" s="324"/>
      <c r="M932" s="294"/>
      <c r="N932" s="235"/>
      <c r="O932" s="324"/>
      <c r="P932" s="235"/>
      <c r="Q932" s="324"/>
      <c r="R932" s="324"/>
      <c r="S932" s="324"/>
      <c r="T932" s="324"/>
      <c r="U932" s="324"/>
      <c r="V932" s="377">
        <v>41430</v>
      </c>
      <c r="W932" s="198">
        <v>45.700001</v>
      </c>
      <c r="X932" s="349">
        <f t="shared" si="40"/>
        <v>-1.0394088349935049E-2</v>
      </c>
      <c r="Y932" s="198">
        <v>1608.900024</v>
      </c>
      <c r="Z932" s="349">
        <f t="shared" si="41"/>
        <v>-1.3779733067158628E-2</v>
      </c>
      <c r="AA932" s="324"/>
      <c r="AB932" s="324"/>
      <c r="AC932" s="324"/>
      <c r="AD932" s="324"/>
      <c r="AE932" s="324"/>
      <c r="AF932" s="324"/>
    </row>
    <row r="933" spans="1:32">
      <c r="A933" s="324"/>
      <c r="B933" s="244"/>
      <c r="C933" s="294"/>
      <c r="D933" s="235"/>
      <c r="E933" s="294"/>
      <c r="F933" s="235"/>
      <c r="G933" s="324"/>
      <c r="H933" s="324"/>
      <c r="I933" s="324"/>
      <c r="J933" s="324"/>
      <c r="K933" s="324"/>
      <c r="L933" s="324"/>
      <c r="M933" s="294"/>
      <c r="N933" s="235"/>
      <c r="O933" s="324"/>
      <c r="P933" s="235"/>
      <c r="Q933" s="324"/>
      <c r="R933" s="324"/>
      <c r="S933" s="324"/>
      <c r="T933" s="324"/>
      <c r="U933" s="324"/>
      <c r="V933" s="377">
        <v>41429</v>
      </c>
      <c r="W933" s="198">
        <v>46.18</v>
      </c>
      <c r="X933" s="349">
        <f t="shared" si="40"/>
        <v>-2.0780322307039745E-2</v>
      </c>
      <c r="Y933" s="198">
        <v>1631.380005</v>
      </c>
      <c r="Z933" s="349">
        <f t="shared" si="41"/>
        <v>-5.5108074502410176E-3</v>
      </c>
      <c r="AA933" s="324"/>
      <c r="AB933" s="324"/>
      <c r="AC933" s="324"/>
      <c r="AD933" s="324"/>
      <c r="AE933" s="324"/>
      <c r="AF933" s="324"/>
    </row>
    <row r="934" spans="1:32">
      <c r="A934" s="324"/>
      <c r="B934" s="244"/>
      <c r="C934" s="294"/>
      <c r="D934" s="235"/>
      <c r="E934" s="294"/>
      <c r="F934" s="235"/>
      <c r="G934" s="324"/>
      <c r="H934" s="324"/>
      <c r="I934" s="324"/>
      <c r="J934" s="324"/>
      <c r="K934" s="324"/>
      <c r="L934" s="324"/>
      <c r="M934" s="294"/>
      <c r="N934" s="235"/>
      <c r="O934" s="324"/>
      <c r="P934" s="235"/>
      <c r="Q934" s="324"/>
      <c r="R934" s="324"/>
      <c r="S934" s="324"/>
      <c r="T934" s="324"/>
      <c r="U934" s="324"/>
      <c r="V934" s="377">
        <v>41428</v>
      </c>
      <c r="W934" s="198">
        <v>47.16</v>
      </c>
      <c r="X934" s="349">
        <f t="shared" si="40"/>
        <v>-2.2185361808003345E-2</v>
      </c>
      <c r="Y934" s="198">
        <v>1640.420044</v>
      </c>
      <c r="Z934" s="349">
        <f t="shared" si="41"/>
        <v>5.935988606007081E-3</v>
      </c>
      <c r="AA934" s="324"/>
      <c r="AB934" s="324"/>
      <c r="AC934" s="324"/>
      <c r="AD934" s="324"/>
      <c r="AE934" s="324"/>
      <c r="AF934" s="324"/>
    </row>
    <row r="935" spans="1:32">
      <c r="A935" s="324"/>
      <c r="B935" s="244"/>
      <c r="C935" s="294"/>
      <c r="D935" s="235"/>
      <c r="E935" s="294"/>
      <c r="F935" s="235"/>
      <c r="G935" s="324"/>
      <c r="H935" s="324"/>
      <c r="I935" s="324"/>
      <c r="J935" s="324"/>
      <c r="K935" s="324"/>
      <c r="L935" s="324"/>
      <c r="M935" s="294"/>
      <c r="N935" s="235"/>
      <c r="O935" s="324"/>
      <c r="P935" s="235"/>
      <c r="Q935" s="324"/>
      <c r="R935" s="324"/>
      <c r="S935" s="324"/>
      <c r="T935" s="324"/>
      <c r="U935" s="324"/>
      <c r="V935" s="377">
        <v>41425</v>
      </c>
      <c r="W935" s="198">
        <v>48.23</v>
      </c>
      <c r="X935" s="349">
        <f t="shared" si="40"/>
        <v>7.7308606825978732E-3</v>
      </c>
      <c r="Y935" s="198">
        <v>1630.73999</v>
      </c>
      <c r="Z935" s="349">
        <f t="shared" si="41"/>
        <v>-1.430724156258345E-2</v>
      </c>
      <c r="AA935" s="324"/>
      <c r="AB935" s="324"/>
      <c r="AC935" s="324"/>
      <c r="AD935" s="324"/>
      <c r="AE935" s="324"/>
      <c r="AF935" s="324"/>
    </row>
    <row r="936" spans="1:32">
      <c r="A936" s="324"/>
      <c r="B936" s="244"/>
      <c r="C936" s="294"/>
      <c r="D936" s="235"/>
      <c r="E936" s="294"/>
      <c r="F936" s="235"/>
      <c r="G936" s="324"/>
      <c r="H936" s="324"/>
      <c r="I936" s="324"/>
      <c r="J936" s="324"/>
      <c r="K936" s="324"/>
      <c r="L936" s="324"/>
      <c r="M936" s="294"/>
      <c r="N936" s="235"/>
      <c r="O936" s="324"/>
      <c r="P936" s="235"/>
      <c r="Q936" s="324"/>
      <c r="R936" s="324"/>
      <c r="S936" s="324"/>
      <c r="T936" s="324"/>
      <c r="U936" s="324"/>
      <c r="V936" s="377">
        <v>41424</v>
      </c>
      <c r="W936" s="198">
        <v>47.860000999999997</v>
      </c>
      <c r="X936" s="349">
        <f t="shared" si="40"/>
        <v>-6.6417393109174938E-3</v>
      </c>
      <c r="Y936" s="198">
        <v>1654.410034</v>
      </c>
      <c r="Z936" s="349">
        <f t="shared" si="41"/>
        <v>3.6703444969878873E-3</v>
      </c>
      <c r="AA936" s="324"/>
      <c r="AB936" s="324"/>
      <c r="AC936" s="324"/>
      <c r="AD936" s="324"/>
      <c r="AE936" s="324"/>
      <c r="AF936" s="324"/>
    </row>
    <row r="937" spans="1:32">
      <c r="A937" s="324"/>
      <c r="B937" s="244"/>
      <c r="C937" s="294"/>
      <c r="D937" s="235"/>
      <c r="E937" s="294"/>
      <c r="F937" s="235"/>
      <c r="G937" s="324"/>
      <c r="H937" s="324"/>
      <c r="I937" s="324"/>
      <c r="J937" s="324"/>
      <c r="K937" s="324"/>
      <c r="L937" s="324"/>
      <c r="M937" s="294"/>
      <c r="N937" s="235"/>
      <c r="O937" s="324"/>
      <c r="P937" s="235"/>
      <c r="Q937" s="324"/>
      <c r="R937" s="324"/>
      <c r="S937" s="324"/>
      <c r="T937" s="324"/>
      <c r="U937" s="324"/>
      <c r="V937" s="377">
        <v>41423</v>
      </c>
      <c r="W937" s="198">
        <v>48.18</v>
      </c>
      <c r="X937" s="349">
        <f t="shared" si="40"/>
        <v>-9.4572164773276679E-3</v>
      </c>
      <c r="Y937" s="198">
        <v>1648.3599850000001</v>
      </c>
      <c r="Z937" s="349">
        <f t="shared" si="41"/>
        <v>-7.0479823525468888E-3</v>
      </c>
      <c r="AA937" s="324"/>
      <c r="AB937" s="324"/>
      <c r="AC937" s="324"/>
      <c r="AD937" s="324"/>
      <c r="AE937" s="324"/>
      <c r="AF937" s="324"/>
    </row>
    <row r="938" spans="1:32">
      <c r="A938" s="324"/>
      <c r="B938" s="244"/>
      <c r="C938" s="294"/>
      <c r="D938" s="235"/>
      <c r="E938" s="294"/>
      <c r="F938" s="235"/>
      <c r="G938" s="324"/>
      <c r="H938" s="324"/>
      <c r="I938" s="324"/>
      <c r="J938" s="324"/>
      <c r="K938" s="324"/>
      <c r="L938" s="324"/>
      <c r="M938" s="294"/>
      <c r="N938" s="235"/>
      <c r="O938" s="324"/>
      <c r="P938" s="235"/>
      <c r="Q938" s="324"/>
      <c r="R938" s="324"/>
      <c r="S938" s="324"/>
      <c r="T938" s="324"/>
      <c r="U938" s="324"/>
      <c r="V938" s="377">
        <v>41422</v>
      </c>
      <c r="W938" s="198">
        <v>48.639999000000003</v>
      </c>
      <c r="X938" s="349">
        <f t="shared" si="40"/>
        <v>3.0933593279705018E-3</v>
      </c>
      <c r="Y938" s="198">
        <v>1660.0600589999999</v>
      </c>
      <c r="Z938" s="349">
        <f t="shared" si="41"/>
        <v>6.3409815423032256E-3</v>
      </c>
      <c r="AA938" s="324"/>
      <c r="AB938" s="324"/>
      <c r="AC938" s="324"/>
      <c r="AD938" s="324"/>
      <c r="AE938" s="324"/>
      <c r="AF938" s="324"/>
    </row>
    <row r="939" spans="1:32">
      <c r="A939" s="324"/>
      <c r="B939" s="244"/>
      <c r="C939" s="294"/>
      <c r="D939" s="235"/>
      <c r="E939" s="294"/>
      <c r="F939" s="235"/>
      <c r="G939" s="324"/>
      <c r="H939" s="324"/>
      <c r="I939" s="324"/>
      <c r="J939" s="324"/>
      <c r="K939" s="324"/>
      <c r="L939" s="324"/>
      <c r="M939" s="294"/>
      <c r="N939" s="235"/>
      <c r="O939" s="324"/>
      <c r="P939" s="235"/>
      <c r="Q939" s="324"/>
      <c r="R939" s="324"/>
      <c r="S939" s="324"/>
      <c r="T939" s="324"/>
      <c r="U939" s="324"/>
      <c r="V939" s="377">
        <v>41418</v>
      </c>
      <c r="W939" s="198">
        <v>48.490001999999997</v>
      </c>
      <c r="X939" s="349">
        <f t="shared" si="40"/>
        <v>-1.762558716317697E-2</v>
      </c>
      <c r="Y939" s="198">
        <v>1649.599976</v>
      </c>
      <c r="Z939" s="349">
        <f t="shared" si="41"/>
        <v>-5.5136533222233108E-4</v>
      </c>
      <c r="AA939" s="324"/>
      <c r="AB939" s="324"/>
      <c r="AC939" s="324"/>
      <c r="AD939" s="324"/>
      <c r="AE939" s="324"/>
      <c r="AF939" s="324"/>
    </row>
    <row r="940" spans="1:32">
      <c r="A940" s="324"/>
      <c r="B940" s="244"/>
      <c r="C940" s="294"/>
      <c r="D940" s="235"/>
      <c r="E940" s="294"/>
      <c r="F940" s="235"/>
      <c r="G940" s="324"/>
      <c r="H940" s="324"/>
      <c r="I940" s="324"/>
      <c r="J940" s="324"/>
      <c r="K940" s="324"/>
      <c r="L940" s="324"/>
      <c r="M940" s="294"/>
      <c r="N940" s="235"/>
      <c r="O940" s="324"/>
      <c r="P940" s="235"/>
      <c r="Q940" s="324"/>
      <c r="R940" s="324"/>
      <c r="S940" s="324"/>
      <c r="T940" s="324"/>
      <c r="U940" s="324"/>
      <c r="V940" s="377">
        <v>41417</v>
      </c>
      <c r="W940" s="198">
        <v>49.360000999999997</v>
      </c>
      <c r="X940" s="349">
        <f t="shared" si="40"/>
        <v>-1.3194702119152413E-2</v>
      </c>
      <c r="Y940" s="198">
        <v>1650.51001</v>
      </c>
      <c r="Z940" s="349">
        <f t="shared" si="41"/>
        <v>-2.9238324645374236E-3</v>
      </c>
      <c r="AA940" s="324"/>
      <c r="AB940" s="324"/>
      <c r="AC940" s="324"/>
      <c r="AD940" s="324"/>
      <c r="AE940" s="324"/>
      <c r="AF940" s="324"/>
    </row>
    <row r="941" spans="1:32">
      <c r="A941" s="324"/>
      <c r="B941" s="244"/>
      <c r="C941" s="294"/>
      <c r="D941" s="235"/>
      <c r="E941" s="294"/>
      <c r="F941" s="235"/>
      <c r="G941" s="324"/>
      <c r="H941" s="324"/>
      <c r="I941" s="324"/>
      <c r="J941" s="324"/>
      <c r="K941" s="324"/>
      <c r="L941" s="324"/>
      <c r="M941" s="294"/>
      <c r="N941" s="235"/>
      <c r="O941" s="324"/>
      <c r="P941" s="235"/>
      <c r="Q941" s="324"/>
      <c r="R941" s="324"/>
      <c r="S941" s="324"/>
      <c r="T941" s="324"/>
      <c r="U941" s="324"/>
      <c r="V941" s="377">
        <v>41416</v>
      </c>
      <c r="W941" s="198">
        <v>50.02</v>
      </c>
      <c r="X941" s="349">
        <f t="shared" si="40"/>
        <v>-3.548015743385724E-2</v>
      </c>
      <c r="Y941" s="198">
        <v>1655.349976</v>
      </c>
      <c r="Z941" s="349">
        <f t="shared" si="41"/>
        <v>-8.2736572399864095E-3</v>
      </c>
      <c r="AA941" s="324"/>
      <c r="AB941" s="324"/>
      <c r="AC941" s="324"/>
      <c r="AD941" s="324"/>
      <c r="AE941" s="324"/>
      <c r="AF941" s="324"/>
    </row>
    <row r="942" spans="1:32">
      <c r="A942" s="324"/>
      <c r="B942" s="244"/>
      <c r="C942" s="294"/>
      <c r="D942" s="235"/>
      <c r="E942" s="294"/>
      <c r="F942" s="235"/>
      <c r="G942" s="324"/>
      <c r="H942" s="324"/>
      <c r="I942" s="324"/>
      <c r="J942" s="324"/>
      <c r="K942" s="324"/>
      <c r="L942" s="324"/>
      <c r="M942" s="294"/>
      <c r="N942" s="235"/>
      <c r="O942" s="324"/>
      <c r="P942" s="235"/>
      <c r="Q942" s="324"/>
      <c r="R942" s="324"/>
      <c r="S942" s="324"/>
      <c r="T942" s="324"/>
      <c r="U942" s="324"/>
      <c r="V942" s="377">
        <v>41415</v>
      </c>
      <c r="W942" s="198">
        <v>51.860000999999997</v>
      </c>
      <c r="X942" s="349">
        <f t="shared" si="40"/>
        <v>-1.5004766761452459E-2</v>
      </c>
      <c r="Y942" s="198">
        <v>1669.160034</v>
      </c>
      <c r="Z942" s="349">
        <f t="shared" si="41"/>
        <v>1.7223862189816863E-3</v>
      </c>
      <c r="AA942" s="324"/>
      <c r="AB942" s="324"/>
      <c r="AC942" s="324"/>
      <c r="AD942" s="324"/>
      <c r="AE942" s="324"/>
      <c r="AF942" s="324"/>
    </row>
    <row r="943" spans="1:32">
      <c r="A943" s="324"/>
      <c r="B943" s="244"/>
      <c r="C943" s="294"/>
      <c r="D943" s="235"/>
      <c r="E943" s="294"/>
      <c r="F943" s="235"/>
      <c r="G943" s="324"/>
      <c r="H943" s="324"/>
      <c r="I943" s="324"/>
      <c r="J943" s="324"/>
      <c r="K943" s="324"/>
      <c r="L943" s="324"/>
      <c r="M943" s="294"/>
      <c r="N943" s="235"/>
      <c r="O943" s="324"/>
      <c r="P943" s="235"/>
      <c r="Q943" s="324"/>
      <c r="R943" s="324"/>
      <c r="S943" s="324"/>
      <c r="T943" s="324"/>
      <c r="U943" s="324"/>
      <c r="V943" s="377">
        <v>41414</v>
      </c>
      <c r="W943" s="198">
        <v>52.650002000000001</v>
      </c>
      <c r="X943" s="349">
        <f t="shared" si="40"/>
        <v>-4.2553189941691549E-2</v>
      </c>
      <c r="Y943" s="198">
        <v>1666.290039</v>
      </c>
      <c r="Z943" s="349">
        <f t="shared" si="41"/>
        <v>-7.0761814036890414E-4</v>
      </c>
      <c r="AA943" s="324"/>
      <c r="AB943" s="324"/>
      <c r="AC943" s="324"/>
      <c r="AD943" s="324"/>
      <c r="AE943" s="324"/>
      <c r="AF943" s="324"/>
    </row>
    <row r="944" spans="1:32">
      <c r="A944" s="324"/>
      <c r="B944" s="244"/>
      <c r="C944" s="294"/>
      <c r="D944" s="235"/>
      <c r="E944" s="294"/>
      <c r="F944" s="235"/>
      <c r="G944" s="324"/>
      <c r="H944" s="324"/>
      <c r="I944" s="324"/>
      <c r="J944" s="324"/>
      <c r="K944" s="324"/>
      <c r="L944" s="324"/>
      <c r="M944" s="294"/>
      <c r="N944" s="235"/>
      <c r="O944" s="324"/>
      <c r="P944" s="235"/>
      <c r="Q944" s="324"/>
      <c r="R944" s="324"/>
      <c r="S944" s="324"/>
      <c r="T944" s="324"/>
      <c r="U944" s="324"/>
      <c r="V944" s="377">
        <v>41411</v>
      </c>
      <c r="W944" s="198">
        <v>54.990001999999997</v>
      </c>
      <c r="X944" s="349">
        <f t="shared" si="40"/>
        <v>5.1179492801671778E-3</v>
      </c>
      <c r="Y944" s="198">
        <v>1667.469971</v>
      </c>
      <c r="Z944" s="349">
        <f t="shared" si="41"/>
        <v>1.0300096517175561E-2</v>
      </c>
      <c r="AA944" s="324"/>
      <c r="AB944" s="324"/>
      <c r="AC944" s="324"/>
      <c r="AD944" s="324"/>
      <c r="AE944" s="324"/>
      <c r="AF944" s="324"/>
    </row>
    <row r="945" spans="1:32">
      <c r="A945" s="324"/>
      <c r="B945" s="244"/>
      <c r="C945" s="294"/>
      <c r="D945" s="235"/>
      <c r="E945" s="294"/>
      <c r="F945" s="235"/>
      <c r="G945" s="324"/>
      <c r="H945" s="324"/>
      <c r="I945" s="324"/>
      <c r="J945" s="324"/>
      <c r="K945" s="324"/>
      <c r="L945" s="324"/>
      <c r="M945" s="294"/>
      <c r="N945" s="235"/>
      <c r="O945" s="324"/>
      <c r="P945" s="235"/>
      <c r="Q945" s="324"/>
      <c r="R945" s="324"/>
      <c r="S945" s="324"/>
      <c r="T945" s="324"/>
      <c r="U945" s="324"/>
      <c r="V945" s="377">
        <v>41410</v>
      </c>
      <c r="W945" s="198">
        <v>54.709999000000003</v>
      </c>
      <c r="X945" s="349">
        <f t="shared" si="40"/>
        <v>1.0155077548005931E-2</v>
      </c>
      <c r="Y945" s="198">
        <v>1650.469971</v>
      </c>
      <c r="Z945" s="349">
        <f t="shared" si="41"/>
        <v>-5.0097408063261017E-3</v>
      </c>
      <c r="AA945" s="324"/>
      <c r="AB945" s="324"/>
      <c r="AC945" s="324"/>
      <c r="AD945" s="324"/>
      <c r="AE945" s="324"/>
      <c r="AF945" s="324"/>
    </row>
    <row r="946" spans="1:32">
      <c r="A946" s="324"/>
      <c r="B946" s="244"/>
      <c r="C946" s="294"/>
      <c r="D946" s="235"/>
      <c r="E946" s="294"/>
      <c r="F946" s="235"/>
      <c r="G946" s="324"/>
      <c r="H946" s="324"/>
      <c r="I946" s="324"/>
      <c r="J946" s="324"/>
      <c r="K946" s="324"/>
      <c r="L946" s="324"/>
      <c r="M946" s="294"/>
      <c r="N946" s="235"/>
      <c r="O946" s="324"/>
      <c r="P946" s="235"/>
      <c r="Q946" s="324"/>
      <c r="R946" s="324"/>
      <c r="S946" s="324"/>
      <c r="T946" s="324"/>
      <c r="U946" s="324"/>
      <c r="V946" s="377">
        <v>41409</v>
      </c>
      <c r="W946" s="198">
        <v>54.16</v>
      </c>
      <c r="X946" s="349">
        <f t="shared" si="40"/>
        <v>2.7314092805119428E-2</v>
      </c>
      <c r="Y946" s="198">
        <v>1658.780029</v>
      </c>
      <c r="Z946" s="349">
        <f t="shared" si="41"/>
        <v>5.1141359803923425E-3</v>
      </c>
      <c r="AA946" s="324"/>
      <c r="AB946" s="324"/>
      <c r="AC946" s="324"/>
      <c r="AD946" s="324"/>
      <c r="AE946" s="324"/>
      <c r="AF946" s="324"/>
    </row>
    <row r="947" spans="1:32">
      <c r="A947" s="324"/>
      <c r="B947" s="244"/>
      <c r="C947" s="294"/>
      <c r="D947" s="235"/>
      <c r="E947" s="294"/>
      <c r="F947" s="235"/>
      <c r="G947" s="324"/>
      <c r="H947" s="324"/>
      <c r="I947" s="324"/>
      <c r="J947" s="324"/>
      <c r="K947" s="324"/>
      <c r="L947" s="324"/>
      <c r="M947" s="294"/>
      <c r="N947" s="235"/>
      <c r="O947" s="324"/>
      <c r="P947" s="235"/>
      <c r="Q947" s="324"/>
      <c r="R947" s="324"/>
      <c r="S947" s="324"/>
      <c r="T947" s="324"/>
      <c r="U947" s="324"/>
      <c r="V947" s="377">
        <v>41408</v>
      </c>
      <c r="W947" s="198">
        <v>52.720001000000003</v>
      </c>
      <c r="X947" s="349">
        <f t="shared" si="40"/>
        <v>1.4626674646394777E-2</v>
      </c>
      <c r="Y947" s="198">
        <v>1650.339966</v>
      </c>
      <c r="Z947" s="349">
        <f t="shared" si="41"/>
        <v>1.0142153300132239E-2</v>
      </c>
      <c r="AA947" s="324"/>
      <c r="AB947" s="324"/>
      <c r="AC947" s="324"/>
      <c r="AD947" s="324"/>
      <c r="AE947" s="324"/>
      <c r="AF947" s="324"/>
    </row>
    <row r="948" spans="1:32">
      <c r="A948" s="324"/>
      <c r="B948" s="244"/>
      <c r="C948" s="294"/>
      <c r="D948" s="235"/>
      <c r="E948" s="294"/>
      <c r="F948" s="235"/>
      <c r="G948" s="324"/>
      <c r="H948" s="324"/>
      <c r="I948" s="324"/>
      <c r="J948" s="324"/>
      <c r="K948" s="324"/>
      <c r="L948" s="324"/>
      <c r="M948" s="294"/>
      <c r="N948" s="235"/>
      <c r="O948" s="324"/>
      <c r="P948" s="235"/>
      <c r="Q948" s="324"/>
      <c r="R948" s="324"/>
      <c r="S948" s="324"/>
      <c r="T948" s="324"/>
      <c r="U948" s="324"/>
      <c r="V948" s="377">
        <v>41407</v>
      </c>
      <c r="W948" s="198">
        <v>51.959999000000003</v>
      </c>
      <c r="X948" s="349">
        <f t="shared" si="40"/>
        <v>1.1560115161459716E-3</v>
      </c>
      <c r="Y948" s="198">
        <v>1633.7700199999999</v>
      </c>
      <c r="Z948" s="349">
        <f t="shared" si="41"/>
        <v>4.2889760728082038E-5</v>
      </c>
      <c r="AA948" s="324"/>
      <c r="AB948" s="324"/>
      <c r="AC948" s="324"/>
      <c r="AD948" s="324"/>
      <c r="AE948" s="324"/>
      <c r="AF948" s="324"/>
    </row>
    <row r="949" spans="1:32">
      <c r="A949" s="324"/>
      <c r="B949" s="244"/>
      <c r="C949" s="294"/>
      <c r="D949" s="235"/>
      <c r="E949" s="294"/>
      <c r="F949" s="235"/>
      <c r="G949" s="324"/>
      <c r="H949" s="324"/>
      <c r="I949" s="324"/>
      <c r="J949" s="324"/>
      <c r="K949" s="324"/>
      <c r="L949" s="324"/>
      <c r="M949" s="294"/>
      <c r="N949" s="235"/>
      <c r="O949" s="324"/>
      <c r="P949" s="235"/>
      <c r="Q949" s="324"/>
      <c r="R949" s="324"/>
      <c r="S949" s="324"/>
      <c r="T949" s="324"/>
      <c r="U949" s="324"/>
      <c r="V949" s="377">
        <v>41404</v>
      </c>
      <c r="W949" s="198">
        <v>51.900002000000001</v>
      </c>
      <c r="X949" s="349">
        <f t="shared" si="40"/>
        <v>1.8845760087274455E-2</v>
      </c>
      <c r="Y949" s="198">
        <v>1633.6999510000001</v>
      </c>
      <c r="Z949" s="349">
        <f t="shared" si="41"/>
        <v>4.3216551665963276E-3</v>
      </c>
      <c r="AA949" s="324"/>
      <c r="AB949" s="324"/>
      <c r="AC949" s="324"/>
      <c r="AD949" s="324"/>
      <c r="AE949" s="324"/>
      <c r="AF949" s="324"/>
    </row>
    <row r="950" spans="1:32">
      <c r="A950" s="324"/>
      <c r="B950" s="244"/>
      <c r="C950" s="294"/>
      <c r="D950" s="235"/>
      <c r="E950" s="294"/>
      <c r="F950" s="235"/>
      <c r="G950" s="324"/>
      <c r="H950" s="324"/>
      <c r="I950" s="324"/>
      <c r="J950" s="324"/>
      <c r="K950" s="324"/>
      <c r="L950" s="324"/>
      <c r="M950" s="294"/>
      <c r="N950" s="235"/>
      <c r="O950" s="324"/>
      <c r="P950" s="235"/>
      <c r="Q950" s="324"/>
      <c r="R950" s="324"/>
      <c r="S950" s="324"/>
      <c r="T950" s="324"/>
      <c r="U950" s="324"/>
      <c r="V950" s="377">
        <v>41403</v>
      </c>
      <c r="W950" s="198">
        <v>50.939999</v>
      </c>
      <c r="X950" s="349">
        <f t="shared" si="40"/>
        <v>2.3612554112553141E-3</v>
      </c>
      <c r="Y950" s="198">
        <v>1626.670044</v>
      </c>
      <c r="Z950" s="349">
        <f t="shared" si="41"/>
        <v>-3.6871036250232248E-3</v>
      </c>
      <c r="AA950" s="324"/>
      <c r="AB950" s="324"/>
      <c r="AC950" s="324"/>
      <c r="AD950" s="324"/>
      <c r="AE950" s="324"/>
      <c r="AF950" s="324"/>
    </row>
    <row r="951" spans="1:32">
      <c r="A951" s="324"/>
      <c r="B951" s="244"/>
      <c r="C951" s="294"/>
      <c r="D951" s="235"/>
      <c r="E951" s="294"/>
      <c r="F951" s="235"/>
      <c r="G951" s="324"/>
      <c r="H951" s="324"/>
      <c r="I951" s="324"/>
      <c r="J951" s="324"/>
      <c r="K951" s="324"/>
      <c r="L951" s="324"/>
      <c r="M951" s="294"/>
      <c r="N951" s="235"/>
      <c r="O951" s="324"/>
      <c r="P951" s="235"/>
      <c r="Q951" s="324"/>
      <c r="R951" s="324"/>
      <c r="S951" s="324"/>
      <c r="T951" s="324"/>
      <c r="U951" s="324"/>
      <c r="V951" s="377">
        <v>41402</v>
      </c>
      <c r="W951" s="198">
        <v>50.82</v>
      </c>
      <c r="X951" s="349">
        <f t="shared" si="40"/>
        <v>3.3563276068577785E-3</v>
      </c>
      <c r="Y951" s="198">
        <v>1632.6899410000001</v>
      </c>
      <c r="Z951" s="349">
        <f t="shared" si="41"/>
        <v>4.1390810114789733E-3</v>
      </c>
      <c r="AA951" s="324"/>
      <c r="AB951" s="324"/>
      <c r="AC951" s="324"/>
      <c r="AD951" s="324"/>
      <c r="AE951" s="324"/>
      <c r="AF951" s="324"/>
    </row>
    <row r="952" spans="1:32">
      <c r="A952" s="324"/>
      <c r="B952" s="244"/>
      <c r="C952" s="294"/>
      <c r="D952" s="235"/>
      <c r="E952" s="294"/>
      <c r="F952" s="235"/>
      <c r="G952" s="324"/>
      <c r="H952" s="324"/>
      <c r="I952" s="324"/>
      <c r="J952" s="324"/>
      <c r="K952" s="324"/>
      <c r="L952" s="324"/>
      <c r="M952" s="294"/>
      <c r="N952" s="235"/>
      <c r="O952" s="324"/>
      <c r="P952" s="235"/>
      <c r="Q952" s="324"/>
      <c r="R952" s="324"/>
      <c r="S952" s="324"/>
      <c r="T952" s="324"/>
      <c r="U952" s="324"/>
      <c r="V952" s="377">
        <v>41401</v>
      </c>
      <c r="W952" s="198">
        <v>50.650002000000001</v>
      </c>
      <c r="X952" s="349">
        <f t="shared" si="40"/>
        <v>6.9583102775012673E-3</v>
      </c>
      <c r="Y952" s="198">
        <v>1625.959961</v>
      </c>
      <c r="Z952" s="349">
        <f t="shared" si="41"/>
        <v>5.2302695517774112E-3</v>
      </c>
      <c r="AA952" s="324"/>
      <c r="AB952" s="324"/>
      <c r="AC952" s="324"/>
      <c r="AD952" s="324"/>
      <c r="AE952" s="324"/>
      <c r="AF952" s="324"/>
    </row>
    <row r="953" spans="1:32">
      <c r="A953" s="324"/>
      <c r="B953" s="244"/>
      <c r="C953" s="294"/>
      <c r="D953" s="235"/>
      <c r="E953" s="294"/>
      <c r="F953" s="235"/>
      <c r="G953" s="324"/>
      <c r="H953" s="324"/>
      <c r="I953" s="324"/>
      <c r="J953" s="324"/>
      <c r="K953" s="324"/>
      <c r="L953" s="324"/>
      <c r="M953" s="294"/>
      <c r="N953" s="235"/>
      <c r="O953" s="324"/>
      <c r="P953" s="235"/>
      <c r="Q953" s="324"/>
      <c r="R953" s="324"/>
      <c r="S953" s="324"/>
      <c r="T953" s="324"/>
      <c r="U953" s="324"/>
      <c r="V953" s="377">
        <v>41400</v>
      </c>
      <c r="W953" s="198">
        <v>50.299999</v>
      </c>
      <c r="X953" s="349">
        <f t="shared" si="40"/>
        <v>1.3091580540117498E-2</v>
      </c>
      <c r="Y953" s="198">
        <v>1617.5</v>
      </c>
      <c r="Z953" s="349">
        <f t="shared" si="41"/>
        <v>1.907778592967091E-3</v>
      </c>
      <c r="AA953" s="324"/>
      <c r="AB953" s="324"/>
      <c r="AC953" s="324"/>
      <c r="AD953" s="324"/>
      <c r="AE953" s="324"/>
      <c r="AF953" s="324"/>
    </row>
    <row r="954" spans="1:32">
      <c r="A954" s="324"/>
      <c r="B954" s="244"/>
      <c r="C954" s="294"/>
      <c r="D954" s="235"/>
      <c r="E954" s="294"/>
      <c r="F954" s="235"/>
      <c r="G954" s="324"/>
      <c r="H954" s="324"/>
      <c r="I954" s="324"/>
      <c r="J954" s="324"/>
      <c r="K954" s="324"/>
      <c r="L954" s="324"/>
      <c r="M954" s="294"/>
      <c r="N954" s="235"/>
      <c r="O954" s="324"/>
      <c r="P954" s="235"/>
      <c r="Q954" s="324"/>
      <c r="R954" s="324"/>
      <c r="S954" s="324"/>
      <c r="T954" s="324"/>
      <c r="U954" s="324"/>
      <c r="V954" s="377">
        <v>41397</v>
      </c>
      <c r="W954" s="198">
        <v>49.650002000000001</v>
      </c>
      <c r="X954" s="349">
        <f t="shared" si="40"/>
        <v>2.3500392640708689E-2</v>
      </c>
      <c r="Y954" s="198">
        <v>1614.420044</v>
      </c>
      <c r="Z954" s="349">
        <f t="shared" si="41"/>
        <v>1.053466681575288E-2</v>
      </c>
      <c r="AA954" s="324"/>
      <c r="AB954" s="324"/>
      <c r="AC954" s="324"/>
      <c r="AD954" s="324"/>
      <c r="AE954" s="324"/>
      <c r="AF954" s="324"/>
    </row>
    <row r="955" spans="1:32">
      <c r="A955" s="324"/>
      <c r="B955" s="244"/>
      <c r="C955" s="294"/>
      <c r="D955" s="235"/>
      <c r="E955" s="294"/>
      <c r="F955" s="235"/>
      <c r="G955" s="324"/>
      <c r="H955" s="324"/>
      <c r="I955" s="324"/>
      <c r="J955" s="324"/>
      <c r="K955" s="324"/>
      <c r="L955" s="324"/>
      <c r="M955" s="294"/>
      <c r="N955" s="235"/>
      <c r="O955" s="324"/>
      <c r="P955" s="235"/>
      <c r="Q955" s="324"/>
      <c r="R955" s="324"/>
      <c r="S955" s="324"/>
      <c r="T955" s="324"/>
      <c r="U955" s="324"/>
      <c r="V955" s="377">
        <v>41396</v>
      </c>
      <c r="W955" s="198">
        <v>48.509998000000003</v>
      </c>
      <c r="X955" s="349">
        <f t="shared" si="40"/>
        <v>1.6341881416300108E-2</v>
      </c>
      <c r="Y955" s="198">
        <v>1597.589966</v>
      </c>
      <c r="Z955" s="349">
        <f t="shared" si="41"/>
        <v>9.4079834845461896E-3</v>
      </c>
      <c r="AA955" s="324"/>
      <c r="AB955" s="324"/>
      <c r="AC955" s="324"/>
      <c r="AD955" s="324"/>
      <c r="AE955" s="324"/>
      <c r="AF955" s="324"/>
    </row>
    <row r="956" spans="1:32">
      <c r="A956" s="324"/>
      <c r="B956" s="244"/>
      <c r="C956" s="294"/>
      <c r="D956" s="235"/>
      <c r="E956" s="294"/>
      <c r="F956" s="235"/>
      <c r="G956" s="324"/>
      <c r="H956" s="324"/>
      <c r="I956" s="324"/>
      <c r="J956" s="324"/>
      <c r="K956" s="324"/>
      <c r="L956" s="324"/>
      <c r="M956" s="294"/>
      <c r="N956" s="235"/>
      <c r="O956" s="324"/>
      <c r="P956" s="235"/>
      <c r="Q956" s="324"/>
      <c r="R956" s="324"/>
      <c r="S956" s="324"/>
      <c r="T956" s="324"/>
      <c r="U956" s="324"/>
      <c r="V956" s="377">
        <v>41395</v>
      </c>
      <c r="W956" s="198">
        <v>47.73</v>
      </c>
      <c r="X956" s="349">
        <f t="shared" si="40"/>
        <v>-4.1727519298978555E-3</v>
      </c>
      <c r="Y956" s="198">
        <v>1582.6999510000001</v>
      </c>
      <c r="Z956" s="349">
        <f t="shared" si="41"/>
        <v>-9.3078835372633062E-3</v>
      </c>
      <c r="AA956" s="324"/>
      <c r="AB956" s="324"/>
      <c r="AC956" s="324"/>
      <c r="AD956" s="324"/>
      <c r="AE956" s="324"/>
      <c r="AF956" s="324"/>
    </row>
    <row r="957" spans="1:32">
      <c r="A957" s="324"/>
      <c r="B957" s="244"/>
      <c r="C957" s="294"/>
      <c r="D957" s="235"/>
      <c r="E957" s="294"/>
      <c r="F957" s="235"/>
      <c r="G957" s="324"/>
      <c r="H957" s="324"/>
      <c r="I957" s="324"/>
      <c r="J957" s="324"/>
      <c r="K957" s="324"/>
      <c r="L957" s="324"/>
      <c r="M957" s="294"/>
      <c r="N957" s="235"/>
      <c r="O957" s="324"/>
      <c r="P957" s="235"/>
      <c r="Q957" s="324"/>
      <c r="R957" s="324"/>
      <c r="S957" s="324"/>
      <c r="T957" s="324"/>
      <c r="U957" s="324"/>
      <c r="V957" s="377">
        <v>41394</v>
      </c>
      <c r="W957" s="198">
        <v>47.93</v>
      </c>
      <c r="X957" s="349">
        <f t="shared" si="40"/>
        <v>-1.8029112517330192E-2</v>
      </c>
      <c r="Y957" s="198">
        <v>1597.5699460000001</v>
      </c>
      <c r="Z957" s="349">
        <f t="shared" si="41"/>
        <v>2.4848997165389797E-3</v>
      </c>
      <c r="AA957" s="324"/>
      <c r="AB957" s="324"/>
      <c r="AC957" s="324"/>
      <c r="AD957" s="324"/>
      <c r="AE957" s="324"/>
      <c r="AF957" s="324"/>
    </row>
    <row r="958" spans="1:32">
      <c r="A958" s="324"/>
      <c r="B958" s="244"/>
      <c r="C958" s="294"/>
      <c r="D958" s="235"/>
      <c r="E958" s="294"/>
      <c r="F958" s="235"/>
      <c r="G958" s="324"/>
      <c r="H958" s="324"/>
      <c r="I958" s="324"/>
      <c r="J958" s="324"/>
      <c r="K958" s="324"/>
      <c r="L958" s="324"/>
      <c r="M958" s="294"/>
      <c r="N958" s="235"/>
      <c r="O958" s="324"/>
      <c r="P958" s="235"/>
      <c r="Q958" s="324"/>
      <c r="R958" s="324"/>
      <c r="S958" s="324"/>
      <c r="T958" s="324"/>
      <c r="U958" s="324"/>
      <c r="V958" s="377">
        <v>41393</v>
      </c>
      <c r="W958" s="198">
        <v>48.810001</v>
      </c>
      <c r="X958" s="349">
        <f t="shared" si="40"/>
        <v>5.7696683653343239E-3</v>
      </c>
      <c r="Y958" s="198">
        <v>1593.6099850000001</v>
      </c>
      <c r="Z958" s="349">
        <f t="shared" si="41"/>
        <v>7.1860116492188375E-3</v>
      </c>
      <c r="AA958" s="324"/>
      <c r="AB958" s="324"/>
      <c r="AC958" s="324"/>
      <c r="AD958" s="324"/>
      <c r="AE958" s="324"/>
      <c r="AF958" s="324"/>
    </row>
    <row r="959" spans="1:32">
      <c r="A959" s="324"/>
      <c r="B959" s="244"/>
      <c r="C959" s="294"/>
      <c r="D959" s="235"/>
      <c r="E959" s="294"/>
      <c r="F959" s="235"/>
      <c r="G959" s="324"/>
      <c r="H959" s="324"/>
      <c r="I959" s="324"/>
      <c r="J959" s="324"/>
      <c r="K959" s="324"/>
      <c r="L959" s="324"/>
      <c r="M959" s="294"/>
      <c r="N959" s="235"/>
      <c r="O959" s="324"/>
      <c r="P959" s="235"/>
      <c r="Q959" s="324"/>
      <c r="R959" s="324"/>
      <c r="S959" s="324"/>
      <c r="T959" s="324"/>
      <c r="U959" s="324"/>
      <c r="V959" s="377">
        <v>41390</v>
      </c>
      <c r="W959" s="198">
        <v>48.529998999999997</v>
      </c>
      <c r="X959" s="349">
        <f t="shared" si="40"/>
        <v>-1.1206254637072033E-2</v>
      </c>
      <c r="Y959" s="198">
        <v>1582.23999</v>
      </c>
      <c r="Z959" s="349">
        <f t="shared" si="41"/>
        <v>-1.8421130594817869E-3</v>
      </c>
      <c r="AA959" s="324"/>
      <c r="AB959" s="324"/>
      <c r="AC959" s="324"/>
      <c r="AD959" s="324"/>
      <c r="AE959" s="324"/>
      <c r="AF959" s="324"/>
    </row>
    <row r="960" spans="1:32">
      <c r="A960" s="324"/>
      <c r="B960" s="244"/>
      <c r="C960" s="294"/>
      <c r="D960" s="235"/>
      <c r="E960" s="294"/>
      <c r="F960" s="235"/>
      <c r="G960" s="324"/>
      <c r="H960" s="324"/>
      <c r="I960" s="324"/>
      <c r="J960" s="324"/>
      <c r="K960" s="324"/>
      <c r="L960" s="324"/>
      <c r="M960" s="294"/>
      <c r="N960" s="235"/>
      <c r="O960" s="324"/>
      <c r="P960" s="235"/>
      <c r="Q960" s="324"/>
      <c r="R960" s="324"/>
      <c r="S960" s="324"/>
      <c r="T960" s="324"/>
      <c r="U960" s="324"/>
      <c r="V960" s="377">
        <v>41389</v>
      </c>
      <c r="W960" s="198">
        <v>49.080002</v>
      </c>
      <c r="X960" s="349">
        <f t="shared" si="40"/>
        <v>8.8386430076610178E-3</v>
      </c>
      <c r="Y960" s="198">
        <v>1585.160034</v>
      </c>
      <c r="Z960" s="349">
        <f t="shared" si="41"/>
        <v>4.0347321953175808E-3</v>
      </c>
      <c r="AA960" s="324"/>
      <c r="AB960" s="324"/>
      <c r="AC960" s="324"/>
      <c r="AD960" s="324"/>
      <c r="AE960" s="324"/>
      <c r="AF960" s="324"/>
    </row>
    <row r="961" spans="1:32">
      <c r="A961" s="324"/>
      <c r="B961" s="244"/>
      <c r="C961" s="294"/>
      <c r="D961" s="235"/>
      <c r="E961" s="294"/>
      <c r="F961" s="235"/>
      <c r="G961" s="324"/>
      <c r="H961" s="324"/>
      <c r="I961" s="324"/>
      <c r="J961" s="324"/>
      <c r="K961" s="324"/>
      <c r="L961" s="324"/>
      <c r="M961" s="294"/>
      <c r="N961" s="235"/>
      <c r="O961" s="324"/>
      <c r="P961" s="235"/>
      <c r="Q961" s="324"/>
      <c r="R961" s="324"/>
      <c r="S961" s="324"/>
      <c r="T961" s="324"/>
      <c r="U961" s="324"/>
      <c r="V961" s="377">
        <v>41388</v>
      </c>
      <c r="W961" s="198">
        <v>48.650002000000001</v>
      </c>
      <c r="X961" s="349">
        <f t="shared" si="40"/>
        <v>-9.3667072008407626E-3</v>
      </c>
      <c r="Y961" s="198">
        <v>1578.790039</v>
      </c>
      <c r="Z961" s="349">
        <f t="shared" si="41"/>
        <v>6.3403386261207118E-6</v>
      </c>
      <c r="AA961" s="324"/>
      <c r="AB961" s="324"/>
      <c r="AC961" s="324"/>
      <c r="AD961" s="324"/>
      <c r="AE961" s="324"/>
      <c r="AF961" s="324"/>
    </row>
    <row r="962" spans="1:32">
      <c r="A962" s="324"/>
      <c r="B962" s="244"/>
      <c r="C962" s="294"/>
      <c r="D962" s="235"/>
      <c r="E962" s="294"/>
      <c r="F962" s="235"/>
      <c r="G962" s="324"/>
      <c r="H962" s="324"/>
      <c r="I962" s="324"/>
      <c r="J962" s="324"/>
      <c r="K962" s="324"/>
      <c r="L962" s="324"/>
      <c r="M962" s="294"/>
      <c r="N962" s="235"/>
      <c r="O962" s="324"/>
      <c r="P962" s="235"/>
      <c r="Q962" s="324"/>
      <c r="R962" s="324"/>
      <c r="S962" s="324"/>
      <c r="T962" s="324"/>
      <c r="U962" s="324"/>
      <c r="V962" s="377">
        <v>41387</v>
      </c>
      <c r="W962" s="198">
        <v>49.110000999999997</v>
      </c>
      <c r="X962" s="349">
        <f t="shared" si="40"/>
        <v>1.0285949181527476E-2</v>
      </c>
      <c r="Y962" s="198">
        <v>1578.780029</v>
      </c>
      <c r="Z962" s="349">
        <f t="shared" si="41"/>
        <v>1.0419218560000054E-2</v>
      </c>
      <c r="AA962" s="324"/>
      <c r="AB962" s="324"/>
      <c r="AC962" s="324"/>
      <c r="AD962" s="324"/>
      <c r="AE962" s="324"/>
      <c r="AF962" s="324"/>
    </row>
    <row r="963" spans="1:32">
      <c r="A963" s="324"/>
      <c r="B963" s="244"/>
      <c r="C963" s="294"/>
      <c r="D963" s="235"/>
      <c r="E963" s="294"/>
      <c r="F963" s="235"/>
      <c r="G963" s="324"/>
      <c r="H963" s="324"/>
      <c r="I963" s="324"/>
      <c r="J963" s="324"/>
      <c r="K963" s="324"/>
      <c r="L963" s="324"/>
      <c r="M963" s="294"/>
      <c r="N963" s="235"/>
      <c r="O963" s="324"/>
      <c r="P963" s="235"/>
      <c r="Q963" s="324"/>
      <c r="R963" s="324"/>
      <c r="S963" s="324"/>
      <c r="T963" s="324"/>
      <c r="U963" s="324"/>
      <c r="V963" s="377">
        <v>41386</v>
      </c>
      <c r="W963" s="198">
        <v>48.610000999999997</v>
      </c>
      <c r="X963" s="349">
        <f t="shared" si="40"/>
        <v>-1.2994903553299575E-2</v>
      </c>
      <c r="Y963" s="198">
        <v>1562.5</v>
      </c>
      <c r="Z963" s="349">
        <f t="shared" si="41"/>
        <v>4.6616299630284352E-3</v>
      </c>
      <c r="AA963" s="324"/>
      <c r="AB963" s="324"/>
      <c r="AC963" s="324"/>
      <c r="AD963" s="324"/>
      <c r="AE963" s="324"/>
      <c r="AF963" s="324"/>
    </row>
    <row r="964" spans="1:32">
      <c r="A964" s="324"/>
      <c r="B964" s="244"/>
      <c r="C964" s="294"/>
      <c r="D964" s="235"/>
      <c r="E964" s="294"/>
      <c r="F964" s="235"/>
      <c r="G964" s="324"/>
      <c r="H964" s="324"/>
      <c r="I964" s="324"/>
      <c r="J964" s="324"/>
      <c r="K964" s="324"/>
      <c r="L964" s="324"/>
      <c r="M964" s="294"/>
      <c r="N964" s="235"/>
      <c r="O964" s="324"/>
      <c r="P964" s="235"/>
      <c r="Q964" s="324"/>
      <c r="R964" s="324"/>
      <c r="S964" s="324"/>
      <c r="T964" s="324"/>
      <c r="U964" s="324"/>
      <c r="V964" s="377">
        <v>41383</v>
      </c>
      <c r="W964" s="198">
        <v>49.25</v>
      </c>
      <c r="X964" s="349">
        <f t="shared" si="40"/>
        <v>3.0550306743393207E-3</v>
      </c>
      <c r="Y964" s="198">
        <v>1555.25</v>
      </c>
      <c r="Z964" s="349">
        <f t="shared" si="41"/>
        <v>8.8479026035888086E-3</v>
      </c>
      <c r="AA964" s="324"/>
      <c r="AB964" s="324"/>
      <c r="AC964" s="324"/>
      <c r="AD964" s="324"/>
      <c r="AE964" s="324"/>
      <c r="AF964" s="324"/>
    </row>
    <row r="965" spans="1:32">
      <c r="A965" s="324"/>
      <c r="B965" s="244"/>
      <c r="C965" s="294"/>
      <c r="D965" s="235"/>
      <c r="E965" s="294"/>
      <c r="F965" s="235"/>
      <c r="G965" s="324"/>
      <c r="H965" s="324"/>
      <c r="I965" s="324"/>
      <c r="J965" s="324"/>
      <c r="K965" s="324"/>
      <c r="L965" s="324"/>
      <c r="M965" s="294"/>
      <c r="N965" s="235"/>
      <c r="O965" s="324"/>
      <c r="P965" s="235"/>
      <c r="Q965" s="324"/>
      <c r="R965" s="324"/>
      <c r="S965" s="324"/>
      <c r="T965" s="324"/>
      <c r="U965" s="324"/>
      <c r="V965" s="377">
        <v>41382</v>
      </c>
      <c r="W965" s="198">
        <v>49.099997999999999</v>
      </c>
      <c r="X965" s="349">
        <f t="shared" si="40"/>
        <v>-2.3274358464292932E-2</v>
      </c>
      <c r="Y965" s="198">
        <v>1541.6099850000001</v>
      </c>
      <c r="Z965" s="349">
        <f t="shared" si="41"/>
        <v>-6.7010038163348717E-3</v>
      </c>
      <c r="AA965" s="324"/>
      <c r="AB965" s="324"/>
      <c r="AC965" s="324"/>
      <c r="AD965" s="324"/>
      <c r="AE965" s="324"/>
      <c r="AF965" s="324"/>
    </row>
    <row r="966" spans="1:32">
      <c r="A966" s="324"/>
      <c r="B966" s="244"/>
      <c r="C966" s="294"/>
      <c r="D966" s="235"/>
      <c r="E966" s="294"/>
      <c r="F966" s="235"/>
      <c r="G966" s="324"/>
      <c r="H966" s="324"/>
      <c r="I966" s="324"/>
      <c r="J966" s="324"/>
      <c r="K966" s="324"/>
      <c r="L966" s="324"/>
      <c r="M966" s="294"/>
      <c r="N966" s="235"/>
      <c r="O966" s="324"/>
      <c r="P966" s="235"/>
      <c r="Q966" s="324"/>
      <c r="R966" s="324"/>
      <c r="S966" s="324"/>
      <c r="T966" s="324"/>
      <c r="U966" s="324"/>
      <c r="V966" s="377">
        <v>41381</v>
      </c>
      <c r="W966" s="198">
        <v>50.27</v>
      </c>
      <c r="X966" s="349">
        <f t="shared" si="40"/>
        <v>-1.9695768714815931E-2</v>
      </c>
      <c r="Y966" s="198">
        <v>1552.01001</v>
      </c>
      <c r="Z966" s="349">
        <f t="shared" si="41"/>
        <v>-1.4327681064477793E-2</v>
      </c>
      <c r="AA966" s="324"/>
      <c r="AB966" s="324"/>
      <c r="AC966" s="324"/>
      <c r="AD966" s="324"/>
      <c r="AE966" s="324"/>
      <c r="AF966" s="324"/>
    </row>
    <row r="967" spans="1:32">
      <c r="A967" s="324"/>
      <c r="B967" s="244"/>
      <c r="C967" s="294"/>
      <c r="D967" s="235"/>
      <c r="E967" s="294"/>
      <c r="F967" s="235"/>
      <c r="G967" s="324"/>
      <c r="H967" s="324"/>
      <c r="I967" s="324"/>
      <c r="J967" s="324"/>
      <c r="K967" s="324"/>
      <c r="L967" s="324"/>
      <c r="M967" s="294"/>
      <c r="N967" s="235"/>
      <c r="O967" s="324"/>
      <c r="P967" s="235"/>
      <c r="Q967" s="324"/>
      <c r="R967" s="324"/>
      <c r="S967" s="324"/>
      <c r="T967" s="324"/>
      <c r="U967" s="324"/>
      <c r="V967" s="377">
        <v>41380</v>
      </c>
      <c r="W967" s="198">
        <v>51.279998999999997</v>
      </c>
      <c r="X967" s="349">
        <f t="shared" si="40"/>
        <v>4.1006924117211518E-2</v>
      </c>
      <c r="Y967" s="198">
        <v>1574.5699460000001</v>
      </c>
      <c r="Z967" s="349">
        <f t="shared" si="41"/>
        <v>1.4307223333897001E-2</v>
      </c>
      <c r="AA967" s="324"/>
      <c r="AB967" s="324"/>
      <c r="AC967" s="324"/>
      <c r="AD967" s="324"/>
      <c r="AE967" s="324"/>
      <c r="AF967" s="324"/>
    </row>
    <row r="968" spans="1:32">
      <c r="A968" s="324"/>
      <c r="B968" s="244"/>
      <c r="C968" s="294"/>
      <c r="D968" s="235"/>
      <c r="E968" s="294"/>
      <c r="F968" s="235"/>
      <c r="G968" s="324"/>
      <c r="H968" s="324"/>
      <c r="I968" s="324"/>
      <c r="J968" s="324"/>
      <c r="K968" s="324"/>
      <c r="L968" s="324"/>
      <c r="M968" s="294"/>
      <c r="N968" s="235"/>
      <c r="O968" s="324"/>
      <c r="P968" s="235"/>
      <c r="Q968" s="324"/>
      <c r="R968" s="324"/>
      <c r="S968" s="324"/>
      <c r="T968" s="324"/>
      <c r="U968" s="324"/>
      <c r="V968" s="377">
        <v>41379</v>
      </c>
      <c r="W968" s="198">
        <v>49.259998000000003</v>
      </c>
      <c r="X968" s="349">
        <f t="shared" si="40"/>
        <v>-2.5519308121054518E-2</v>
      </c>
      <c r="Y968" s="198">
        <v>1552.3599850000001</v>
      </c>
      <c r="Z968" s="349">
        <f t="shared" si="41"/>
        <v>-2.2966291060320887E-2</v>
      </c>
      <c r="AA968" s="324"/>
      <c r="AB968" s="324"/>
      <c r="AC968" s="324"/>
      <c r="AD968" s="324"/>
      <c r="AE968" s="324"/>
      <c r="AF968" s="324"/>
    </row>
    <row r="969" spans="1:32">
      <c r="A969" s="324"/>
      <c r="B969" s="244"/>
      <c r="C969" s="294"/>
      <c r="D969" s="235"/>
      <c r="E969" s="294"/>
      <c r="F969" s="235"/>
      <c r="G969" s="324"/>
      <c r="H969" s="324"/>
      <c r="I969" s="324"/>
      <c r="J969" s="324"/>
      <c r="K969" s="324"/>
      <c r="L969" s="324"/>
      <c r="M969" s="294"/>
      <c r="N969" s="235"/>
      <c r="O969" s="324"/>
      <c r="P969" s="235"/>
      <c r="Q969" s="324"/>
      <c r="R969" s="324"/>
      <c r="S969" s="324"/>
      <c r="T969" s="324"/>
      <c r="U969" s="324"/>
      <c r="V969" s="377">
        <v>41376</v>
      </c>
      <c r="W969" s="198">
        <v>50.549999</v>
      </c>
      <c r="X969" s="349">
        <f t="shared" ref="X969:X1032" si="42">W969/W970-1</f>
        <v>1.120217998791051E-2</v>
      </c>
      <c r="Y969" s="198">
        <v>1588.849976</v>
      </c>
      <c r="Z969" s="349">
        <f t="shared" ref="Z969:Z1032" si="43">Y969/Y970-1</f>
        <v>-2.8367667360272852E-3</v>
      </c>
      <c r="AA969" s="324"/>
      <c r="AB969" s="324"/>
      <c r="AC969" s="324"/>
      <c r="AD969" s="324"/>
      <c r="AE969" s="324"/>
      <c r="AF969" s="324"/>
    </row>
    <row r="970" spans="1:32">
      <c r="A970" s="324"/>
      <c r="B970" s="244"/>
      <c r="C970" s="294"/>
      <c r="D970" s="235"/>
      <c r="E970" s="294"/>
      <c r="F970" s="235"/>
      <c r="G970" s="324"/>
      <c r="H970" s="324"/>
      <c r="I970" s="324"/>
      <c r="J970" s="324"/>
      <c r="K970" s="324"/>
      <c r="L970" s="324"/>
      <c r="M970" s="294"/>
      <c r="N970" s="235"/>
      <c r="O970" s="324"/>
      <c r="P970" s="235"/>
      <c r="Q970" s="324"/>
      <c r="R970" s="324"/>
      <c r="S970" s="324"/>
      <c r="T970" s="324"/>
      <c r="U970" s="324"/>
      <c r="V970" s="377">
        <v>41375</v>
      </c>
      <c r="W970" s="198">
        <v>49.990001999999997</v>
      </c>
      <c r="X970" s="349">
        <f t="shared" si="42"/>
        <v>9.4911550888527874E-3</v>
      </c>
      <c r="Y970" s="198">
        <v>1593.369995</v>
      </c>
      <c r="Z970" s="349">
        <f t="shared" si="43"/>
        <v>3.5522507422829364E-3</v>
      </c>
      <c r="AA970" s="324"/>
      <c r="AB970" s="324"/>
      <c r="AC970" s="324"/>
      <c r="AD970" s="324"/>
      <c r="AE970" s="324"/>
      <c r="AF970" s="324"/>
    </row>
    <row r="971" spans="1:32">
      <c r="A971" s="324"/>
      <c r="B971" s="244"/>
      <c r="C971" s="294"/>
      <c r="D971" s="235"/>
      <c r="E971" s="294"/>
      <c r="F971" s="235"/>
      <c r="G971" s="324"/>
      <c r="H971" s="324"/>
      <c r="I971" s="324"/>
      <c r="J971" s="324"/>
      <c r="K971" s="324"/>
      <c r="L971" s="324"/>
      <c r="M971" s="294"/>
      <c r="N971" s="235"/>
      <c r="O971" s="324"/>
      <c r="P971" s="235"/>
      <c r="Q971" s="324"/>
      <c r="R971" s="324"/>
      <c r="S971" s="324"/>
      <c r="T971" s="324"/>
      <c r="U971" s="324"/>
      <c r="V971" s="377">
        <v>41374</v>
      </c>
      <c r="W971" s="198">
        <v>49.52</v>
      </c>
      <c r="X971" s="349">
        <f t="shared" si="42"/>
        <v>2.5896001657344181E-2</v>
      </c>
      <c r="Y971" s="198">
        <v>1587.7299800000001</v>
      </c>
      <c r="Z971" s="349">
        <f t="shared" si="43"/>
        <v>1.2189132533158009E-2</v>
      </c>
      <c r="AA971" s="324"/>
      <c r="AB971" s="324"/>
      <c r="AC971" s="324"/>
      <c r="AD971" s="324"/>
      <c r="AE971" s="324"/>
      <c r="AF971" s="324"/>
    </row>
    <row r="972" spans="1:32">
      <c r="A972" s="324"/>
      <c r="B972" s="244"/>
      <c r="C972" s="294"/>
      <c r="D972" s="235"/>
      <c r="E972" s="294"/>
      <c r="F972" s="235"/>
      <c r="G972" s="324"/>
      <c r="H972" s="324"/>
      <c r="I972" s="324"/>
      <c r="J972" s="324"/>
      <c r="K972" s="324"/>
      <c r="L972" s="324"/>
      <c r="M972" s="294"/>
      <c r="N972" s="235"/>
      <c r="O972" s="324"/>
      <c r="P972" s="235"/>
      <c r="Q972" s="324"/>
      <c r="R972" s="324"/>
      <c r="S972" s="324"/>
      <c r="T972" s="324"/>
      <c r="U972" s="324"/>
      <c r="V972" s="377">
        <v>41373</v>
      </c>
      <c r="W972" s="198">
        <v>48.27</v>
      </c>
      <c r="X972" s="349">
        <f t="shared" si="42"/>
        <v>6.4637407519545498E-3</v>
      </c>
      <c r="Y972" s="198">
        <v>1568.6099850000001</v>
      </c>
      <c r="Z972" s="349">
        <f t="shared" si="43"/>
        <v>3.5443321101382708E-3</v>
      </c>
      <c r="AA972" s="324"/>
      <c r="AB972" s="324"/>
      <c r="AC972" s="324"/>
      <c r="AD972" s="324"/>
      <c r="AE972" s="324"/>
      <c r="AF972" s="324"/>
    </row>
    <row r="973" spans="1:32">
      <c r="A973" s="324"/>
      <c r="B973" s="244"/>
      <c r="C973" s="294"/>
      <c r="D973" s="235"/>
      <c r="E973" s="294"/>
      <c r="F973" s="235"/>
      <c r="G973" s="324"/>
      <c r="H973" s="324"/>
      <c r="I973" s="324"/>
      <c r="J973" s="324"/>
      <c r="K973" s="324"/>
      <c r="L973" s="324"/>
      <c r="M973" s="294"/>
      <c r="N973" s="235"/>
      <c r="O973" s="324"/>
      <c r="P973" s="235"/>
      <c r="Q973" s="324"/>
      <c r="R973" s="324"/>
      <c r="S973" s="324"/>
      <c r="T973" s="324"/>
      <c r="U973" s="324"/>
      <c r="V973" s="377">
        <v>41372</v>
      </c>
      <c r="W973" s="198">
        <v>47.959999000000003</v>
      </c>
      <c r="X973" s="349">
        <f t="shared" si="42"/>
        <v>1.0322266477306385E-2</v>
      </c>
      <c r="Y973" s="198">
        <v>1563.0699460000001</v>
      </c>
      <c r="Z973" s="349">
        <f t="shared" si="43"/>
        <v>6.30273795917069E-3</v>
      </c>
      <c r="AA973" s="324"/>
      <c r="AB973" s="324"/>
      <c r="AC973" s="324"/>
      <c r="AD973" s="324"/>
      <c r="AE973" s="324"/>
      <c r="AF973" s="324"/>
    </row>
    <row r="974" spans="1:32">
      <c r="A974" s="324"/>
      <c r="B974" s="244"/>
      <c r="C974" s="294"/>
      <c r="D974" s="235"/>
      <c r="E974" s="294"/>
      <c r="F974" s="235"/>
      <c r="G974" s="324"/>
      <c r="H974" s="324"/>
      <c r="I974" s="324"/>
      <c r="J974" s="324"/>
      <c r="K974" s="324"/>
      <c r="L974" s="324"/>
      <c r="M974" s="294"/>
      <c r="N974" s="235"/>
      <c r="O974" s="324"/>
      <c r="P974" s="235"/>
      <c r="Q974" s="324"/>
      <c r="R974" s="324"/>
      <c r="S974" s="324"/>
      <c r="T974" s="324"/>
      <c r="U974" s="324"/>
      <c r="V974" s="377">
        <v>41369</v>
      </c>
      <c r="W974" s="198">
        <v>47.470001000000003</v>
      </c>
      <c r="X974" s="349">
        <f t="shared" si="42"/>
        <v>-1.2070718253292756E-2</v>
      </c>
      <c r="Y974" s="198">
        <v>1553.280029</v>
      </c>
      <c r="Z974" s="349">
        <f t="shared" si="43"/>
        <v>-4.2948955024409985E-3</v>
      </c>
      <c r="AA974" s="324"/>
      <c r="AB974" s="324"/>
      <c r="AC974" s="324"/>
      <c r="AD974" s="324"/>
      <c r="AE974" s="324"/>
      <c r="AF974" s="324"/>
    </row>
    <row r="975" spans="1:32">
      <c r="A975" s="324"/>
      <c r="B975" s="244"/>
      <c r="C975" s="294"/>
      <c r="D975" s="235"/>
      <c r="E975" s="294"/>
      <c r="F975" s="235"/>
      <c r="G975" s="324"/>
      <c r="H975" s="324"/>
      <c r="I975" s="324"/>
      <c r="J975" s="324"/>
      <c r="K975" s="324"/>
      <c r="L975" s="324"/>
      <c r="M975" s="294"/>
      <c r="N975" s="235"/>
      <c r="O975" s="324"/>
      <c r="P975" s="235"/>
      <c r="Q975" s="324"/>
      <c r="R975" s="324"/>
      <c r="S975" s="324"/>
      <c r="T975" s="324"/>
      <c r="U975" s="324"/>
      <c r="V975" s="377">
        <v>41368</v>
      </c>
      <c r="W975" s="198">
        <v>48.049999</v>
      </c>
      <c r="X975" s="349">
        <f t="shared" si="42"/>
        <v>7.3374841229039145E-3</v>
      </c>
      <c r="Y975" s="198">
        <v>1559.9799800000001</v>
      </c>
      <c r="Z975" s="349">
        <f t="shared" si="43"/>
        <v>4.0484519040855371E-3</v>
      </c>
      <c r="AA975" s="324"/>
      <c r="AB975" s="324"/>
      <c r="AC975" s="324"/>
      <c r="AD975" s="324"/>
      <c r="AE975" s="324"/>
      <c r="AF975" s="324"/>
    </row>
    <row r="976" spans="1:32">
      <c r="A976" s="324"/>
      <c r="B976" s="244"/>
      <c r="C976" s="294"/>
      <c r="D976" s="235"/>
      <c r="E976" s="294"/>
      <c r="F976" s="235"/>
      <c r="G976" s="324"/>
      <c r="H976" s="324"/>
      <c r="I976" s="324"/>
      <c r="J976" s="324"/>
      <c r="K976" s="324"/>
      <c r="L976" s="324"/>
      <c r="M976" s="294"/>
      <c r="N976" s="235"/>
      <c r="O976" s="324"/>
      <c r="P976" s="235"/>
      <c r="Q976" s="324"/>
      <c r="R976" s="324"/>
      <c r="S976" s="324"/>
      <c r="T976" s="324"/>
      <c r="U976" s="324"/>
      <c r="V976" s="377">
        <v>41367</v>
      </c>
      <c r="W976" s="198">
        <v>47.700001</v>
      </c>
      <c r="X976" s="349">
        <f t="shared" si="42"/>
        <v>-2.3341502866502939E-2</v>
      </c>
      <c r="Y976" s="198">
        <v>1553.6899410000001</v>
      </c>
      <c r="Z976" s="349">
        <f t="shared" si="43"/>
        <v>-1.054612896035656E-2</v>
      </c>
      <c r="AA976" s="324"/>
      <c r="AB976" s="324"/>
      <c r="AC976" s="324"/>
      <c r="AD976" s="324"/>
      <c r="AE976" s="324"/>
      <c r="AF976" s="324"/>
    </row>
    <row r="977" spans="1:32">
      <c r="A977" s="324"/>
      <c r="B977" s="244"/>
      <c r="C977" s="294"/>
      <c r="D977" s="235"/>
      <c r="E977" s="294"/>
      <c r="F977" s="235"/>
      <c r="G977" s="324"/>
      <c r="H977" s="324"/>
      <c r="I977" s="324"/>
      <c r="J977" s="324"/>
      <c r="K977" s="324"/>
      <c r="L977" s="324"/>
      <c r="M977" s="294"/>
      <c r="N977" s="235"/>
      <c r="O977" s="324"/>
      <c r="P977" s="235"/>
      <c r="Q977" s="324"/>
      <c r="R977" s="324"/>
      <c r="S977" s="324"/>
      <c r="T977" s="324"/>
      <c r="U977" s="324"/>
      <c r="V977" s="377">
        <v>41366</v>
      </c>
      <c r="W977" s="198">
        <v>48.84</v>
      </c>
      <c r="X977" s="349">
        <f t="shared" si="42"/>
        <v>1.0761589403973648E-2</v>
      </c>
      <c r="Y977" s="198">
        <v>1570.25</v>
      </c>
      <c r="Z977" s="349">
        <f t="shared" si="43"/>
        <v>5.1722640765219374E-3</v>
      </c>
      <c r="AA977" s="324"/>
      <c r="AB977" s="324"/>
      <c r="AC977" s="324"/>
      <c r="AD977" s="324"/>
      <c r="AE977" s="324"/>
      <c r="AF977" s="324"/>
    </row>
    <row r="978" spans="1:32">
      <c r="A978" s="324"/>
      <c r="B978" s="244"/>
      <c r="C978" s="294"/>
      <c r="D978" s="235"/>
      <c r="E978" s="294"/>
      <c r="F978" s="235"/>
      <c r="G978" s="324"/>
      <c r="H978" s="324"/>
      <c r="I978" s="324"/>
      <c r="J978" s="324"/>
      <c r="K978" s="324"/>
      <c r="L978" s="324"/>
      <c r="M978" s="294"/>
      <c r="N978" s="235"/>
      <c r="O978" s="324"/>
      <c r="P978" s="235"/>
      <c r="Q978" s="324"/>
      <c r="R978" s="324"/>
      <c r="S978" s="324"/>
      <c r="T978" s="324"/>
      <c r="U978" s="324"/>
      <c r="V978" s="377">
        <v>41365</v>
      </c>
      <c r="W978" s="198">
        <v>48.32</v>
      </c>
      <c r="X978" s="349">
        <f t="shared" si="42"/>
        <v>-4.4303816370573235E-2</v>
      </c>
      <c r="Y978" s="198">
        <v>1562.170044</v>
      </c>
      <c r="Z978" s="349">
        <f t="shared" si="43"/>
        <v>-4.4735801680748644E-3</v>
      </c>
      <c r="AA978" s="324"/>
      <c r="AB978" s="324"/>
      <c r="AC978" s="324"/>
      <c r="AD978" s="324"/>
      <c r="AE978" s="324"/>
      <c r="AF978" s="324"/>
    </row>
    <row r="979" spans="1:32">
      <c r="A979" s="324"/>
      <c r="B979" s="244"/>
      <c r="C979" s="294"/>
      <c r="D979" s="235"/>
      <c r="E979" s="294"/>
      <c r="F979" s="235"/>
      <c r="G979" s="324"/>
      <c r="H979" s="324"/>
      <c r="I979" s="324"/>
      <c r="J979" s="324"/>
      <c r="K979" s="324"/>
      <c r="L979" s="324"/>
      <c r="M979" s="294"/>
      <c r="N979" s="235"/>
      <c r="O979" s="324"/>
      <c r="P979" s="235"/>
      <c r="Q979" s="324"/>
      <c r="R979" s="324"/>
      <c r="S979" s="324"/>
      <c r="T979" s="324"/>
      <c r="U979" s="324"/>
      <c r="V979" s="377">
        <v>41361</v>
      </c>
      <c r="W979" s="198">
        <v>50.560001</v>
      </c>
      <c r="X979" s="349">
        <f t="shared" si="42"/>
        <v>1.1807084014266778E-2</v>
      </c>
      <c r="Y979" s="198">
        <v>1569.1899410000001</v>
      </c>
      <c r="Z979" s="349">
        <f t="shared" si="43"/>
        <v>4.0566689684615742E-3</v>
      </c>
      <c r="AA979" s="324"/>
      <c r="AB979" s="324"/>
      <c r="AC979" s="324"/>
      <c r="AD979" s="324"/>
      <c r="AE979" s="324"/>
      <c r="AF979" s="324"/>
    </row>
    <row r="980" spans="1:32">
      <c r="A980" s="324"/>
      <c r="B980" s="244"/>
      <c r="C980" s="294"/>
      <c r="D980" s="235"/>
      <c r="E980" s="294"/>
      <c r="F980" s="235"/>
      <c r="G980" s="324"/>
      <c r="H980" s="324"/>
      <c r="I980" s="324"/>
      <c r="J980" s="324"/>
      <c r="K980" s="324"/>
      <c r="L980" s="324"/>
      <c r="M980" s="294"/>
      <c r="N980" s="235"/>
      <c r="O980" s="324"/>
      <c r="P980" s="235"/>
      <c r="Q980" s="324"/>
      <c r="R980" s="324"/>
      <c r="S980" s="324"/>
      <c r="T980" s="324"/>
      <c r="U980" s="324"/>
      <c r="V980" s="377">
        <v>41360</v>
      </c>
      <c r="W980" s="198">
        <v>49.970001000000003</v>
      </c>
      <c r="X980" s="349">
        <f t="shared" si="42"/>
        <v>1.4619309644670064E-2</v>
      </c>
      <c r="Y980" s="198">
        <v>1562.849976</v>
      </c>
      <c r="Z980" s="349">
        <f t="shared" si="43"/>
        <v>-5.8834994163647902E-4</v>
      </c>
      <c r="AA980" s="324"/>
      <c r="AB980" s="324"/>
      <c r="AC980" s="324"/>
      <c r="AD980" s="324"/>
      <c r="AE980" s="324"/>
      <c r="AF980" s="324"/>
    </row>
    <row r="981" spans="1:32">
      <c r="A981" s="324"/>
      <c r="B981" s="244"/>
      <c r="C981" s="294"/>
      <c r="D981" s="235"/>
      <c r="E981" s="294"/>
      <c r="F981" s="235"/>
      <c r="G981" s="324"/>
      <c r="H981" s="324"/>
      <c r="I981" s="324"/>
      <c r="J981" s="324"/>
      <c r="K981" s="324"/>
      <c r="L981" s="324"/>
      <c r="M981" s="294"/>
      <c r="N981" s="235"/>
      <c r="O981" s="324"/>
      <c r="P981" s="235"/>
      <c r="Q981" s="324"/>
      <c r="R981" s="324"/>
      <c r="S981" s="324"/>
      <c r="T981" s="324"/>
      <c r="U981" s="324"/>
      <c r="V981" s="377">
        <v>41359</v>
      </c>
      <c r="W981" s="198">
        <v>49.25</v>
      </c>
      <c r="X981" s="349">
        <f t="shared" si="42"/>
        <v>5.3071645108322407E-3</v>
      </c>
      <c r="Y981" s="198">
        <v>1563.7700199999999</v>
      </c>
      <c r="Z981" s="349">
        <f t="shared" si="43"/>
        <v>7.7851113684572759E-3</v>
      </c>
      <c r="AA981" s="324"/>
      <c r="AB981" s="324"/>
      <c r="AC981" s="324"/>
      <c r="AD981" s="324"/>
      <c r="AE981" s="324"/>
      <c r="AF981" s="324"/>
    </row>
    <row r="982" spans="1:32">
      <c r="A982" s="324"/>
      <c r="B982" s="244"/>
      <c r="C982" s="294"/>
      <c r="D982" s="235"/>
      <c r="E982" s="294"/>
      <c r="F982" s="235"/>
      <c r="G982" s="324"/>
      <c r="H982" s="324"/>
      <c r="I982" s="324"/>
      <c r="J982" s="324"/>
      <c r="K982" s="324"/>
      <c r="L982" s="324"/>
      <c r="M982" s="294"/>
      <c r="N982" s="235"/>
      <c r="O982" s="324"/>
      <c r="P982" s="235"/>
      <c r="Q982" s="324"/>
      <c r="R982" s="324"/>
      <c r="S982" s="324"/>
      <c r="T982" s="324"/>
      <c r="U982" s="324"/>
      <c r="V982" s="377">
        <v>41358</v>
      </c>
      <c r="W982" s="198">
        <v>48.990001999999997</v>
      </c>
      <c r="X982" s="349">
        <f t="shared" si="42"/>
        <v>-3.5629862906099707E-2</v>
      </c>
      <c r="Y982" s="198">
        <v>1551.6899410000001</v>
      </c>
      <c r="Z982" s="349">
        <f t="shared" si="43"/>
        <v>-3.3400394054167171E-3</v>
      </c>
      <c r="AA982" s="324"/>
      <c r="AB982" s="324"/>
      <c r="AC982" s="324"/>
      <c r="AD982" s="324"/>
      <c r="AE982" s="324"/>
      <c r="AF982" s="324"/>
    </row>
    <row r="983" spans="1:32">
      <c r="A983" s="324"/>
      <c r="B983" s="244"/>
      <c r="C983" s="294"/>
      <c r="D983" s="235"/>
      <c r="E983" s="294"/>
      <c r="F983" s="235"/>
      <c r="G983" s="324"/>
      <c r="H983" s="324"/>
      <c r="I983" s="324"/>
      <c r="J983" s="324"/>
      <c r="K983" s="324"/>
      <c r="L983" s="324"/>
      <c r="M983" s="294"/>
      <c r="N983" s="235"/>
      <c r="O983" s="324"/>
      <c r="P983" s="235"/>
      <c r="Q983" s="324"/>
      <c r="R983" s="324"/>
      <c r="S983" s="324"/>
      <c r="T983" s="324"/>
      <c r="U983" s="324"/>
      <c r="V983" s="377">
        <v>41355</v>
      </c>
      <c r="W983" s="198">
        <v>50.799999</v>
      </c>
      <c r="X983" s="349">
        <f t="shared" si="42"/>
        <v>-2.7483314241918411E-3</v>
      </c>
      <c r="Y983" s="198">
        <v>1556.8900149999999</v>
      </c>
      <c r="Z983" s="349">
        <f t="shared" si="43"/>
        <v>7.1742564681469556E-3</v>
      </c>
      <c r="AA983" s="324"/>
      <c r="AB983" s="324"/>
      <c r="AC983" s="324"/>
      <c r="AD983" s="324"/>
      <c r="AE983" s="324"/>
      <c r="AF983" s="324"/>
    </row>
    <row r="984" spans="1:32">
      <c r="A984" s="324"/>
      <c r="B984" s="244"/>
      <c r="C984" s="294"/>
      <c r="D984" s="235"/>
      <c r="E984" s="294"/>
      <c r="F984" s="235"/>
      <c r="G984" s="324"/>
      <c r="H984" s="324"/>
      <c r="I984" s="324"/>
      <c r="J984" s="324"/>
      <c r="K984" s="324"/>
      <c r="L984" s="324"/>
      <c r="M984" s="294"/>
      <c r="N984" s="235"/>
      <c r="O984" s="324"/>
      <c r="P984" s="235"/>
      <c r="Q984" s="324"/>
      <c r="R984" s="324"/>
      <c r="S984" s="324"/>
      <c r="T984" s="324"/>
      <c r="U984" s="324"/>
      <c r="V984" s="377">
        <v>41354</v>
      </c>
      <c r="W984" s="198">
        <v>50.939999</v>
      </c>
      <c r="X984" s="349">
        <f t="shared" si="42"/>
        <v>-4.6893513091050831E-3</v>
      </c>
      <c r="Y984" s="198">
        <v>1545.8000489999999</v>
      </c>
      <c r="Z984" s="349">
        <f t="shared" si="43"/>
        <v>-8.2824337580531537E-3</v>
      </c>
      <c r="AA984" s="324"/>
      <c r="AB984" s="324"/>
      <c r="AC984" s="324"/>
      <c r="AD984" s="324"/>
      <c r="AE984" s="324"/>
      <c r="AF984" s="324"/>
    </row>
    <row r="985" spans="1:32">
      <c r="A985" s="324"/>
      <c r="B985" s="244"/>
      <c r="C985" s="294"/>
      <c r="D985" s="235"/>
      <c r="E985" s="294"/>
      <c r="F985" s="235"/>
      <c r="G985" s="324"/>
      <c r="H985" s="324"/>
      <c r="I985" s="324"/>
      <c r="J985" s="324"/>
      <c r="K985" s="324"/>
      <c r="L985" s="324"/>
      <c r="M985" s="294"/>
      <c r="N985" s="235"/>
      <c r="O985" s="324"/>
      <c r="P985" s="235"/>
      <c r="Q985" s="324"/>
      <c r="R985" s="324"/>
      <c r="S985" s="324"/>
      <c r="T985" s="324"/>
      <c r="U985" s="324"/>
      <c r="V985" s="377">
        <v>41353</v>
      </c>
      <c r="W985" s="198">
        <v>51.18</v>
      </c>
      <c r="X985" s="349">
        <f t="shared" si="42"/>
        <v>2.7917231815279608E-2</v>
      </c>
      <c r="Y985" s="198">
        <v>1558.709961</v>
      </c>
      <c r="Z985" s="349">
        <f t="shared" si="43"/>
        <v>6.6974922999565312E-3</v>
      </c>
      <c r="AA985" s="324"/>
      <c r="AB985" s="324"/>
      <c r="AC985" s="324"/>
      <c r="AD985" s="324"/>
      <c r="AE985" s="324"/>
      <c r="AF985" s="324"/>
    </row>
    <row r="986" spans="1:32">
      <c r="A986" s="324"/>
      <c r="B986" s="244"/>
      <c r="C986" s="294"/>
      <c r="D986" s="235"/>
      <c r="E986" s="294"/>
      <c r="F986" s="235"/>
      <c r="G986" s="324"/>
      <c r="H986" s="324"/>
      <c r="I986" s="324"/>
      <c r="J986" s="324"/>
      <c r="K986" s="324"/>
      <c r="L986" s="324"/>
      <c r="M986" s="294"/>
      <c r="N986" s="235"/>
      <c r="O986" s="324"/>
      <c r="P986" s="235"/>
      <c r="Q986" s="324"/>
      <c r="R986" s="324"/>
      <c r="S986" s="324"/>
      <c r="T986" s="324"/>
      <c r="U986" s="324"/>
      <c r="V986" s="377">
        <v>41352</v>
      </c>
      <c r="W986" s="198">
        <v>49.790000999999997</v>
      </c>
      <c r="X986" s="349">
        <f t="shared" si="42"/>
        <v>-6.7823657134976623E-3</v>
      </c>
      <c r="Y986" s="198">
        <v>1548.339966</v>
      </c>
      <c r="Z986" s="349">
        <f t="shared" si="43"/>
        <v>-2.4225308022296499E-3</v>
      </c>
      <c r="AA986" s="324"/>
      <c r="AB986" s="324"/>
      <c r="AC986" s="324"/>
      <c r="AD986" s="324"/>
      <c r="AE986" s="324"/>
      <c r="AF986" s="324"/>
    </row>
    <row r="987" spans="1:32">
      <c r="A987" s="324"/>
      <c r="B987" s="244"/>
      <c r="C987" s="294"/>
      <c r="D987" s="235"/>
      <c r="E987" s="294"/>
      <c r="F987" s="235"/>
      <c r="G987" s="324"/>
      <c r="H987" s="324"/>
      <c r="I987" s="324"/>
      <c r="J987" s="324"/>
      <c r="K987" s="324"/>
      <c r="L987" s="324"/>
      <c r="M987" s="294"/>
      <c r="N987" s="235"/>
      <c r="O987" s="324"/>
      <c r="P987" s="235"/>
      <c r="Q987" s="324"/>
      <c r="R987" s="324"/>
      <c r="S987" s="324"/>
      <c r="T987" s="324"/>
      <c r="U987" s="324"/>
      <c r="V987" s="377">
        <v>41351</v>
      </c>
      <c r="W987" s="198">
        <v>50.130001</v>
      </c>
      <c r="X987" s="349">
        <f t="shared" si="42"/>
        <v>-6.1458764105051245E-3</v>
      </c>
      <c r="Y987" s="198">
        <v>1552.099976</v>
      </c>
      <c r="Z987" s="349">
        <f t="shared" si="43"/>
        <v>-5.5103320753548957E-3</v>
      </c>
      <c r="AA987" s="324"/>
      <c r="AB987" s="324"/>
      <c r="AC987" s="324"/>
      <c r="AD987" s="324"/>
      <c r="AE987" s="324"/>
      <c r="AF987" s="324"/>
    </row>
    <row r="988" spans="1:32">
      <c r="A988" s="324"/>
      <c r="B988" s="244"/>
      <c r="C988" s="294"/>
      <c r="D988" s="235"/>
      <c r="E988" s="294"/>
      <c r="F988" s="235"/>
      <c r="G988" s="324"/>
      <c r="H988" s="324"/>
      <c r="I988" s="324"/>
      <c r="J988" s="324"/>
      <c r="K988" s="324"/>
      <c r="L988" s="324"/>
      <c r="M988" s="294"/>
      <c r="N988" s="235"/>
      <c r="O988" s="324"/>
      <c r="P988" s="235"/>
      <c r="Q988" s="324"/>
      <c r="R988" s="324"/>
      <c r="S988" s="324"/>
      <c r="T988" s="324"/>
      <c r="U988" s="324"/>
      <c r="V988" s="377">
        <v>41348</v>
      </c>
      <c r="W988" s="198">
        <v>50.439999</v>
      </c>
      <c r="X988" s="349">
        <f t="shared" si="42"/>
        <v>-4.3426964074219088E-3</v>
      </c>
      <c r="Y988" s="198">
        <v>1560.6999510000001</v>
      </c>
      <c r="Z988" s="349">
        <f t="shared" si="43"/>
        <v>-1.6184624350666921E-3</v>
      </c>
      <c r="AA988" s="324"/>
      <c r="AB988" s="324"/>
      <c r="AC988" s="324"/>
      <c r="AD988" s="324"/>
      <c r="AE988" s="324"/>
      <c r="AF988" s="324"/>
    </row>
    <row r="989" spans="1:32">
      <c r="A989" s="324"/>
      <c r="B989" s="244"/>
      <c r="C989" s="294"/>
      <c r="D989" s="235"/>
      <c r="E989" s="294"/>
      <c r="F989" s="235"/>
      <c r="G989" s="324"/>
      <c r="H989" s="324"/>
      <c r="I989" s="324"/>
      <c r="J989" s="324"/>
      <c r="K989" s="324"/>
      <c r="L989" s="324"/>
      <c r="M989" s="294"/>
      <c r="N989" s="235"/>
      <c r="O989" s="324"/>
      <c r="P989" s="235"/>
      <c r="Q989" s="324"/>
      <c r="R989" s="324"/>
      <c r="S989" s="324"/>
      <c r="T989" s="324"/>
      <c r="U989" s="324"/>
      <c r="V989" s="377">
        <v>41347</v>
      </c>
      <c r="W989" s="198">
        <v>50.66</v>
      </c>
      <c r="X989" s="349">
        <f t="shared" si="42"/>
        <v>-2.7558858810214915E-3</v>
      </c>
      <c r="Y989" s="198">
        <v>1563.2299800000001</v>
      </c>
      <c r="Z989" s="349">
        <f t="shared" si="43"/>
        <v>5.602989918393142E-3</v>
      </c>
      <c r="AA989" s="324"/>
      <c r="AB989" s="324"/>
      <c r="AC989" s="324"/>
      <c r="AD989" s="324"/>
      <c r="AE989" s="324"/>
      <c r="AF989" s="324"/>
    </row>
    <row r="990" spans="1:32">
      <c r="A990" s="324"/>
      <c r="B990" s="244"/>
      <c r="C990" s="294"/>
      <c r="D990" s="235"/>
      <c r="E990" s="294"/>
      <c r="F990" s="235"/>
      <c r="G990" s="324"/>
      <c r="H990" s="324"/>
      <c r="I990" s="324"/>
      <c r="J990" s="324"/>
      <c r="K990" s="324"/>
      <c r="L990" s="324"/>
      <c r="M990" s="294"/>
      <c r="N990" s="235"/>
      <c r="O990" s="324"/>
      <c r="P990" s="235"/>
      <c r="Q990" s="324"/>
      <c r="R990" s="324"/>
      <c r="S990" s="324"/>
      <c r="T990" s="324"/>
      <c r="U990" s="324"/>
      <c r="V990" s="377">
        <v>41346</v>
      </c>
      <c r="W990" s="198">
        <v>50.799999</v>
      </c>
      <c r="X990" s="349">
        <f t="shared" si="42"/>
        <v>3.9525890890350635E-3</v>
      </c>
      <c r="Y990" s="198">
        <v>1554.5200199999999</v>
      </c>
      <c r="Z990" s="349">
        <f t="shared" si="43"/>
        <v>1.3140523718702113E-3</v>
      </c>
      <c r="AA990" s="324"/>
      <c r="AB990" s="324"/>
      <c r="AC990" s="324"/>
      <c r="AD990" s="324"/>
      <c r="AE990" s="324"/>
      <c r="AF990" s="324"/>
    </row>
    <row r="991" spans="1:32">
      <c r="A991" s="324"/>
      <c r="B991" s="244"/>
      <c r="C991" s="294"/>
      <c r="D991" s="235"/>
      <c r="E991" s="294"/>
      <c r="F991" s="235"/>
      <c r="G991" s="324"/>
      <c r="H991" s="324"/>
      <c r="I991" s="324"/>
      <c r="J991" s="324"/>
      <c r="K991" s="324"/>
      <c r="L991" s="324"/>
      <c r="M991" s="294"/>
      <c r="N991" s="235"/>
      <c r="O991" s="324"/>
      <c r="P991" s="235"/>
      <c r="Q991" s="324"/>
      <c r="R991" s="324"/>
      <c r="S991" s="324"/>
      <c r="T991" s="324"/>
      <c r="U991" s="324"/>
      <c r="V991" s="377">
        <v>41345</v>
      </c>
      <c r="W991" s="198">
        <v>50.599997999999999</v>
      </c>
      <c r="X991" s="349">
        <f t="shared" si="42"/>
        <v>-4.7798288441819548E-2</v>
      </c>
      <c r="Y991" s="198">
        <v>1552.4799800000001</v>
      </c>
      <c r="Z991" s="349">
        <f t="shared" si="43"/>
        <v>-2.403253440833697E-3</v>
      </c>
      <c r="AA991" s="324"/>
      <c r="AB991" s="324"/>
      <c r="AC991" s="324"/>
      <c r="AD991" s="324"/>
      <c r="AE991" s="324"/>
      <c r="AF991" s="324"/>
    </row>
    <row r="992" spans="1:32">
      <c r="A992" s="324"/>
      <c r="B992" s="244"/>
      <c r="C992" s="294"/>
      <c r="D992" s="235"/>
      <c r="E992" s="294"/>
      <c r="F992" s="235"/>
      <c r="G992" s="324"/>
      <c r="H992" s="324"/>
      <c r="I992" s="324"/>
      <c r="J992" s="324"/>
      <c r="K992" s="324"/>
      <c r="L992" s="324"/>
      <c r="M992" s="294"/>
      <c r="N992" s="235"/>
      <c r="O992" s="324"/>
      <c r="P992" s="235"/>
      <c r="Q992" s="324"/>
      <c r="R992" s="324"/>
      <c r="S992" s="324"/>
      <c r="T992" s="324"/>
      <c r="U992" s="324"/>
      <c r="V992" s="377">
        <v>41344</v>
      </c>
      <c r="W992" s="198">
        <v>53.139999000000003</v>
      </c>
      <c r="X992" s="349">
        <f t="shared" si="42"/>
        <v>2.6414905660376853E-3</v>
      </c>
      <c r="Y992" s="198">
        <v>1556.219971</v>
      </c>
      <c r="Z992" s="349">
        <f t="shared" si="43"/>
        <v>3.2490857441105359E-3</v>
      </c>
      <c r="AA992" s="324"/>
      <c r="AB992" s="324"/>
      <c r="AC992" s="324"/>
      <c r="AD992" s="324"/>
      <c r="AE992" s="324"/>
      <c r="AF992" s="324"/>
    </row>
    <row r="993" spans="1:32">
      <c r="A993" s="324"/>
      <c r="B993" s="244"/>
      <c r="C993" s="294"/>
      <c r="D993" s="235"/>
      <c r="E993" s="294"/>
      <c r="F993" s="235"/>
      <c r="G993" s="324"/>
      <c r="H993" s="324"/>
      <c r="I993" s="324"/>
      <c r="J993" s="324"/>
      <c r="K993" s="324"/>
      <c r="L993" s="324"/>
      <c r="M993" s="294"/>
      <c r="N993" s="235"/>
      <c r="O993" s="324"/>
      <c r="P993" s="235"/>
      <c r="Q993" s="324"/>
      <c r="R993" s="324"/>
      <c r="S993" s="324"/>
      <c r="T993" s="324"/>
      <c r="U993" s="324"/>
      <c r="V993" s="377">
        <v>41341</v>
      </c>
      <c r="W993" s="198">
        <v>53</v>
      </c>
      <c r="X993" s="349">
        <f t="shared" si="42"/>
        <v>-8.789994224986164E-3</v>
      </c>
      <c r="Y993" s="198">
        <v>1551.1800539999999</v>
      </c>
      <c r="Z993" s="349">
        <f t="shared" si="43"/>
        <v>4.4811391573884585E-3</v>
      </c>
      <c r="AA993" s="324"/>
      <c r="AB993" s="324"/>
      <c r="AC993" s="324"/>
      <c r="AD993" s="324"/>
      <c r="AE993" s="324"/>
      <c r="AF993" s="324"/>
    </row>
    <row r="994" spans="1:32">
      <c r="A994" s="324"/>
      <c r="B994" s="244"/>
      <c r="C994" s="294"/>
      <c r="D994" s="235"/>
      <c r="E994" s="294"/>
      <c r="F994" s="235"/>
      <c r="G994" s="324"/>
      <c r="H994" s="324"/>
      <c r="I994" s="324"/>
      <c r="J994" s="324"/>
      <c r="K994" s="324"/>
      <c r="L994" s="324"/>
      <c r="M994" s="294"/>
      <c r="N994" s="235"/>
      <c r="O994" s="324"/>
      <c r="P994" s="235"/>
      <c r="Q994" s="324"/>
      <c r="R994" s="324"/>
      <c r="S994" s="324"/>
      <c r="T994" s="324"/>
      <c r="U994" s="324"/>
      <c r="V994" s="377">
        <v>41340</v>
      </c>
      <c r="W994" s="198">
        <v>53.470001000000003</v>
      </c>
      <c r="X994" s="349">
        <f t="shared" si="42"/>
        <v>1.2689432058512029E-2</v>
      </c>
      <c r="Y994" s="198">
        <v>1544.26001</v>
      </c>
      <c r="Z994" s="349">
        <f t="shared" si="43"/>
        <v>1.8164915540093141E-3</v>
      </c>
      <c r="AA994" s="324"/>
      <c r="AB994" s="324"/>
      <c r="AC994" s="324"/>
      <c r="AD994" s="324"/>
      <c r="AE994" s="324"/>
      <c r="AF994" s="324"/>
    </row>
    <row r="995" spans="1:32">
      <c r="A995" s="324"/>
      <c r="B995" s="244"/>
      <c r="C995" s="294"/>
      <c r="D995" s="235"/>
      <c r="E995" s="294"/>
      <c r="F995" s="235"/>
      <c r="G995" s="324"/>
      <c r="H995" s="324"/>
      <c r="I995" s="324"/>
      <c r="J995" s="324"/>
      <c r="K995" s="324"/>
      <c r="L995" s="324"/>
      <c r="M995" s="294"/>
      <c r="N995" s="235"/>
      <c r="O995" s="324"/>
      <c r="P995" s="235"/>
      <c r="Q995" s="324"/>
      <c r="R995" s="324"/>
      <c r="S995" s="324"/>
      <c r="T995" s="324"/>
      <c r="U995" s="324"/>
      <c r="V995" s="377">
        <v>41339</v>
      </c>
      <c r="W995" s="198">
        <v>52.799999</v>
      </c>
      <c r="X995" s="349">
        <f t="shared" si="42"/>
        <v>1.5579860912488641E-2</v>
      </c>
      <c r="Y995" s="198">
        <v>1541.459961</v>
      </c>
      <c r="Z995" s="349">
        <f t="shared" si="43"/>
        <v>1.0845127957084255E-3</v>
      </c>
      <c r="AA995" s="324"/>
      <c r="AB995" s="324"/>
      <c r="AC995" s="324"/>
      <c r="AD995" s="324"/>
      <c r="AE995" s="324"/>
      <c r="AF995" s="324"/>
    </row>
    <row r="996" spans="1:32">
      <c r="A996" s="324"/>
      <c r="B996" s="244"/>
      <c r="C996" s="294"/>
      <c r="D996" s="235"/>
      <c r="E996" s="294"/>
      <c r="F996" s="235"/>
      <c r="G996" s="324"/>
      <c r="H996" s="324"/>
      <c r="I996" s="324"/>
      <c r="J996" s="324"/>
      <c r="K996" s="324"/>
      <c r="L996" s="324"/>
      <c r="M996" s="294"/>
      <c r="N996" s="235"/>
      <c r="O996" s="324"/>
      <c r="P996" s="235"/>
      <c r="Q996" s="324"/>
      <c r="R996" s="324"/>
      <c r="S996" s="324"/>
      <c r="T996" s="324"/>
      <c r="U996" s="324"/>
      <c r="V996" s="377">
        <v>41338</v>
      </c>
      <c r="W996" s="198">
        <v>51.990001999999997</v>
      </c>
      <c r="X996" s="349">
        <f t="shared" si="42"/>
        <v>-1.7281105327147106E-3</v>
      </c>
      <c r="Y996" s="198">
        <v>1539.790039</v>
      </c>
      <c r="Z996" s="349">
        <f t="shared" si="43"/>
        <v>9.5660165674893438E-3</v>
      </c>
      <c r="AA996" s="324"/>
      <c r="AB996" s="324"/>
      <c r="AC996" s="324"/>
      <c r="AD996" s="324"/>
      <c r="AE996" s="324"/>
      <c r="AF996" s="324"/>
    </row>
    <row r="997" spans="1:32">
      <c r="A997" s="324"/>
      <c r="B997" s="244"/>
      <c r="C997" s="294"/>
      <c r="D997" s="235"/>
      <c r="E997" s="294"/>
      <c r="F997" s="235"/>
      <c r="G997" s="324"/>
      <c r="H997" s="324"/>
      <c r="I997" s="324"/>
      <c r="J997" s="324"/>
      <c r="K997" s="324"/>
      <c r="L997" s="324"/>
      <c r="M997" s="294"/>
      <c r="N997" s="235"/>
      <c r="O997" s="324"/>
      <c r="P997" s="235"/>
      <c r="Q997" s="324"/>
      <c r="R997" s="324"/>
      <c r="S997" s="324"/>
      <c r="T997" s="324"/>
      <c r="U997" s="324"/>
      <c r="V997" s="377">
        <v>41337</v>
      </c>
      <c r="W997" s="198">
        <v>52.080002</v>
      </c>
      <c r="X997" s="349">
        <f t="shared" si="42"/>
        <v>9.693679344952244E-3</v>
      </c>
      <c r="Y997" s="198">
        <v>1525.1999510000001</v>
      </c>
      <c r="Z997" s="349">
        <f t="shared" si="43"/>
        <v>4.6107233736829567E-3</v>
      </c>
      <c r="AA997" s="324"/>
      <c r="AB997" s="324"/>
      <c r="AC997" s="324"/>
      <c r="AD997" s="324"/>
      <c r="AE997" s="324"/>
      <c r="AF997" s="324"/>
    </row>
    <row r="998" spans="1:32">
      <c r="A998" s="324"/>
      <c r="B998" s="244"/>
      <c r="C998" s="294"/>
      <c r="D998" s="235"/>
      <c r="E998" s="294"/>
      <c r="F998" s="235"/>
      <c r="G998" s="324"/>
      <c r="H998" s="324"/>
      <c r="I998" s="324"/>
      <c r="J998" s="324"/>
      <c r="K998" s="324"/>
      <c r="L998" s="324"/>
      <c r="M998" s="294"/>
      <c r="N998" s="235"/>
      <c r="O998" s="324"/>
      <c r="P998" s="235"/>
      <c r="Q998" s="324"/>
      <c r="R998" s="324"/>
      <c r="S998" s="324"/>
      <c r="T998" s="324"/>
      <c r="U998" s="324"/>
      <c r="V998" s="377">
        <v>41334</v>
      </c>
      <c r="W998" s="198">
        <v>51.580002</v>
      </c>
      <c r="X998" s="349">
        <f t="shared" si="42"/>
        <v>1.5154516529137574E-2</v>
      </c>
      <c r="Y998" s="198">
        <v>1518.1999510000001</v>
      </c>
      <c r="Z998" s="349">
        <f t="shared" si="43"/>
        <v>2.3238551208915048E-3</v>
      </c>
      <c r="AA998" s="324"/>
      <c r="AB998" s="324"/>
      <c r="AC998" s="324"/>
      <c r="AD998" s="324"/>
      <c r="AE998" s="324"/>
      <c r="AF998" s="324"/>
    </row>
    <row r="999" spans="1:32">
      <c r="A999" s="324"/>
      <c r="B999" s="244"/>
      <c r="C999" s="294"/>
      <c r="D999" s="235"/>
      <c r="E999" s="294"/>
      <c r="F999" s="235"/>
      <c r="G999" s="324"/>
      <c r="H999" s="324"/>
      <c r="I999" s="324"/>
      <c r="J999" s="324"/>
      <c r="K999" s="324"/>
      <c r="L999" s="324"/>
      <c r="M999" s="294"/>
      <c r="N999" s="235"/>
      <c r="O999" s="324"/>
      <c r="P999" s="235"/>
      <c r="Q999" s="324"/>
      <c r="R999" s="324"/>
      <c r="S999" s="324"/>
      <c r="T999" s="324"/>
      <c r="U999" s="324"/>
      <c r="V999" s="377">
        <v>41333</v>
      </c>
      <c r="W999" s="198">
        <v>50.810001</v>
      </c>
      <c r="X999" s="349">
        <f t="shared" si="42"/>
        <v>5.1434620206420867E-3</v>
      </c>
      <c r="Y999" s="198">
        <v>1514.6800539999999</v>
      </c>
      <c r="Z999" s="349">
        <f t="shared" si="43"/>
        <v>-8.6407958406120589E-4</v>
      </c>
      <c r="AA999" s="324"/>
      <c r="AB999" s="324"/>
      <c r="AC999" s="324"/>
      <c r="AD999" s="324"/>
      <c r="AE999" s="324"/>
      <c r="AF999" s="324"/>
    </row>
    <row r="1000" spans="1:32">
      <c r="A1000" s="324"/>
      <c r="B1000" s="244"/>
      <c r="C1000" s="294"/>
      <c r="D1000" s="235"/>
      <c r="E1000" s="294"/>
      <c r="F1000" s="235"/>
      <c r="G1000" s="324"/>
      <c r="H1000" s="324"/>
      <c r="I1000" s="324"/>
      <c r="J1000" s="324"/>
      <c r="K1000" s="324"/>
      <c r="L1000" s="324"/>
      <c r="M1000" s="294"/>
      <c r="N1000" s="235"/>
      <c r="O1000" s="324"/>
      <c r="P1000" s="235"/>
      <c r="Q1000" s="324"/>
      <c r="R1000" s="324"/>
      <c r="S1000" s="324"/>
      <c r="T1000" s="324"/>
      <c r="U1000" s="324"/>
      <c r="V1000" s="377">
        <v>41332</v>
      </c>
      <c r="W1000" s="198">
        <v>50.549999</v>
      </c>
      <c r="X1000" s="349">
        <f t="shared" si="42"/>
        <v>2.3486536211511089E-2</v>
      </c>
      <c r="Y1000" s="198">
        <v>1515.98999</v>
      </c>
      <c r="Z1000" s="349">
        <f t="shared" si="43"/>
        <v>1.2725994195381007E-2</v>
      </c>
      <c r="AA1000" s="324"/>
      <c r="AB1000" s="324"/>
      <c r="AC1000" s="324"/>
      <c r="AD1000" s="324"/>
      <c r="AE1000" s="324"/>
      <c r="AF1000" s="324"/>
    </row>
    <row r="1001" spans="1:32">
      <c r="A1001" s="324"/>
      <c r="B1001" s="244"/>
      <c r="C1001" s="294"/>
      <c r="D1001" s="235"/>
      <c r="E1001" s="294"/>
      <c r="F1001" s="235"/>
      <c r="G1001" s="324"/>
      <c r="H1001" s="324"/>
      <c r="I1001" s="324"/>
      <c r="J1001" s="324"/>
      <c r="K1001" s="324"/>
      <c r="L1001" s="324"/>
      <c r="M1001" s="294"/>
      <c r="N1001" s="235"/>
      <c r="O1001" s="324"/>
      <c r="P1001" s="235"/>
      <c r="Q1001" s="324"/>
      <c r="R1001" s="324"/>
      <c r="S1001" s="324"/>
      <c r="T1001" s="324"/>
      <c r="U1001" s="324"/>
      <c r="V1001" s="377">
        <v>41331</v>
      </c>
      <c r="W1001" s="198">
        <v>49.389999000000003</v>
      </c>
      <c r="X1001" s="349">
        <f t="shared" si="42"/>
        <v>-1.6918848848771817E-2</v>
      </c>
      <c r="Y1001" s="198">
        <v>1496.9399410000001</v>
      </c>
      <c r="Z1001" s="349">
        <f t="shared" si="43"/>
        <v>6.1094634181049212E-3</v>
      </c>
      <c r="AA1001" s="324"/>
      <c r="AB1001" s="324"/>
      <c r="AC1001" s="324"/>
      <c r="AD1001" s="324"/>
      <c r="AE1001" s="324"/>
      <c r="AF1001" s="324"/>
    </row>
    <row r="1002" spans="1:32">
      <c r="A1002" s="324"/>
      <c r="B1002" s="244"/>
      <c r="C1002" s="294"/>
      <c r="D1002" s="235"/>
      <c r="E1002" s="294"/>
      <c r="F1002" s="235"/>
      <c r="G1002" s="324"/>
      <c r="H1002" s="324"/>
      <c r="I1002" s="324"/>
      <c r="J1002" s="324"/>
      <c r="K1002" s="324"/>
      <c r="L1002" s="324"/>
      <c r="M1002" s="294"/>
      <c r="N1002" s="235"/>
      <c r="O1002" s="324"/>
      <c r="P1002" s="235"/>
      <c r="Q1002" s="324"/>
      <c r="R1002" s="324"/>
      <c r="S1002" s="324"/>
      <c r="T1002" s="324"/>
      <c r="U1002" s="324"/>
      <c r="V1002" s="377">
        <v>41330</v>
      </c>
      <c r="W1002" s="198">
        <v>50.240001999999997</v>
      </c>
      <c r="X1002" s="349">
        <f t="shared" si="42"/>
        <v>-1.9516002360811746E-2</v>
      </c>
      <c r="Y1002" s="198">
        <v>1487.849976</v>
      </c>
      <c r="Z1002" s="349">
        <f t="shared" si="43"/>
        <v>-1.8309580654150115E-2</v>
      </c>
      <c r="AA1002" s="324"/>
      <c r="AB1002" s="324"/>
      <c r="AC1002" s="324"/>
      <c r="AD1002" s="324"/>
      <c r="AE1002" s="324"/>
      <c r="AF1002" s="324"/>
    </row>
    <row r="1003" spans="1:32">
      <c r="A1003" s="324"/>
      <c r="B1003" s="244"/>
      <c r="C1003" s="294"/>
      <c r="D1003" s="235"/>
      <c r="E1003" s="294"/>
      <c r="F1003" s="235"/>
      <c r="G1003" s="324"/>
      <c r="H1003" s="324"/>
      <c r="I1003" s="324"/>
      <c r="J1003" s="324"/>
      <c r="K1003" s="324"/>
      <c r="L1003" s="324"/>
      <c r="M1003" s="294"/>
      <c r="N1003" s="235"/>
      <c r="O1003" s="324"/>
      <c r="P1003" s="235"/>
      <c r="Q1003" s="324"/>
      <c r="R1003" s="324"/>
      <c r="S1003" s="324"/>
      <c r="T1003" s="324"/>
      <c r="U1003" s="324"/>
      <c r="V1003" s="377">
        <v>41327</v>
      </c>
      <c r="W1003" s="198">
        <v>51.240001999999997</v>
      </c>
      <c r="X1003" s="349">
        <f t="shared" si="42"/>
        <v>-9.0890931945291076E-3</v>
      </c>
      <c r="Y1003" s="198">
        <v>1515.599976</v>
      </c>
      <c r="Z1003" s="349">
        <f t="shared" si="43"/>
        <v>8.7724681607084243E-3</v>
      </c>
      <c r="AA1003" s="324"/>
      <c r="AB1003" s="324"/>
      <c r="AC1003" s="324"/>
      <c r="AD1003" s="324"/>
      <c r="AE1003" s="324"/>
      <c r="AF1003" s="324"/>
    </row>
    <row r="1004" spans="1:32">
      <c r="A1004" s="324"/>
      <c r="B1004" s="244"/>
      <c r="C1004" s="294"/>
      <c r="D1004" s="235"/>
      <c r="E1004" s="294"/>
      <c r="F1004" s="235"/>
      <c r="G1004" s="324"/>
      <c r="H1004" s="324"/>
      <c r="I1004" s="324"/>
      <c r="J1004" s="324"/>
      <c r="K1004" s="324"/>
      <c r="L1004" s="324"/>
      <c r="M1004" s="294"/>
      <c r="N1004" s="235"/>
      <c r="O1004" s="324"/>
      <c r="P1004" s="235"/>
      <c r="Q1004" s="324"/>
      <c r="R1004" s="324"/>
      <c r="S1004" s="324"/>
      <c r="T1004" s="324"/>
      <c r="U1004" s="324"/>
      <c r="V1004" s="377">
        <v>41326</v>
      </c>
      <c r="W1004" s="198">
        <v>51.709999000000003</v>
      </c>
      <c r="X1004" s="349">
        <f t="shared" si="42"/>
        <v>-3.7416268849287615E-2</v>
      </c>
      <c r="Y1004" s="198">
        <v>1502.420044</v>
      </c>
      <c r="Z1004" s="349">
        <f t="shared" si="43"/>
        <v>-6.3030571836700799E-3</v>
      </c>
      <c r="AA1004" s="324"/>
      <c r="AB1004" s="324"/>
      <c r="AC1004" s="324"/>
      <c r="AD1004" s="324"/>
      <c r="AE1004" s="324"/>
      <c r="AF1004" s="324"/>
    </row>
    <row r="1005" spans="1:32">
      <c r="A1005" s="324"/>
      <c r="B1005" s="244"/>
      <c r="C1005" s="294"/>
      <c r="D1005" s="235"/>
      <c r="E1005" s="294"/>
      <c r="F1005" s="235"/>
      <c r="G1005" s="324"/>
      <c r="H1005" s="324"/>
      <c r="I1005" s="324"/>
      <c r="J1005" s="324"/>
      <c r="K1005" s="324"/>
      <c r="L1005" s="324"/>
      <c r="M1005" s="294"/>
      <c r="N1005" s="235"/>
      <c r="O1005" s="324"/>
      <c r="P1005" s="235"/>
      <c r="Q1005" s="324"/>
      <c r="R1005" s="324"/>
      <c r="S1005" s="324"/>
      <c r="T1005" s="324"/>
      <c r="U1005" s="324"/>
      <c r="V1005" s="377">
        <v>41325</v>
      </c>
      <c r="W1005" s="198">
        <v>53.720001000000003</v>
      </c>
      <c r="X1005" s="349">
        <f t="shared" si="42"/>
        <v>-4.0785688557390953E-3</v>
      </c>
      <c r="Y1005" s="198">
        <v>1511.9499510000001</v>
      </c>
      <c r="Z1005" s="349">
        <f t="shared" si="43"/>
        <v>-1.2404137805429483E-2</v>
      </c>
      <c r="AA1005" s="324"/>
      <c r="AB1005" s="324"/>
      <c r="AC1005" s="324"/>
      <c r="AD1005" s="324"/>
      <c r="AE1005" s="324"/>
      <c r="AF1005" s="324"/>
    </row>
    <row r="1006" spans="1:32">
      <c r="A1006" s="324"/>
      <c r="B1006" s="244"/>
      <c r="C1006" s="294"/>
      <c r="D1006" s="235"/>
      <c r="E1006" s="294"/>
      <c r="F1006" s="235"/>
      <c r="G1006" s="324"/>
      <c r="H1006" s="324"/>
      <c r="I1006" s="324"/>
      <c r="J1006" s="324"/>
      <c r="K1006" s="324"/>
      <c r="L1006" s="324"/>
      <c r="M1006" s="294"/>
      <c r="N1006" s="235"/>
      <c r="O1006" s="324"/>
      <c r="P1006" s="235"/>
      <c r="Q1006" s="324"/>
      <c r="R1006" s="324"/>
      <c r="S1006" s="324"/>
      <c r="T1006" s="324"/>
      <c r="U1006" s="324"/>
      <c r="V1006" s="377">
        <v>41324</v>
      </c>
      <c r="W1006" s="198">
        <v>53.939999</v>
      </c>
      <c r="X1006" s="349">
        <f t="shared" si="42"/>
        <v>1.8540700908586949E-4</v>
      </c>
      <c r="Y1006" s="198">
        <v>1530.9399410000001</v>
      </c>
      <c r="Z1006" s="349">
        <f t="shared" si="43"/>
        <v>7.3364752458415783E-3</v>
      </c>
      <c r="AA1006" s="324"/>
      <c r="AB1006" s="324"/>
      <c r="AC1006" s="324"/>
      <c r="AD1006" s="324"/>
      <c r="AE1006" s="324"/>
      <c r="AF1006" s="324"/>
    </row>
    <row r="1007" spans="1:32">
      <c r="A1007" s="324"/>
      <c r="B1007" s="244"/>
      <c r="C1007" s="294"/>
      <c r="D1007" s="235"/>
      <c r="E1007" s="294"/>
      <c r="F1007" s="235"/>
      <c r="G1007" s="324"/>
      <c r="H1007" s="324"/>
      <c r="I1007" s="324"/>
      <c r="J1007" s="324"/>
      <c r="K1007" s="324"/>
      <c r="L1007" s="324"/>
      <c r="M1007" s="294"/>
      <c r="N1007" s="235"/>
      <c r="O1007" s="324"/>
      <c r="P1007" s="235"/>
      <c r="Q1007" s="324"/>
      <c r="R1007" s="324"/>
      <c r="S1007" s="324"/>
      <c r="T1007" s="324"/>
      <c r="U1007" s="324"/>
      <c r="V1007" s="377">
        <v>41320</v>
      </c>
      <c r="W1007" s="198">
        <v>53.93</v>
      </c>
      <c r="X1007" s="349">
        <f t="shared" si="42"/>
        <v>-2.5892361753282467E-3</v>
      </c>
      <c r="Y1007" s="198">
        <v>1519.790039</v>
      </c>
      <c r="Z1007" s="349">
        <f t="shared" si="43"/>
        <v>-1.0450814357849669E-3</v>
      </c>
      <c r="AA1007" s="324"/>
      <c r="AB1007" s="324"/>
      <c r="AC1007" s="324"/>
      <c r="AD1007" s="324"/>
      <c r="AE1007" s="324"/>
      <c r="AF1007" s="324"/>
    </row>
    <row r="1008" spans="1:32">
      <c r="A1008" s="324"/>
      <c r="B1008" s="244"/>
      <c r="C1008" s="294"/>
      <c r="D1008" s="235"/>
      <c r="E1008" s="294"/>
      <c r="F1008" s="235"/>
      <c r="G1008" s="324"/>
      <c r="H1008" s="324"/>
      <c r="I1008" s="324"/>
      <c r="J1008" s="324"/>
      <c r="K1008" s="324"/>
      <c r="L1008" s="324"/>
      <c r="M1008" s="294"/>
      <c r="N1008" s="235"/>
      <c r="O1008" s="324"/>
      <c r="P1008" s="235"/>
      <c r="Q1008" s="324"/>
      <c r="R1008" s="324"/>
      <c r="S1008" s="324"/>
      <c r="T1008" s="324"/>
      <c r="U1008" s="324"/>
      <c r="V1008" s="377">
        <v>41319</v>
      </c>
      <c r="W1008" s="198">
        <v>54.07</v>
      </c>
      <c r="X1008" s="349">
        <f t="shared" si="42"/>
        <v>-7.8899082568807399E-3</v>
      </c>
      <c r="Y1008" s="198">
        <v>1521.380005</v>
      </c>
      <c r="Z1008" s="349">
        <f t="shared" si="43"/>
        <v>6.9067178204051949E-4</v>
      </c>
      <c r="AA1008" s="324"/>
      <c r="AB1008" s="324"/>
      <c r="AC1008" s="324"/>
      <c r="AD1008" s="324"/>
      <c r="AE1008" s="324"/>
      <c r="AF1008" s="324"/>
    </row>
    <row r="1009" spans="1:32">
      <c r="A1009" s="324"/>
      <c r="B1009" s="244"/>
      <c r="C1009" s="294"/>
      <c r="D1009" s="235"/>
      <c r="E1009" s="294"/>
      <c r="F1009" s="235"/>
      <c r="G1009" s="324"/>
      <c r="H1009" s="324"/>
      <c r="I1009" s="324"/>
      <c r="J1009" s="324"/>
      <c r="K1009" s="324"/>
      <c r="L1009" s="324"/>
      <c r="M1009" s="294"/>
      <c r="N1009" s="235"/>
      <c r="O1009" s="324"/>
      <c r="P1009" s="235"/>
      <c r="Q1009" s="324"/>
      <c r="R1009" s="324"/>
      <c r="S1009" s="324"/>
      <c r="T1009" s="324"/>
      <c r="U1009" s="324"/>
      <c r="V1009" s="377">
        <v>41318</v>
      </c>
      <c r="W1009" s="198">
        <v>54.5</v>
      </c>
      <c r="X1009" s="349">
        <f t="shared" si="42"/>
        <v>-1.5000939273416281E-2</v>
      </c>
      <c r="Y1009" s="198">
        <v>1520.329956</v>
      </c>
      <c r="Z1009" s="349">
        <f t="shared" si="43"/>
        <v>5.9226286700786446E-4</v>
      </c>
      <c r="AA1009" s="324"/>
      <c r="AB1009" s="324"/>
      <c r="AC1009" s="324"/>
      <c r="AD1009" s="324"/>
      <c r="AE1009" s="324"/>
      <c r="AF1009" s="324"/>
    </row>
    <row r="1010" spans="1:32">
      <c r="A1010" s="324"/>
      <c r="B1010" s="244"/>
      <c r="C1010" s="294"/>
      <c r="D1010" s="235"/>
      <c r="E1010" s="294"/>
      <c r="F1010" s="235"/>
      <c r="G1010" s="324"/>
      <c r="H1010" s="324"/>
      <c r="I1010" s="324"/>
      <c r="J1010" s="324"/>
      <c r="K1010" s="324"/>
      <c r="L1010" s="324"/>
      <c r="M1010" s="294"/>
      <c r="N1010" s="235"/>
      <c r="O1010" s="324"/>
      <c r="P1010" s="235"/>
      <c r="Q1010" s="324"/>
      <c r="R1010" s="324"/>
      <c r="S1010" s="324"/>
      <c r="T1010" s="324"/>
      <c r="U1010" s="324"/>
      <c r="V1010" s="377">
        <v>41317</v>
      </c>
      <c r="W1010" s="198">
        <v>55.330002</v>
      </c>
      <c r="X1010" s="349">
        <f t="shared" si="42"/>
        <v>1.5043185288687644E-2</v>
      </c>
      <c r="Y1010" s="198">
        <v>1519.4300539999999</v>
      </c>
      <c r="Z1010" s="349">
        <f t="shared" si="43"/>
        <v>1.5952722685066423E-3</v>
      </c>
      <c r="AA1010" s="324"/>
      <c r="AB1010" s="324"/>
      <c r="AC1010" s="324"/>
      <c r="AD1010" s="324"/>
      <c r="AE1010" s="324"/>
      <c r="AF1010" s="324"/>
    </row>
    <row r="1011" spans="1:32">
      <c r="A1011" s="324"/>
      <c r="B1011" s="244"/>
      <c r="C1011" s="294"/>
      <c r="D1011" s="235"/>
      <c r="E1011" s="294"/>
      <c r="F1011" s="235"/>
      <c r="G1011" s="324"/>
      <c r="H1011" s="324"/>
      <c r="I1011" s="324"/>
      <c r="J1011" s="324"/>
      <c r="K1011" s="324"/>
      <c r="L1011" s="324"/>
      <c r="M1011" s="294"/>
      <c r="N1011" s="235"/>
      <c r="O1011" s="324"/>
      <c r="P1011" s="235"/>
      <c r="Q1011" s="324"/>
      <c r="R1011" s="324"/>
      <c r="S1011" s="324"/>
      <c r="T1011" s="324"/>
      <c r="U1011" s="324"/>
      <c r="V1011" s="377">
        <v>41316</v>
      </c>
      <c r="W1011" s="198">
        <v>54.509998000000003</v>
      </c>
      <c r="X1011" s="349">
        <f t="shared" si="42"/>
        <v>-8.1877912697924105E-3</v>
      </c>
      <c r="Y1011" s="198">
        <v>1517.01001</v>
      </c>
      <c r="Z1011" s="349">
        <f t="shared" si="43"/>
        <v>-6.0611752008965514E-4</v>
      </c>
      <c r="AA1011" s="324"/>
      <c r="AB1011" s="324"/>
      <c r="AC1011" s="324"/>
      <c r="AD1011" s="324"/>
      <c r="AE1011" s="324"/>
      <c r="AF1011" s="324"/>
    </row>
    <row r="1012" spans="1:32">
      <c r="A1012" s="324"/>
      <c r="B1012" s="244"/>
      <c r="C1012" s="294"/>
      <c r="D1012" s="235"/>
      <c r="E1012" s="294"/>
      <c r="F1012" s="235"/>
      <c r="G1012" s="324"/>
      <c r="H1012" s="324"/>
      <c r="I1012" s="324"/>
      <c r="J1012" s="324"/>
      <c r="K1012" s="324"/>
      <c r="L1012" s="324"/>
      <c r="M1012" s="294"/>
      <c r="N1012" s="235"/>
      <c r="O1012" s="324"/>
      <c r="P1012" s="235"/>
      <c r="Q1012" s="324"/>
      <c r="R1012" s="324"/>
      <c r="S1012" s="324"/>
      <c r="T1012" s="324"/>
      <c r="U1012" s="324"/>
      <c r="V1012" s="377">
        <v>41313</v>
      </c>
      <c r="W1012" s="198">
        <v>54.959999000000003</v>
      </c>
      <c r="X1012" s="349">
        <f t="shared" si="42"/>
        <v>-2.3597930658921795E-3</v>
      </c>
      <c r="Y1012" s="198">
        <v>1517.9300539999999</v>
      </c>
      <c r="Z1012" s="349">
        <f t="shared" si="43"/>
        <v>5.6579405687933182E-3</v>
      </c>
      <c r="AA1012" s="324"/>
      <c r="AB1012" s="324"/>
      <c r="AC1012" s="324"/>
      <c r="AD1012" s="324"/>
      <c r="AE1012" s="324"/>
      <c r="AF1012" s="324"/>
    </row>
    <row r="1013" spans="1:32">
      <c r="A1013" s="324"/>
      <c r="B1013" s="244"/>
      <c r="C1013" s="294"/>
      <c r="D1013" s="235"/>
      <c r="E1013" s="294"/>
      <c r="F1013" s="235"/>
      <c r="G1013" s="324"/>
      <c r="H1013" s="324"/>
      <c r="I1013" s="324"/>
      <c r="J1013" s="324"/>
      <c r="K1013" s="324"/>
      <c r="L1013" s="324"/>
      <c r="M1013" s="294"/>
      <c r="N1013" s="235"/>
      <c r="O1013" s="324"/>
      <c r="P1013" s="235"/>
      <c r="Q1013" s="324"/>
      <c r="R1013" s="324"/>
      <c r="S1013" s="324"/>
      <c r="T1013" s="324"/>
      <c r="U1013" s="324"/>
      <c r="V1013" s="377">
        <v>41312</v>
      </c>
      <c r="W1013" s="198">
        <v>55.09</v>
      </c>
      <c r="X1013" s="349">
        <f t="shared" si="42"/>
        <v>-1.1483940427058914E-2</v>
      </c>
      <c r="Y1013" s="198">
        <v>1509.3900149999999</v>
      </c>
      <c r="Z1013" s="349">
        <f t="shared" si="43"/>
        <v>-1.8053990483738458E-3</v>
      </c>
      <c r="AA1013" s="324"/>
      <c r="AB1013" s="324"/>
      <c r="AC1013" s="324"/>
      <c r="AD1013" s="324"/>
      <c r="AE1013" s="324"/>
      <c r="AF1013" s="324"/>
    </row>
    <row r="1014" spans="1:32">
      <c r="A1014" s="324"/>
      <c r="B1014" s="244"/>
      <c r="C1014" s="294"/>
      <c r="D1014" s="235"/>
      <c r="E1014" s="294"/>
      <c r="F1014" s="235"/>
      <c r="G1014" s="324"/>
      <c r="H1014" s="324"/>
      <c r="I1014" s="324"/>
      <c r="J1014" s="324"/>
      <c r="K1014" s="324"/>
      <c r="L1014" s="324"/>
      <c r="M1014" s="294"/>
      <c r="N1014" s="235"/>
      <c r="O1014" s="324"/>
      <c r="P1014" s="235"/>
      <c r="Q1014" s="324"/>
      <c r="R1014" s="324"/>
      <c r="S1014" s="324"/>
      <c r="T1014" s="324"/>
      <c r="U1014" s="324"/>
      <c r="V1014" s="377">
        <v>41311</v>
      </c>
      <c r="W1014" s="198">
        <v>55.73</v>
      </c>
      <c r="X1014" s="349">
        <f t="shared" si="42"/>
        <v>-9.068314044512249E-3</v>
      </c>
      <c r="Y1014" s="198">
        <v>1512.119995</v>
      </c>
      <c r="Z1014" s="349">
        <f t="shared" si="43"/>
        <v>5.4917056195868952E-4</v>
      </c>
      <c r="AA1014" s="324"/>
      <c r="AB1014" s="324"/>
      <c r="AC1014" s="324"/>
      <c r="AD1014" s="324"/>
      <c r="AE1014" s="324"/>
      <c r="AF1014" s="324"/>
    </row>
    <row r="1015" spans="1:32">
      <c r="A1015" s="324"/>
      <c r="B1015" s="244"/>
      <c r="C1015" s="294"/>
      <c r="D1015" s="235"/>
      <c r="E1015" s="294"/>
      <c r="F1015" s="235"/>
      <c r="G1015" s="324"/>
      <c r="H1015" s="324"/>
      <c r="I1015" s="324"/>
      <c r="J1015" s="324"/>
      <c r="K1015" s="324"/>
      <c r="L1015" s="324"/>
      <c r="M1015" s="294"/>
      <c r="N1015" s="235"/>
      <c r="O1015" s="324"/>
      <c r="P1015" s="235"/>
      <c r="Q1015" s="324"/>
      <c r="R1015" s="324"/>
      <c r="S1015" s="324"/>
      <c r="T1015" s="324"/>
      <c r="U1015" s="324"/>
      <c r="V1015" s="377">
        <v>41310</v>
      </c>
      <c r="W1015" s="198">
        <v>56.240001999999997</v>
      </c>
      <c r="X1015" s="349">
        <f t="shared" si="42"/>
        <v>5.1832170655368159E-3</v>
      </c>
      <c r="Y1015" s="198">
        <v>1511.290039</v>
      </c>
      <c r="Z1015" s="349">
        <f t="shared" si="43"/>
        <v>1.0416510156543657E-2</v>
      </c>
      <c r="AA1015" s="324"/>
      <c r="AB1015" s="324"/>
      <c r="AC1015" s="324"/>
      <c r="AD1015" s="324"/>
      <c r="AE1015" s="324"/>
      <c r="AF1015" s="324"/>
    </row>
    <row r="1016" spans="1:32">
      <c r="A1016" s="324"/>
      <c r="B1016" s="244"/>
      <c r="C1016" s="294"/>
      <c r="D1016" s="235"/>
      <c r="E1016" s="294"/>
      <c r="F1016" s="235"/>
      <c r="G1016" s="324"/>
      <c r="H1016" s="324"/>
      <c r="I1016" s="324"/>
      <c r="J1016" s="324"/>
      <c r="K1016" s="324"/>
      <c r="L1016" s="324"/>
      <c r="M1016" s="294"/>
      <c r="N1016" s="235"/>
      <c r="O1016" s="324"/>
      <c r="P1016" s="235"/>
      <c r="Q1016" s="324"/>
      <c r="R1016" s="324"/>
      <c r="S1016" s="324"/>
      <c r="T1016" s="324"/>
      <c r="U1016" s="324"/>
      <c r="V1016" s="377">
        <v>41309</v>
      </c>
      <c r="W1016" s="198">
        <v>55.950001</v>
      </c>
      <c r="X1016" s="349">
        <f t="shared" si="42"/>
        <v>-1.6695974808577319E-2</v>
      </c>
      <c r="Y1016" s="198">
        <v>1495.709961</v>
      </c>
      <c r="Z1016" s="349">
        <f t="shared" si="43"/>
        <v>-1.1538744815384416E-2</v>
      </c>
      <c r="AA1016" s="324"/>
      <c r="AB1016" s="324"/>
      <c r="AC1016" s="324"/>
      <c r="AD1016" s="324"/>
      <c r="AE1016" s="324"/>
      <c r="AF1016" s="324"/>
    </row>
    <row r="1017" spans="1:32">
      <c r="A1017" s="324"/>
      <c r="B1017" s="244"/>
      <c r="C1017" s="294"/>
      <c r="D1017" s="235"/>
      <c r="E1017" s="294"/>
      <c r="F1017" s="235"/>
      <c r="G1017" s="324"/>
      <c r="H1017" s="324"/>
      <c r="I1017" s="324"/>
      <c r="J1017" s="324"/>
      <c r="K1017" s="324"/>
      <c r="L1017" s="324"/>
      <c r="M1017" s="294"/>
      <c r="N1017" s="235"/>
      <c r="O1017" s="324"/>
      <c r="P1017" s="235"/>
      <c r="Q1017" s="324"/>
      <c r="R1017" s="324"/>
      <c r="S1017" s="324"/>
      <c r="T1017" s="324"/>
      <c r="U1017" s="324"/>
      <c r="V1017" s="377">
        <v>41306</v>
      </c>
      <c r="W1017" s="198">
        <v>56.900002000000001</v>
      </c>
      <c r="X1017" s="349">
        <f t="shared" si="42"/>
        <v>2.4118088118824987E-2</v>
      </c>
      <c r="Y1017" s="198">
        <v>1513.170044</v>
      </c>
      <c r="Z1017" s="349">
        <f t="shared" si="43"/>
        <v>1.0052705843222709E-2</v>
      </c>
      <c r="AA1017" s="324"/>
      <c r="AB1017" s="324"/>
      <c r="AC1017" s="324"/>
      <c r="AD1017" s="324"/>
      <c r="AE1017" s="324"/>
      <c r="AF1017" s="324"/>
    </row>
    <row r="1018" spans="1:32">
      <c r="A1018" s="324"/>
      <c r="B1018" s="244"/>
      <c r="C1018" s="294"/>
      <c r="D1018" s="235"/>
      <c r="E1018" s="294"/>
      <c r="F1018" s="235"/>
      <c r="G1018" s="324"/>
      <c r="H1018" s="324"/>
      <c r="I1018" s="324"/>
      <c r="J1018" s="324"/>
      <c r="K1018" s="324"/>
      <c r="L1018" s="324"/>
      <c r="M1018" s="294"/>
      <c r="N1018" s="235"/>
      <c r="O1018" s="324"/>
      <c r="P1018" s="235"/>
      <c r="Q1018" s="324"/>
      <c r="R1018" s="324"/>
      <c r="S1018" s="324"/>
      <c r="T1018" s="324"/>
      <c r="U1018" s="324"/>
      <c r="V1018" s="377">
        <v>41305</v>
      </c>
      <c r="W1018" s="198">
        <v>55.560001</v>
      </c>
      <c r="X1018" s="349">
        <f t="shared" si="42"/>
        <v>1.9636611501684387E-2</v>
      </c>
      <c r="Y1018" s="198">
        <v>1498.1099850000001</v>
      </c>
      <c r="Z1018" s="349">
        <f t="shared" si="43"/>
        <v>-2.5633013528780779E-3</v>
      </c>
      <c r="AA1018" s="324"/>
      <c r="AB1018" s="324"/>
      <c r="AC1018" s="324"/>
      <c r="AD1018" s="324"/>
      <c r="AE1018" s="324"/>
      <c r="AF1018" s="324"/>
    </row>
    <row r="1019" spans="1:32">
      <c r="A1019" s="324"/>
      <c r="B1019" s="244"/>
      <c r="C1019" s="294"/>
      <c r="D1019" s="235"/>
      <c r="E1019" s="294"/>
      <c r="F1019" s="235"/>
      <c r="G1019" s="324"/>
      <c r="H1019" s="324"/>
      <c r="I1019" s="324"/>
      <c r="J1019" s="324"/>
      <c r="K1019" s="324"/>
      <c r="L1019" s="324"/>
      <c r="M1019" s="294"/>
      <c r="N1019" s="235"/>
      <c r="O1019" s="324"/>
      <c r="P1019" s="235"/>
      <c r="Q1019" s="324"/>
      <c r="R1019" s="324"/>
      <c r="S1019" s="324"/>
      <c r="T1019" s="324"/>
      <c r="U1019" s="324"/>
      <c r="V1019" s="377">
        <v>41304</v>
      </c>
      <c r="W1019" s="198">
        <v>54.490001999999997</v>
      </c>
      <c r="X1019" s="349">
        <f t="shared" si="42"/>
        <v>-1.0352324548631997E-2</v>
      </c>
      <c r="Y1019" s="198">
        <v>1501.959961</v>
      </c>
      <c r="Z1019" s="349">
        <f t="shared" si="43"/>
        <v>-3.8996214005379004E-3</v>
      </c>
      <c r="AA1019" s="324"/>
      <c r="AB1019" s="324"/>
      <c r="AC1019" s="324"/>
      <c r="AD1019" s="324"/>
      <c r="AE1019" s="324"/>
      <c r="AF1019" s="324"/>
    </row>
    <row r="1020" spans="1:32">
      <c r="A1020" s="324"/>
      <c r="B1020" s="244"/>
      <c r="C1020" s="294"/>
      <c r="D1020" s="235"/>
      <c r="E1020" s="294"/>
      <c r="F1020" s="235"/>
      <c r="G1020" s="324"/>
      <c r="H1020" s="324"/>
      <c r="I1020" s="324"/>
      <c r="J1020" s="324"/>
      <c r="K1020" s="324"/>
      <c r="L1020" s="324"/>
      <c r="M1020" s="294"/>
      <c r="N1020" s="235"/>
      <c r="O1020" s="324"/>
      <c r="P1020" s="235"/>
      <c r="Q1020" s="324"/>
      <c r="R1020" s="324"/>
      <c r="S1020" s="324"/>
      <c r="T1020" s="324"/>
      <c r="U1020" s="324"/>
      <c r="V1020" s="377">
        <v>41303</v>
      </c>
      <c r="W1020" s="198">
        <v>55.060001</v>
      </c>
      <c r="X1020" s="349">
        <f t="shared" si="42"/>
        <v>-2.1155537777777789E-2</v>
      </c>
      <c r="Y1020" s="198">
        <v>1507.839966</v>
      </c>
      <c r="Z1020" s="349">
        <f t="shared" si="43"/>
        <v>5.1059950967726753E-3</v>
      </c>
      <c r="AA1020" s="324"/>
      <c r="AB1020" s="324"/>
      <c r="AC1020" s="324"/>
      <c r="AD1020" s="324"/>
      <c r="AE1020" s="324"/>
      <c r="AF1020" s="324"/>
    </row>
    <row r="1021" spans="1:32">
      <c r="A1021" s="324"/>
      <c r="B1021" s="244"/>
      <c r="C1021" s="294"/>
      <c r="D1021" s="235"/>
      <c r="E1021" s="294"/>
      <c r="F1021" s="235"/>
      <c r="G1021" s="324"/>
      <c r="H1021" s="324"/>
      <c r="I1021" s="324"/>
      <c r="J1021" s="324"/>
      <c r="K1021" s="324"/>
      <c r="L1021" s="324"/>
      <c r="M1021" s="294"/>
      <c r="N1021" s="235"/>
      <c r="O1021" s="324"/>
      <c r="P1021" s="235"/>
      <c r="Q1021" s="324"/>
      <c r="R1021" s="324"/>
      <c r="S1021" s="324"/>
      <c r="T1021" s="324"/>
      <c r="U1021" s="324"/>
      <c r="V1021" s="377">
        <v>41302</v>
      </c>
      <c r="W1021" s="198">
        <v>56.25</v>
      </c>
      <c r="X1021" s="349">
        <f t="shared" si="42"/>
        <v>3.5682605453748462E-3</v>
      </c>
      <c r="Y1021" s="198">
        <v>1500.1800539999999</v>
      </c>
      <c r="Z1021" s="349">
        <f t="shared" si="43"/>
        <v>-1.8496214617390594E-3</v>
      </c>
      <c r="AA1021" s="324"/>
      <c r="AB1021" s="324"/>
      <c r="AC1021" s="324"/>
      <c r="AD1021" s="324"/>
      <c r="AE1021" s="324"/>
      <c r="AF1021" s="324"/>
    </row>
    <row r="1022" spans="1:32">
      <c r="A1022" s="324"/>
      <c r="B1022" s="244"/>
      <c r="C1022" s="294"/>
      <c r="D1022" s="235"/>
      <c r="E1022" s="294"/>
      <c r="F1022" s="235"/>
      <c r="G1022" s="324"/>
      <c r="H1022" s="324"/>
      <c r="I1022" s="324"/>
      <c r="J1022" s="324"/>
      <c r="K1022" s="324"/>
      <c r="L1022" s="324"/>
      <c r="M1022" s="294"/>
      <c r="N1022" s="235"/>
      <c r="O1022" s="324"/>
      <c r="P1022" s="235"/>
      <c r="Q1022" s="324"/>
      <c r="R1022" s="324"/>
      <c r="S1022" s="324"/>
      <c r="T1022" s="324"/>
      <c r="U1022" s="324"/>
      <c r="V1022" s="377">
        <v>41299</v>
      </c>
      <c r="W1022" s="198">
        <v>56.049999</v>
      </c>
      <c r="X1022" s="349">
        <f t="shared" si="42"/>
        <v>2.9006755479956681E-2</v>
      </c>
      <c r="Y1022" s="198">
        <v>1502.959961</v>
      </c>
      <c r="Z1022" s="349">
        <f t="shared" si="43"/>
        <v>5.4454819269584842E-3</v>
      </c>
      <c r="AA1022" s="324"/>
      <c r="AB1022" s="324"/>
      <c r="AC1022" s="324"/>
      <c r="AD1022" s="324"/>
      <c r="AE1022" s="324"/>
      <c r="AF1022" s="324"/>
    </row>
    <row r="1023" spans="1:32">
      <c r="A1023" s="324"/>
      <c r="B1023" s="244"/>
      <c r="C1023" s="294"/>
      <c r="D1023" s="235"/>
      <c r="E1023" s="294"/>
      <c r="F1023" s="235"/>
      <c r="G1023" s="324"/>
      <c r="H1023" s="324"/>
      <c r="I1023" s="324"/>
      <c r="J1023" s="324"/>
      <c r="K1023" s="324"/>
      <c r="L1023" s="324"/>
      <c r="M1023" s="294"/>
      <c r="N1023" s="235"/>
      <c r="O1023" s="324"/>
      <c r="P1023" s="235"/>
      <c r="Q1023" s="324"/>
      <c r="R1023" s="324"/>
      <c r="S1023" s="324"/>
      <c r="T1023" s="324"/>
      <c r="U1023" s="324"/>
      <c r="V1023" s="377">
        <v>41298</v>
      </c>
      <c r="W1023" s="198">
        <v>54.470001000000003</v>
      </c>
      <c r="X1023" s="349">
        <f t="shared" si="42"/>
        <v>5.9094919331674767E-3</v>
      </c>
      <c r="Y1023" s="198">
        <v>1494.8199460000001</v>
      </c>
      <c r="Z1023" s="349">
        <f t="shared" si="43"/>
        <v>6.6142182684192363E-6</v>
      </c>
      <c r="AA1023" s="324"/>
      <c r="AB1023" s="324"/>
      <c r="AC1023" s="324"/>
      <c r="AD1023" s="324"/>
      <c r="AE1023" s="324"/>
      <c r="AF1023" s="324"/>
    </row>
    <row r="1024" spans="1:32">
      <c r="A1024" s="324"/>
      <c r="B1024" s="244"/>
      <c r="C1024" s="294"/>
      <c r="D1024" s="235"/>
      <c r="E1024" s="294"/>
      <c r="F1024" s="235"/>
      <c r="G1024" s="324"/>
      <c r="H1024" s="324"/>
      <c r="I1024" s="324"/>
      <c r="J1024" s="324"/>
      <c r="K1024" s="324"/>
      <c r="L1024" s="324"/>
      <c r="M1024" s="294"/>
      <c r="N1024" s="235"/>
      <c r="O1024" s="324"/>
      <c r="P1024" s="235"/>
      <c r="Q1024" s="324"/>
      <c r="R1024" s="324"/>
      <c r="S1024" s="324"/>
      <c r="T1024" s="324"/>
      <c r="U1024" s="324"/>
      <c r="V1024" s="377">
        <v>41297</v>
      </c>
      <c r="W1024" s="198">
        <v>54.150002000000001</v>
      </c>
      <c r="X1024" s="349">
        <f t="shared" si="42"/>
        <v>2.5568239120610681E-2</v>
      </c>
      <c r="Y1024" s="198">
        <v>1494.8100589999999</v>
      </c>
      <c r="Z1024" s="349">
        <f t="shared" si="43"/>
        <v>1.5074770267586857E-3</v>
      </c>
      <c r="AA1024" s="324"/>
      <c r="AB1024" s="324"/>
      <c r="AC1024" s="324"/>
      <c r="AD1024" s="324"/>
      <c r="AE1024" s="324"/>
      <c r="AF1024" s="324"/>
    </row>
    <row r="1025" spans="1:32">
      <c r="A1025" s="324"/>
      <c r="B1025" s="244"/>
      <c r="C1025" s="294"/>
      <c r="D1025" s="235"/>
      <c r="E1025" s="294"/>
      <c r="F1025" s="235"/>
      <c r="G1025" s="324"/>
      <c r="H1025" s="324"/>
      <c r="I1025" s="324"/>
      <c r="J1025" s="324"/>
      <c r="K1025" s="324"/>
      <c r="L1025" s="324"/>
      <c r="M1025" s="294"/>
      <c r="N1025" s="235"/>
      <c r="O1025" s="324"/>
      <c r="P1025" s="235"/>
      <c r="Q1025" s="324"/>
      <c r="R1025" s="324"/>
      <c r="S1025" s="324"/>
      <c r="T1025" s="324"/>
      <c r="U1025" s="324"/>
      <c r="V1025" s="377">
        <v>41296</v>
      </c>
      <c r="W1025" s="198">
        <v>52.799999</v>
      </c>
      <c r="X1025" s="349">
        <f t="shared" si="42"/>
        <v>-2.4930802403294483E-2</v>
      </c>
      <c r="Y1025" s="198">
        <v>1492.5600589999999</v>
      </c>
      <c r="Z1025" s="349">
        <f t="shared" si="43"/>
        <v>4.4281074365482009E-3</v>
      </c>
      <c r="AA1025" s="324"/>
      <c r="AB1025" s="324"/>
      <c r="AC1025" s="324"/>
      <c r="AD1025" s="324"/>
      <c r="AE1025" s="324"/>
      <c r="AF1025" s="324"/>
    </row>
    <row r="1026" spans="1:32">
      <c r="A1026" s="324"/>
      <c r="B1026" s="244"/>
      <c r="C1026" s="294"/>
      <c r="D1026" s="235"/>
      <c r="E1026" s="294"/>
      <c r="F1026" s="235"/>
      <c r="G1026" s="324"/>
      <c r="H1026" s="324"/>
      <c r="I1026" s="324"/>
      <c r="J1026" s="324"/>
      <c r="K1026" s="324"/>
      <c r="L1026" s="324"/>
      <c r="M1026" s="294"/>
      <c r="N1026" s="235"/>
      <c r="O1026" s="324"/>
      <c r="P1026" s="235"/>
      <c r="Q1026" s="324"/>
      <c r="R1026" s="324"/>
      <c r="S1026" s="324"/>
      <c r="T1026" s="324"/>
      <c r="U1026" s="324"/>
      <c r="V1026" s="377">
        <v>41292</v>
      </c>
      <c r="W1026" s="198">
        <v>54.150002000000001</v>
      </c>
      <c r="X1026" s="349">
        <f t="shared" si="42"/>
        <v>-1.294201580492127E-2</v>
      </c>
      <c r="Y1026" s="198">
        <v>1485.9799800000001</v>
      </c>
      <c r="Z1026" s="349">
        <f t="shared" si="43"/>
        <v>3.4032703558501964E-3</v>
      </c>
      <c r="AA1026" s="324"/>
      <c r="AB1026" s="324"/>
      <c r="AC1026" s="324"/>
      <c r="AD1026" s="324"/>
      <c r="AE1026" s="324"/>
      <c r="AF1026" s="324"/>
    </row>
    <row r="1027" spans="1:32">
      <c r="A1027" s="324"/>
      <c r="B1027" s="244"/>
      <c r="C1027" s="294"/>
      <c r="D1027" s="235"/>
      <c r="E1027" s="294"/>
      <c r="F1027" s="235"/>
      <c r="G1027" s="324"/>
      <c r="H1027" s="324"/>
      <c r="I1027" s="324"/>
      <c r="J1027" s="324"/>
      <c r="K1027" s="324"/>
      <c r="L1027" s="324"/>
      <c r="M1027" s="294"/>
      <c r="N1027" s="235"/>
      <c r="O1027" s="324"/>
      <c r="P1027" s="235"/>
      <c r="Q1027" s="324"/>
      <c r="R1027" s="324"/>
      <c r="S1027" s="324"/>
      <c r="T1027" s="324"/>
      <c r="U1027" s="324"/>
      <c r="V1027" s="377">
        <v>41291</v>
      </c>
      <c r="W1027" s="198">
        <v>54.860000999999997</v>
      </c>
      <c r="X1027" s="349">
        <f t="shared" si="42"/>
        <v>-7.2861563830184384E-4</v>
      </c>
      <c r="Y1027" s="198">
        <v>1480.9399410000001</v>
      </c>
      <c r="Z1027" s="349">
        <f t="shared" si="43"/>
        <v>5.6429218281479621E-3</v>
      </c>
      <c r="AA1027" s="324"/>
      <c r="AB1027" s="324"/>
      <c r="AC1027" s="324"/>
      <c r="AD1027" s="324"/>
      <c r="AE1027" s="324"/>
      <c r="AF1027" s="324"/>
    </row>
    <row r="1028" spans="1:32">
      <c r="A1028" s="324"/>
      <c r="B1028" s="244"/>
      <c r="C1028" s="294"/>
      <c r="D1028" s="235"/>
      <c r="E1028" s="294"/>
      <c r="F1028" s="235"/>
      <c r="G1028" s="324"/>
      <c r="H1028" s="324"/>
      <c r="I1028" s="324"/>
      <c r="J1028" s="324"/>
      <c r="K1028" s="324"/>
      <c r="L1028" s="324"/>
      <c r="M1028" s="294"/>
      <c r="N1028" s="235"/>
      <c r="O1028" s="324"/>
      <c r="P1028" s="235"/>
      <c r="Q1028" s="324"/>
      <c r="R1028" s="324"/>
      <c r="S1028" s="324"/>
      <c r="T1028" s="324"/>
      <c r="U1028" s="324"/>
      <c r="V1028" s="377">
        <v>41290</v>
      </c>
      <c r="W1028" s="198">
        <v>54.900002000000001</v>
      </c>
      <c r="X1028" s="349">
        <f t="shared" si="42"/>
        <v>-1.6366611516034357E-3</v>
      </c>
      <c r="Y1028" s="198">
        <v>1472.630005</v>
      </c>
      <c r="Z1028" s="349">
        <f t="shared" si="43"/>
        <v>1.9699186784150058E-4</v>
      </c>
      <c r="AA1028" s="324"/>
      <c r="AB1028" s="324"/>
      <c r="AC1028" s="324"/>
      <c r="AD1028" s="324"/>
      <c r="AE1028" s="324"/>
      <c r="AF1028" s="324"/>
    </row>
    <row r="1029" spans="1:32">
      <c r="A1029" s="324"/>
      <c r="B1029" s="244"/>
      <c r="C1029" s="294"/>
      <c r="D1029" s="235"/>
      <c r="E1029" s="294"/>
      <c r="F1029" s="235"/>
      <c r="G1029" s="324"/>
      <c r="H1029" s="324"/>
      <c r="I1029" s="324"/>
      <c r="J1029" s="324"/>
      <c r="K1029" s="324"/>
      <c r="L1029" s="324"/>
      <c r="M1029" s="294"/>
      <c r="N1029" s="235"/>
      <c r="O1029" s="324"/>
      <c r="P1029" s="235"/>
      <c r="Q1029" s="324"/>
      <c r="R1029" s="324"/>
      <c r="S1029" s="324"/>
      <c r="T1029" s="324"/>
      <c r="U1029" s="324"/>
      <c r="V1029" s="377">
        <v>41289</v>
      </c>
      <c r="W1029" s="198">
        <v>54.990001999999997</v>
      </c>
      <c r="X1029" s="349">
        <f t="shared" si="42"/>
        <v>0</v>
      </c>
      <c r="Y1029" s="198">
        <v>1472.339966</v>
      </c>
      <c r="Z1029" s="349">
        <f t="shared" si="43"/>
        <v>1.1286696895667081E-3</v>
      </c>
      <c r="AA1029" s="324"/>
      <c r="AB1029" s="324"/>
      <c r="AC1029" s="324"/>
      <c r="AD1029" s="324"/>
      <c r="AE1029" s="324"/>
      <c r="AF1029" s="324"/>
    </row>
    <row r="1030" spans="1:32">
      <c r="A1030" s="324"/>
      <c r="B1030" s="244"/>
      <c r="C1030" s="294"/>
      <c r="D1030" s="235"/>
      <c r="E1030" s="294"/>
      <c r="F1030" s="235"/>
      <c r="G1030" s="324"/>
      <c r="H1030" s="324"/>
      <c r="I1030" s="324"/>
      <c r="J1030" s="324"/>
      <c r="K1030" s="324"/>
      <c r="L1030" s="324"/>
      <c r="M1030" s="294"/>
      <c r="N1030" s="235"/>
      <c r="O1030" s="324"/>
      <c r="P1030" s="235"/>
      <c r="Q1030" s="324"/>
      <c r="R1030" s="324"/>
      <c r="S1030" s="324"/>
      <c r="T1030" s="324"/>
      <c r="U1030" s="324"/>
      <c r="V1030" s="377">
        <v>41288</v>
      </c>
      <c r="W1030" s="198">
        <v>54.990001999999997</v>
      </c>
      <c r="X1030" s="349">
        <f t="shared" si="42"/>
        <v>9.917373555236475E-3</v>
      </c>
      <c r="Y1030" s="198">
        <v>1470.6800539999999</v>
      </c>
      <c r="Z1030" s="349">
        <f t="shared" si="43"/>
        <v>-9.3067148153735957E-4</v>
      </c>
      <c r="AA1030" s="324"/>
      <c r="AB1030" s="324"/>
      <c r="AC1030" s="324"/>
      <c r="AD1030" s="324"/>
      <c r="AE1030" s="324"/>
      <c r="AF1030" s="324"/>
    </row>
    <row r="1031" spans="1:32">
      <c r="A1031" s="324"/>
      <c r="B1031" s="244"/>
      <c r="C1031" s="294"/>
      <c r="D1031" s="235"/>
      <c r="E1031" s="294"/>
      <c r="F1031" s="235"/>
      <c r="G1031" s="324"/>
      <c r="H1031" s="324"/>
      <c r="I1031" s="324"/>
      <c r="J1031" s="324"/>
      <c r="K1031" s="324"/>
      <c r="L1031" s="324"/>
      <c r="M1031" s="294"/>
      <c r="N1031" s="235"/>
      <c r="O1031" s="324"/>
      <c r="P1031" s="235"/>
      <c r="Q1031" s="324"/>
      <c r="R1031" s="324"/>
      <c r="S1031" s="324"/>
      <c r="T1031" s="324"/>
      <c r="U1031" s="324"/>
      <c r="V1031" s="377">
        <v>41285</v>
      </c>
      <c r="W1031" s="198">
        <v>54.450001</v>
      </c>
      <c r="X1031" s="349">
        <f t="shared" si="42"/>
        <v>3.3167680117929255E-3</v>
      </c>
      <c r="Y1031" s="198">
        <v>1472.0500489999999</v>
      </c>
      <c r="Z1031" s="349">
        <f t="shared" si="43"/>
        <v>-4.7513789798170336E-5</v>
      </c>
      <c r="AA1031" s="324"/>
      <c r="AB1031" s="324"/>
      <c r="AC1031" s="324"/>
      <c r="AD1031" s="324"/>
      <c r="AE1031" s="324"/>
      <c r="AF1031" s="324"/>
    </row>
    <row r="1032" spans="1:32">
      <c r="A1032" s="324"/>
      <c r="B1032" s="244"/>
      <c r="C1032" s="294"/>
      <c r="D1032" s="235"/>
      <c r="E1032" s="294"/>
      <c r="F1032" s="235"/>
      <c r="G1032" s="324"/>
      <c r="H1032" s="324"/>
      <c r="I1032" s="324"/>
      <c r="J1032" s="324"/>
      <c r="K1032" s="324"/>
      <c r="L1032" s="324"/>
      <c r="M1032" s="294"/>
      <c r="N1032" s="235"/>
      <c r="O1032" s="324"/>
      <c r="P1032" s="235"/>
      <c r="Q1032" s="324"/>
      <c r="R1032" s="324"/>
      <c r="S1032" s="324"/>
      <c r="T1032" s="324"/>
      <c r="U1032" s="324"/>
      <c r="V1032" s="377">
        <v>41284</v>
      </c>
      <c r="W1032" s="198">
        <v>54.27</v>
      </c>
      <c r="X1032" s="349">
        <f t="shared" si="42"/>
        <v>-3.1226855827091171E-3</v>
      </c>
      <c r="Y1032" s="198">
        <v>1472.119995</v>
      </c>
      <c r="Z1032" s="349">
        <f t="shared" si="43"/>
        <v>7.5974147157820138E-3</v>
      </c>
      <c r="AA1032" s="324"/>
      <c r="AB1032" s="324"/>
      <c r="AC1032" s="324"/>
      <c r="AD1032" s="324"/>
      <c r="AE1032" s="324"/>
      <c r="AF1032" s="324"/>
    </row>
    <row r="1033" spans="1:32">
      <c r="A1033" s="324"/>
      <c r="B1033" s="244"/>
      <c r="C1033" s="294"/>
      <c r="D1033" s="235"/>
      <c r="E1033" s="294"/>
      <c r="F1033" s="235"/>
      <c r="G1033" s="324"/>
      <c r="H1033" s="324"/>
      <c r="I1033" s="324"/>
      <c r="J1033" s="324"/>
      <c r="K1033" s="324"/>
      <c r="L1033" s="324"/>
      <c r="M1033" s="294"/>
      <c r="N1033" s="235"/>
      <c r="O1033" s="324"/>
      <c r="P1033" s="235"/>
      <c r="Q1033" s="324"/>
      <c r="R1033" s="324"/>
      <c r="S1033" s="324"/>
      <c r="T1033" s="324"/>
      <c r="U1033" s="324"/>
      <c r="V1033" s="377">
        <v>41283</v>
      </c>
      <c r="W1033" s="198">
        <v>54.439999</v>
      </c>
      <c r="X1033" s="349">
        <f t="shared" ref="X1033:X1096" si="44">W1033/W1034-1</f>
        <v>-2.5650970111726901E-3</v>
      </c>
      <c r="Y1033" s="198">
        <v>1461.0200199999999</v>
      </c>
      <c r="Z1033" s="349">
        <f t="shared" ref="Z1033:Z1096" si="45">Y1033/Y1034-1</f>
        <v>2.6558665451457131E-3</v>
      </c>
      <c r="AA1033" s="324"/>
      <c r="AB1033" s="324"/>
      <c r="AC1033" s="324"/>
      <c r="AD1033" s="324"/>
      <c r="AE1033" s="324"/>
      <c r="AF1033" s="324"/>
    </row>
    <row r="1034" spans="1:32">
      <c r="A1034" s="324"/>
      <c r="B1034" s="244"/>
      <c r="C1034" s="294"/>
      <c r="D1034" s="235"/>
      <c r="E1034" s="294"/>
      <c r="F1034" s="235"/>
      <c r="G1034" s="324"/>
      <c r="H1034" s="324"/>
      <c r="I1034" s="324"/>
      <c r="J1034" s="324"/>
      <c r="K1034" s="324"/>
      <c r="L1034" s="324"/>
      <c r="M1034" s="294"/>
      <c r="N1034" s="235"/>
      <c r="O1034" s="324"/>
      <c r="P1034" s="235"/>
      <c r="Q1034" s="324"/>
      <c r="R1034" s="324"/>
      <c r="S1034" s="324"/>
      <c r="T1034" s="324"/>
      <c r="U1034" s="324"/>
      <c r="V1034" s="377">
        <v>41282</v>
      </c>
      <c r="W1034" s="198">
        <v>54.580002</v>
      </c>
      <c r="X1034" s="349">
        <f t="shared" si="44"/>
        <v>1.2240430721084161E-2</v>
      </c>
      <c r="Y1034" s="198">
        <v>1457.150024</v>
      </c>
      <c r="Z1034" s="349">
        <f t="shared" si="45"/>
        <v>-3.2423718278149494E-3</v>
      </c>
      <c r="AA1034" s="324"/>
      <c r="AB1034" s="324"/>
      <c r="AC1034" s="324"/>
      <c r="AD1034" s="324"/>
      <c r="AE1034" s="324"/>
      <c r="AF1034" s="324"/>
    </row>
    <row r="1035" spans="1:32">
      <c r="A1035" s="324"/>
      <c r="B1035" s="244"/>
      <c r="C1035" s="294"/>
      <c r="D1035" s="235"/>
      <c r="E1035" s="294"/>
      <c r="F1035" s="235"/>
      <c r="G1035" s="324"/>
      <c r="H1035" s="324"/>
      <c r="I1035" s="324"/>
      <c r="J1035" s="324"/>
      <c r="K1035" s="324"/>
      <c r="L1035" s="324"/>
      <c r="M1035" s="294"/>
      <c r="N1035" s="235"/>
      <c r="O1035" s="324"/>
      <c r="P1035" s="235"/>
      <c r="Q1035" s="324"/>
      <c r="R1035" s="324"/>
      <c r="S1035" s="324"/>
      <c r="T1035" s="324"/>
      <c r="U1035" s="324"/>
      <c r="V1035" s="377">
        <v>41281</v>
      </c>
      <c r="W1035" s="198">
        <v>53.919998</v>
      </c>
      <c r="X1035" s="349">
        <f t="shared" si="44"/>
        <v>-6.0829861751152681E-3</v>
      </c>
      <c r="Y1035" s="198">
        <v>1461.8900149999999</v>
      </c>
      <c r="Z1035" s="349">
        <f t="shared" si="45"/>
        <v>-3.123116115959057E-3</v>
      </c>
      <c r="AA1035" s="324"/>
      <c r="AB1035" s="324"/>
      <c r="AC1035" s="324"/>
      <c r="AD1035" s="324"/>
      <c r="AE1035" s="324"/>
      <c r="AF1035" s="324"/>
    </row>
    <row r="1036" spans="1:32">
      <c r="A1036" s="324"/>
      <c r="B1036" s="244"/>
      <c r="C1036" s="294"/>
      <c r="D1036" s="235"/>
      <c r="E1036" s="294"/>
      <c r="F1036" s="235"/>
      <c r="G1036" s="324"/>
      <c r="H1036" s="324"/>
      <c r="I1036" s="324"/>
      <c r="J1036" s="324"/>
      <c r="K1036" s="324"/>
      <c r="L1036" s="324"/>
      <c r="M1036" s="294"/>
      <c r="N1036" s="235"/>
      <c r="O1036" s="324"/>
      <c r="P1036" s="235"/>
      <c r="Q1036" s="324"/>
      <c r="R1036" s="324"/>
      <c r="S1036" s="324"/>
      <c r="T1036" s="324"/>
      <c r="U1036" s="324"/>
      <c r="V1036" s="377">
        <v>41278</v>
      </c>
      <c r="W1036" s="198">
        <v>54.25</v>
      </c>
      <c r="X1036" s="349">
        <f t="shared" si="44"/>
        <v>6.3068076423669073E-3</v>
      </c>
      <c r="Y1036" s="198">
        <v>1466.469971</v>
      </c>
      <c r="Z1036" s="349">
        <f t="shared" si="45"/>
        <v>4.8650965994405659E-3</v>
      </c>
      <c r="AA1036" s="324"/>
      <c r="AB1036" s="324"/>
      <c r="AC1036" s="324"/>
      <c r="AD1036" s="324"/>
      <c r="AE1036" s="324"/>
      <c r="AF1036" s="324"/>
    </row>
    <row r="1037" spans="1:32">
      <c r="A1037" s="324"/>
      <c r="B1037" s="244"/>
      <c r="C1037" s="294"/>
      <c r="D1037" s="235"/>
      <c r="E1037" s="294"/>
      <c r="F1037" s="235"/>
      <c r="G1037" s="324"/>
      <c r="H1037" s="324"/>
      <c r="I1037" s="324"/>
      <c r="J1037" s="324"/>
      <c r="K1037" s="324"/>
      <c r="L1037" s="324"/>
      <c r="M1037" s="294"/>
      <c r="N1037" s="235"/>
      <c r="O1037" s="324"/>
      <c r="P1037" s="235"/>
      <c r="Q1037" s="324"/>
      <c r="R1037" s="324"/>
      <c r="S1037" s="324"/>
      <c r="T1037" s="324"/>
      <c r="U1037" s="324"/>
      <c r="V1037" s="377">
        <v>41277</v>
      </c>
      <c r="W1037" s="198">
        <v>53.91</v>
      </c>
      <c r="X1037" s="349">
        <f t="shared" si="44"/>
        <v>-1.2637326470231747E-2</v>
      </c>
      <c r="Y1037" s="198">
        <v>1459.369995</v>
      </c>
      <c r="Z1037" s="349">
        <f t="shared" si="45"/>
        <v>-2.0856176120627179E-3</v>
      </c>
      <c r="AA1037" s="324"/>
      <c r="AB1037" s="324"/>
      <c r="AC1037" s="324"/>
      <c r="AD1037" s="324"/>
      <c r="AE1037" s="324"/>
      <c r="AF1037" s="324"/>
    </row>
    <row r="1038" spans="1:32">
      <c r="A1038" s="324"/>
      <c r="B1038" s="244"/>
      <c r="C1038" s="294"/>
      <c r="D1038" s="235"/>
      <c r="E1038" s="294"/>
      <c r="F1038" s="235"/>
      <c r="G1038" s="324"/>
      <c r="H1038" s="324"/>
      <c r="I1038" s="324"/>
      <c r="J1038" s="324"/>
      <c r="K1038" s="324"/>
      <c r="L1038" s="324"/>
      <c r="M1038" s="294"/>
      <c r="N1038" s="235"/>
      <c r="O1038" s="324"/>
      <c r="P1038" s="235"/>
      <c r="Q1038" s="324"/>
      <c r="R1038" s="324"/>
      <c r="S1038" s="324"/>
      <c r="T1038" s="324"/>
      <c r="U1038" s="324"/>
      <c r="V1038" s="377">
        <v>41276</v>
      </c>
      <c r="W1038" s="198">
        <v>54.599997999999999</v>
      </c>
      <c r="X1038" s="349">
        <f t="shared" si="44"/>
        <v>3.0966749074145428E-2</v>
      </c>
      <c r="Y1038" s="198">
        <v>1462.420044</v>
      </c>
      <c r="Z1038" s="349">
        <f t="shared" si="45"/>
        <v>2.5403420651387121E-2</v>
      </c>
      <c r="AA1038" s="324"/>
      <c r="AB1038" s="324"/>
      <c r="AC1038" s="324"/>
      <c r="AD1038" s="324"/>
      <c r="AE1038" s="324"/>
      <c r="AF1038" s="324"/>
    </row>
    <row r="1039" spans="1:32">
      <c r="A1039" s="324"/>
      <c r="B1039" s="244"/>
      <c r="C1039" s="294"/>
      <c r="D1039" s="235"/>
      <c r="E1039" s="294"/>
      <c r="F1039" s="235"/>
      <c r="G1039" s="324"/>
      <c r="H1039" s="324"/>
      <c r="I1039" s="324"/>
      <c r="J1039" s="324"/>
      <c r="K1039" s="324"/>
      <c r="L1039" s="324"/>
      <c r="M1039" s="294"/>
      <c r="N1039" s="235"/>
      <c r="O1039" s="324"/>
      <c r="P1039" s="235"/>
      <c r="Q1039" s="324"/>
      <c r="R1039" s="324"/>
      <c r="S1039" s="324"/>
      <c r="T1039" s="324"/>
      <c r="U1039" s="324"/>
      <c r="V1039" s="377">
        <v>41274</v>
      </c>
      <c r="W1039" s="198">
        <v>52.959999000000003</v>
      </c>
      <c r="X1039" s="349">
        <f t="shared" si="44"/>
        <v>1.8853385917660725E-2</v>
      </c>
      <c r="Y1039" s="198">
        <v>1426.1899410000001</v>
      </c>
      <c r="Z1039" s="349">
        <f t="shared" si="45"/>
        <v>1.6941940834933167E-2</v>
      </c>
      <c r="AA1039" s="324"/>
      <c r="AB1039" s="324"/>
      <c r="AC1039" s="324"/>
      <c r="AD1039" s="324"/>
      <c r="AE1039" s="324"/>
      <c r="AF1039" s="324"/>
    </row>
    <row r="1040" spans="1:32">
      <c r="A1040" s="324"/>
      <c r="B1040" s="244"/>
      <c r="C1040" s="294"/>
      <c r="D1040" s="235"/>
      <c r="E1040" s="294"/>
      <c r="F1040" s="235"/>
      <c r="G1040" s="324"/>
      <c r="H1040" s="324"/>
      <c r="I1040" s="324"/>
      <c r="J1040" s="324"/>
      <c r="K1040" s="324"/>
      <c r="L1040" s="324"/>
      <c r="M1040" s="294"/>
      <c r="N1040" s="235"/>
      <c r="O1040" s="324"/>
      <c r="P1040" s="235"/>
      <c r="Q1040" s="324"/>
      <c r="R1040" s="324"/>
      <c r="S1040" s="324"/>
      <c r="T1040" s="324"/>
      <c r="U1040" s="324"/>
      <c r="V1040" s="377">
        <v>41271</v>
      </c>
      <c r="W1040" s="198">
        <v>51.98</v>
      </c>
      <c r="X1040" s="349">
        <f t="shared" si="44"/>
        <v>-1.5157237877173935E-2</v>
      </c>
      <c r="Y1040" s="198">
        <v>1402.4300539999999</v>
      </c>
      <c r="Z1040" s="349">
        <f t="shared" si="45"/>
        <v>-1.1049941657992113E-2</v>
      </c>
      <c r="AA1040" s="324"/>
      <c r="AB1040" s="324"/>
      <c r="AC1040" s="324"/>
      <c r="AD1040" s="324"/>
      <c r="AE1040" s="324"/>
      <c r="AF1040" s="324"/>
    </row>
    <row r="1041" spans="1:32">
      <c r="A1041" s="324"/>
      <c r="B1041" s="244"/>
      <c r="C1041" s="294"/>
      <c r="D1041" s="235"/>
      <c r="E1041" s="294"/>
      <c r="F1041" s="235"/>
      <c r="G1041" s="324"/>
      <c r="H1041" s="324"/>
      <c r="I1041" s="324"/>
      <c r="J1041" s="324"/>
      <c r="K1041" s="324"/>
      <c r="L1041" s="324"/>
      <c r="M1041" s="294"/>
      <c r="N1041" s="235"/>
      <c r="O1041" s="324"/>
      <c r="P1041" s="235"/>
      <c r="Q1041" s="324"/>
      <c r="R1041" s="324"/>
      <c r="S1041" s="324"/>
      <c r="T1041" s="324"/>
      <c r="U1041" s="324"/>
      <c r="V1041" s="377">
        <v>41270</v>
      </c>
      <c r="W1041" s="198">
        <v>52.779998999999997</v>
      </c>
      <c r="X1041" s="349">
        <f t="shared" si="44"/>
        <v>-1.4195031486831655E-2</v>
      </c>
      <c r="Y1041" s="198">
        <v>1418.099976</v>
      </c>
      <c r="Z1041" s="349">
        <f t="shared" si="45"/>
        <v>-1.218441682181326E-3</v>
      </c>
      <c r="AA1041" s="324"/>
      <c r="AB1041" s="324"/>
      <c r="AC1041" s="324"/>
      <c r="AD1041" s="324"/>
      <c r="AE1041" s="324"/>
      <c r="AF1041" s="324"/>
    </row>
    <row r="1042" spans="1:32">
      <c r="A1042" s="324"/>
      <c r="B1042" s="244"/>
      <c r="C1042" s="294"/>
      <c r="D1042" s="235"/>
      <c r="E1042" s="294"/>
      <c r="F1042" s="235"/>
      <c r="G1042" s="324"/>
      <c r="H1042" s="324"/>
      <c r="I1042" s="324"/>
      <c r="J1042" s="324"/>
      <c r="K1042" s="324"/>
      <c r="L1042" s="324"/>
      <c r="M1042" s="294"/>
      <c r="N1042" s="235"/>
      <c r="O1042" s="324"/>
      <c r="P1042" s="235"/>
      <c r="Q1042" s="324"/>
      <c r="R1042" s="324"/>
      <c r="S1042" s="324"/>
      <c r="T1042" s="324"/>
      <c r="U1042" s="324"/>
      <c r="V1042" s="377">
        <v>41269</v>
      </c>
      <c r="W1042" s="198">
        <v>53.540000999999997</v>
      </c>
      <c r="X1042" s="349">
        <f t="shared" si="44"/>
        <v>-8.1511485735457079E-3</v>
      </c>
      <c r="Y1042" s="198">
        <v>1419.829956</v>
      </c>
      <c r="Z1042" s="349">
        <f t="shared" si="45"/>
        <v>-4.7874601076824952E-3</v>
      </c>
      <c r="AA1042" s="324"/>
      <c r="AB1042" s="324"/>
      <c r="AC1042" s="324"/>
      <c r="AD1042" s="324"/>
      <c r="AE1042" s="324"/>
      <c r="AF1042" s="324"/>
    </row>
    <row r="1043" spans="1:32">
      <c r="A1043" s="324"/>
      <c r="B1043" s="244"/>
      <c r="C1043" s="294"/>
      <c r="D1043" s="235"/>
      <c r="E1043" s="294"/>
      <c r="F1043" s="235"/>
      <c r="G1043" s="324"/>
      <c r="H1043" s="324"/>
      <c r="I1043" s="324"/>
      <c r="J1043" s="324"/>
      <c r="K1043" s="324"/>
      <c r="L1043" s="324"/>
      <c r="M1043" s="294"/>
      <c r="N1043" s="235"/>
      <c r="O1043" s="324"/>
      <c r="P1043" s="235"/>
      <c r="Q1043" s="324"/>
      <c r="R1043" s="324"/>
      <c r="S1043" s="324"/>
      <c r="T1043" s="324"/>
      <c r="U1043" s="324"/>
      <c r="V1043" s="377">
        <v>41267</v>
      </c>
      <c r="W1043" s="198">
        <v>53.98</v>
      </c>
      <c r="X1043" s="349">
        <f t="shared" si="44"/>
        <v>-1.8367011516020715E-2</v>
      </c>
      <c r="Y1043" s="198">
        <v>1426.660034</v>
      </c>
      <c r="Z1043" s="349">
        <f t="shared" si="45"/>
        <v>-2.4402964314462761E-3</v>
      </c>
      <c r="AA1043" s="324"/>
      <c r="AB1043" s="324"/>
      <c r="AC1043" s="324"/>
      <c r="AD1043" s="324"/>
      <c r="AE1043" s="324"/>
      <c r="AF1043" s="324"/>
    </row>
    <row r="1044" spans="1:32">
      <c r="A1044" s="324"/>
      <c r="B1044" s="244"/>
      <c r="C1044" s="294"/>
      <c r="D1044" s="235"/>
      <c r="E1044" s="294"/>
      <c r="F1044" s="235"/>
      <c r="G1044" s="324"/>
      <c r="H1044" s="324"/>
      <c r="I1044" s="324"/>
      <c r="J1044" s="324"/>
      <c r="K1044" s="324"/>
      <c r="L1044" s="324"/>
      <c r="M1044" s="294"/>
      <c r="N1044" s="235"/>
      <c r="O1044" s="324"/>
      <c r="P1044" s="235"/>
      <c r="Q1044" s="324"/>
      <c r="R1044" s="324"/>
      <c r="S1044" s="324"/>
      <c r="T1044" s="324"/>
      <c r="U1044" s="324"/>
      <c r="V1044" s="377">
        <v>41264</v>
      </c>
      <c r="W1044" s="198">
        <v>54.990001999999997</v>
      </c>
      <c r="X1044" s="349">
        <f t="shared" si="44"/>
        <v>4.5238565952507859E-2</v>
      </c>
      <c r="Y1044" s="198">
        <v>1430.150024</v>
      </c>
      <c r="Z1044" s="349">
        <f t="shared" si="45"/>
        <v>-9.3786876360871796E-3</v>
      </c>
      <c r="AA1044" s="324"/>
      <c r="AB1044" s="324"/>
      <c r="AC1044" s="324"/>
      <c r="AD1044" s="324"/>
      <c r="AE1044" s="324"/>
      <c r="AF1044" s="324"/>
    </row>
    <row r="1045" spans="1:32">
      <c r="A1045" s="324"/>
      <c r="B1045" s="244"/>
      <c r="C1045" s="294"/>
      <c r="D1045" s="235"/>
      <c r="E1045" s="294"/>
      <c r="F1045" s="235"/>
      <c r="G1045" s="324"/>
      <c r="H1045" s="324"/>
      <c r="I1045" s="324"/>
      <c r="J1045" s="324"/>
      <c r="K1045" s="324"/>
      <c r="L1045" s="324"/>
      <c r="M1045" s="294"/>
      <c r="N1045" s="235"/>
      <c r="O1045" s="324"/>
      <c r="P1045" s="235"/>
      <c r="Q1045" s="324"/>
      <c r="R1045" s="324"/>
      <c r="S1045" s="324"/>
      <c r="T1045" s="324"/>
      <c r="U1045" s="324"/>
      <c r="V1045" s="377">
        <v>41263</v>
      </c>
      <c r="W1045" s="198">
        <v>52.610000999999997</v>
      </c>
      <c r="X1045" s="349">
        <f t="shared" si="44"/>
        <v>7.8544059798006938E-3</v>
      </c>
      <c r="Y1045" s="198">
        <v>1443.6899410000001</v>
      </c>
      <c r="Z1045" s="349">
        <f t="shared" si="45"/>
        <v>5.4881089254161797E-3</v>
      </c>
      <c r="AA1045" s="324"/>
      <c r="AB1045" s="324"/>
      <c r="AC1045" s="324"/>
      <c r="AD1045" s="324"/>
      <c r="AE1045" s="324"/>
      <c r="AF1045" s="324"/>
    </row>
    <row r="1046" spans="1:32">
      <c r="A1046" s="324"/>
      <c r="B1046" s="244"/>
      <c r="C1046" s="294"/>
      <c r="D1046" s="235"/>
      <c r="E1046" s="294"/>
      <c r="F1046" s="235"/>
      <c r="G1046" s="324"/>
      <c r="H1046" s="324"/>
      <c r="I1046" s="324"/>
      <c r="J1046" s="324"/>
      <c r="K1046" s="324"/>
      <c r="L1046" s="324"/>
      <c r="M1046" s="294"/>
      <c r="N1046" s="235"/>
      <c r="O1046" s="324"/>
      <c r="P1046" s="235"/>
      <c r="Q1046" s="324"/>
      <c r="R1046" s="324"/>
      <c r="S1046" s="324"/>
      <c r="T1046" s="324"/>
      <c r="U1046" s="324"/>
      <c r="V1046" s="377">
        <v>41262</v>
      </c>
      <c r="W1046" s="198">
        <v>52.200001</v>
      </c>
      <c r="X1046" s="349">
        <f t="shared" si="44"/>
        <v>0</v>
      </c>
      <c r="Y1046" s="198">
        <v>1435.8100589999999</v>
      </c>
      <c r="Z1046" s="349">
        <f t="shared" si="45"/>
        <v>-7.5892007160827113E-3</v>
      </c>
      <c r="AA1046" s="324"/>
      <c r="AB1046" s="324"/>
      <c r="AC1046" s="324"/>
      <c r="AD1046" s="324"/>
      <c r="AE1046" s="324"/>
      <c r="AF1046" s="324"/>
    </row>
    <row r="1047" spans="1:32">
      <c r="A1047" s="324"/>
      <c r="B1047" s="244"/>
      <c r="C1047" s="294"/>
      <c r="D1047" s="235"/>
      <c r="E1047" s="294"/>
      <c r="F1047" s="235"/>
      <c r="G1047" s="324"/>
      <c r="H1047" s="324"/>
      <c r="I1047" s="324"/>
      <c r="J1047" s="324"/>
      <c r="K1047" s="324"/>
      <c r="L1047" s="324"/>
      <c r="M1047" s="294"/>
      <c r="N1047" s="235"/>
      <c r="O1047" s="324"/>
      <c r="P1047" s="235"/>
      <c r="Q1047" s="324"/>
      <c r="R1047" s="324"/>
      <c r="S1047" s="324"/>
      <c r="T1047" s="324"/>
      <c r="U1047" s="324"/>
      <c r="V1047" s="377">
        <v>41261</v>
      </c>
      <c r="W1047" s="198">
        <v>52.200001</v>
      </c>
      <c r="X1047" s="349">
        <f t="shared" si="44"/>
        <v>1.754389897746389E-2</v>
      </c>
      <c r="Y1047" s="198">
        <v>1446.790039</v>
      </c>
      <c r="Z1047" s="349">
        <f t="shared" si="45"/>
        <v>1.1486656626513492E-2</v>
      </c>
      <c r="AA1047" s="324"/>
      <c r="AB1047" s="324"/>
      <c r="AC1047" s="324"/>
      <c r="AD1047" s="324"/>
      <c r="AE1047" s="324"/>
      <c r="AF1047" s="324"/>
    </row>
    <row r="1048" spans="1:32">
      <c r="A1048" s="324"/>
      <c r="B1048" s="244"/>
      <c r="C1048" s="294"/>
      <c r="D1048" s="235"/>
      <c r="E1048" s="294"/>
      <c r="F1048" s="235"/>
      <c r="G1048" s="324"/>
      <c r="H1048" s="324"/>
      <c r="I1048" s="324"/>
      <c r="J1048" s="324"/>
      <c r="K1048" s="324"/>
      <c r="L1048" s="324"/>
      <c r="M1048" s="294"/>
      <c r="N1048" s="235"/>
      <c r="O1048" s="324"/>
      <c r="P1048" s="235"/>
      <c r="Q1048" s="324"/>
      <c r="R1048" s="324"/>
      <c r="S1048" s="324"/>
      <c r="T1048" s="324"/>
      <c r="U1048" s="324"/>
      <c r="V1048" s="377">
        <v>41260</v>
      </c>
      <c r="W1048" s="198">
        <v>51.299999</v>
      </c>
      <c r="X1048" s="349">
        <f t="shared" si="44"/>
        <v>2.1505336091092397E-2</v>
      </c>
      <c r="Y1048" s="198">
        <v>1430.3599850000001</v>
      </c>
      <c r="Z1048" s="349">
        <f t="shared" si="45"/>
        <v>1.1870590643830559E-2</v>
      </c>
      <c r="AA1048" s="324"/>
      <c r="AB1048" s="324"/>
      <c r="AC1048" s="324"/>
      <c r="AD1048" s="324"/>
      <c r="AE1048" s="324"/>
      <c r="AF1048" s="324"/>
    </row>
    <row r="1049" spans="1:32">
      <c r="A1049" s="324"/>
      <c r="B1049" s="244"/>
      <c r="C1049" s="294"/>
      <c r="D1049" s="235"/>
      <c r="E1049" s="294"/>
      <c r="F1049" s="235"/>
      <c r="G1049" s="324"/>
      <c r="H1049" s="324"/>
      <c r="I1049" s="324"/>
      <c r="J1049" s="324"/>
      <c r="K1049" s="324"/>
      <c r="L1049" s="324"/>
      <c r="M1049" s="294"/>
      <c r="N1049" s="235"/>
      <c r="O1049" s="324"/>
      <c r="P1049" s="235"/>
      <c r="Q1049" s="324"/>
      <c r="R1049" s="324"/>
      <c r="S1049" s="324"/>
      <c r="T1049" s="324"/>
      <c r="U1049" s="324"/>
      <c r="V1049" s="377">
        <v>41257</v>
      </c>
      <c r="W1049" s="198">
        <v>50.220001000000003</v>
      </c>
      <c r="X1049" s="349">
        <f t="shared" si="44"/>
        <v>5.9776849168713397E-4</v>
      </c>
      <c r="Y1049" s="198">
        <v>1413.579956</v>
      </c>
      <c r="Z1049" s="349">
        <f t="shared" si="45"/>
        <v>-4.1354011783681921E-3</v>
      </c>
      <c r="AA1049" s="324"/>
      <c r="AB1049" s="324"/>
      <c r="AC1049" s="324"/>
      <c r="AD1049" s="324"/>
      <c r="AE1049" s="324"/>
      <c r="AF1049" s="324"/>
    </row>
    <row r="1050" spans="1:32">
      <c r="A1050" s="324"/>
      <c r="B1050" s="244"/>
      <c r="C1050" s="294"/>
      <c r="D1050" s="235"/>
      <c r="E1050" s="294"/>
      <c r="F1050" s="235"/>
      <c r="G1050" s="324"/>
      <c r="H1050" s="324"/>
      <c r="I1050" s="324"/>
      <c r="J1050" s="324"/>
      <c r="K1050" s="324"/>
      <c r="L1050" s="324"/>
      <c r="M1050" s="294"/>
      <c r="N1050" s="235"/>
      <c r="O1050" s="324"/>
      <c r="P1050" s="235"/>
      <c r="Q1050" s="324"/>
      <c r="R1050" s="324"/>
      <c r="S1050" s="324"/>
      <c r="T1050" s="324"/>
      <c r="U1050" s="324"/>
      <c r="V1050" s="377">
        <v>41256</v>
      </c>
      <c r="W1050" s="198">
        <v>50.189999</v>
      </c>
      <c r="X1050" s="349">
        <f t="shared" si="44"/>
        <v>-3.1777359752824808E-3</v>
      </c>
      <c r="Y1050" s="198">
        <v>1419.4499510000001</v>
      </c>
      <c r="Z1050" s="349">
        <f t="shared" si="45"/>
        <v>-6.3214249596973415E-3</v>
      </c>
      <c r="AA1050" s="324"/>
      <c r="AB1050" s="324"/>
      <c r="AC1050" s="324"/>
      <c r="AD1050" s="324"/>
      <c r="AE1050" s="324"/>
      <c r="AF1050" s="324"/>
    </row>
    <row r="1051" spans="1:32">
      <c r="A1051" s="324"/>
      <c r="B1051" s="244"/>
      <c r="C1051" s="294"/>
      <c r="D1051" s="235"/>
      <c r="E1051" s="294"/>
      <c r="F1051" s="235"/>
      <c r="G1051" s="324"/>
      <c r="H1051" s="324"/>
      <c r="I1051" s="324"/>
      <c r="J1051" s="324"/>
      <c r="K1051" s="324"/>
      <c r="L1051" s="324"/>
      <c r="M1051" s="294"/>
      <c r="N1051" s="235"/>
      <c r="O1051" s="324"/>
      <c r="P1051" s="235"/>
      <c r="Q1051" s="324"/>
      <c r="R1051" s="324"/>
      <c r="S1051" s="324"/>
      <c r="T1051" s="324"/>
      <c r="U1051" s="324"/>
      <c r="V1051" s="377">
        <v>41255</v>
      </c>
      <c r="W1051" s="198">
        <v>50.349997999999999</v>
      </c>
      <c r="X1051" s="349">
        <f t="shared" si="44"/>
        <v>-8.0772264805842875E-3</v>
      </c>
      <c r="Y1051" s="198">
        <v>1428.4799800000001</v>
      </c>
      <c r="Z1051" s="349">
        <f t="shared" si="45"/>
        <v>4.4823930919446475E-4</v>
      </c>
      <c r="AA1051" s="324"/>
      <c r="AB1051" s="324"/>
      <c r="AC1051" s="324"/>
      <c r="AD1051" s="324"/>
      <c r="AE1051" s="324"/>
      <c r="AF1051" s="324"/>
    </row>
    <row r="1052" spans="1:32">
      <c r="A1052" s="324"/>
      <c r="B1052" s="244"/>
      <c r="C1052" s="294"/>
      <c r="D1052" s="235"/>
      <c r="E1052" s="294"/>
      <c r="F1052" s="235"/>
      <c r="G1052" s="324"/>
      <c r="H1052" s="324"/>
      <c r="I1052" s="324"/>
      <c r="J1052" s="324"/>
      <c r="K1052" s="324"/>
      <c r="L1052" s="324"/>
      <c r="M1052" s="294"/>
      <c r="N1052" s="235"/>
      <c r="O1052" s="324"/>
      <c r="P1052" s="235"/>
      <c r="Q1052" s="324"/>
      <c r="R1052" s="324"/>
      <c r="S1052" s="324"/>
      <c r="T1052" s="324"/>
      <c r="U1052" s="324"/>
      <c r="V1052" s="377">
        <v>41254</v>
      </c>
      <c r="W1052" s="198">
        <v>50.759998000000003</v>
      </c>
      <c r="X1052" s="349">
        <f t="shared" si="44"/>
        <v>2.5040347334410296E-2</v>
      </c>
      <c r="Y1052" s="198">
        <v>1427.839966</v>
      </c>
      <c r="Z1052" s="349">
        <f t="shared" si="45"/>
        <v>6.5488820831869354E-3</v>
      </c>
      <c r="AA1052" s="324"/>
      <c r="AB1052" s="324"/>
      <c r="AC1052" s="324"/>
      <c r="AD1052" s="324"/>
      <c r="AE1052" s="324"/>
      <c r="AF1052" s="324"/>
    </row>
    <row r="1053" spans="1:32">
      <c r="A1053" s="324"/>
      <c r="B1053" s="244"/>
      <c r="C1053" s="294"/>
      <c r="D1053" s="235"/>
      <c r="E1053" s="294"/>
      <c r="F1053" s="235"/>
      <c r="G1053" s="324"/>
      <c r="H1053" s="324"/>
      <c r="I1053" s="324"/>
      <c r="J1053" s="324"/>
      <c r="K1053" s="324"/>
      <c r="L1053" s="324"/>
      <c r="M1053" s="294"/>
      <c r="N1053" s="235"/>
      <c r="O1053" s="324"/>
      <c r="P1053" s="235"/>
      <c r="Q1053" s="324"/>
      <c r="R1053" s="324"/>
      <c r="S1053" s="324"/>
      <c r="T1053" s="324"/>
      <c r="U1053" s="324"/>
      <c r="V1053" s="377">
        <v>41253</v>
      </c>
      <c r="W1053" s="198">
        <v>49.52</v>
      </c>
      <c r="X1053" s="349">
        <f t="shared" si="44"/>
        <v>7.3230268510986463E-3</v>
      </c>
      <c r="Y1053" s="198">
        <v>1418.5500489999999</v>
      </c>
      <c r="Z1053" s="349">
        <f t="shared" si="45"/>
        <v>3.3856087378070221E-4</v>
      </c>
      <c r="AA1053" s="324"/>
      <c r="AB1053" s="324"/>
      <c r="AC1053" s="324"/>
      <c r="AD1053" s="324"/>
      <c r="AE1053" s="324"/>
      <c r="AF1053" s="324"/>
    </row>
    <row r="1054" spans="1:32">
      <c r="A1054" s="324"/>
      <c r="B1054" s="244"/>
      <c r="C1054" s="294"/>
      <c r="D1054" s="235"/>
      <c r="E1054" s="294"/>
      <c r="F1054" s="235"/>
      <c r="G1054" s="324"/>
      <c r="H1054" s="324"/>
      <c r="I1054" s="324"/>
      <c r="J1054" s="324"/>
      <c r="K1054" s="324"/>
      <c r="L1054" s="324"/>
      <c r="M1054" s="294"/>
      <c r="N1054" s="235"/>
      <c r="O1054" s="324"/>
      <c r="P1054" s="235"/>
      <c r="Q1054" s="324"/>
      <c r="R1054" s="324"/>
      <c r="S1054" s="324"/>
      <c r="T1054" s="324"/>
      <c r="U1054" s="324"/>
      <c r="V1054" s="377">
        <v>41250</v>
      </c>
      <c r="W1054" s="198">
        <v>49.16</v>
      </c>
      <c r="X1054" s="349">
        <f t="shared" si="44"/>
        <v>1.5073301672517081E-2</v>
      </c>
      <c r="Y1054" s="198">
        <v>1418.0699460000001</v>
      </c>
      <c r="Z1054" s="349">
        <f t="shared" si="45"/>
        <v>2.9209196799964143E-3</v>
      </c>
      <c r="AA1054" s="324"/>
      <c r="AB1054" s="324"/>
      <c r="AC1054" s="324"/>
      <c r="AD1054" s="324"/>
      <c r="AE1054" s="324"/>
      <c r="AF1054" s="324"/>
    </row>
    <row r="1055" spans="1:32">
      <c r="A1055" s="324"/>
      <c r="B1055" s="244"/>
      <c r="C1055" s="294"/>
      <c r="D1055" s="235"/>
      <c r="E1055" s="294"/>
      <c r="F1055" s="235"/>
      <c r="G1055" s="324"/>
      <c r="H1055" s="324"/>
      <c r="I1055" s="324"/>
      <c r="J1055" s="324"/>
      <c r="K1055" s="324"/>
      <c r="L1055" s="324"/>
      <c r="M1055" s="294"/>
      <c r="N1055" s="235"/>
      <c r="O1055" s="324"/>
      <c r="P1055" s="235"/>
      <c r="Q1055" s="324"/>
      <c r="R1055" s="324"/>
      <c r="S1055" s="324"/>
      <c r="T1055" s="324"/>
      <c r="U1055" s="324"/>
      <c r="V1055" s="377">
        <v>41249</v>
      </c>
      <c r="W1055" s="198">
        <v>48.43</v>
      </c>
      <c r="X1055" s="349">
        <f t="shared" si="44"/>
        <v>1.2404589878118877E-3</v>
      </c>
      <c r="Y1055" s="198">
        <v>1413.9399410000001</v>
      </c>
      <c r="Z1055" s="349">
        <f t="shared" si="45"/>
        <v>3.3065905314124677E-3</v>
      </c>
      <c r="AA1055" s="324"/>
      <c r="AB1055" s="324"/>
      <c r="AC1055" s="324"/>
      <c r="AD1055" s="324"/>
      <c r="AE1055" s="324"/>
      <c r="AF1055" s="324"/>
    </row>
    <row r="1056" spans="1:32">
      <c r="A1056" s="324"/>
      <c r="B1056" s="244"/>
      <c r="C1056" s="294"/>
      <c r="D1056" s="235"/>
      <c r="E1056" s="294"/>
      <c r="F1056" s="235"/>
      <c r="G1056" s="324"/>
      <c r="H1056" s="324"/>
      <c r="I1056" s="324"/>
      <c r="J1056" s="324"/>
      <c r="K1056" s="324"/>
      <c r="L1056" s="324"/>
      <c r="M1056" s="294"/>
      <c r="N1056" s="235"/>
      <c r="O1056" s="324"/>
      <c r="P1056" s="235"/>
      <c r="Q1056" s="324"/>
      <c r="R1056" s="324"/>
      <c r="S1056" s="324"/>
      <c r="T1056" s="324"/>
      <c r="U1056" s="324"/>
      <c r="V1056" s="377">
        <v>41248</v>
      </c>
      <c r="W1056" s="198">
        <v>48.369999</v>
      </c>
      <c r="X1056" s="349">
        <f t="shared" si="44"/>
        <v>-1.3058539606551345E-2</v>
      </c>
      <c r="Y1056" s="198">
        <v>1409.280029</v>
      </c>
      <c r="Z1056" s="349">
        <f t="shared" si="45"/>
        <v>1.5848618900122791E-3</v>
      </c>
      <c r="AA1056" s="324"/>
      <c r="AB1056" s="324"/>
      <c r="AC1056" s="324"/>
      <c r="AD1056" s="324"/>
      <c r="AE1056" s="324"/>
      <c r="AF1056" s="324"/>
    </row>
    <row r="1057" spans="1:32">
      <c r="A1057" s="324"/>
      <c r="B1057" s="244"/>
      <c r="C1057" s="294"/>
      <c r="D1057" s="235"/>
      <c r="E1057" s="294"/>
      <c r="F1057" s="235"/>
      <c r="G1057" s="324"/>
      <c r="H1057" s="324"/>
      <c r="I1057" s="324"/>
      <c r="J1057" s="324"/>
      <c r="K1057" s="324"/>
      <c r="L1057" s="324"/>
      <c r="M1057" s="294"/>
      <c r="N1057" s="235"/>
      <c r="O1057" s="324"/>
      <c r="P1057" s="235"/>
      <c r="Q1057" s="324"/>
      <c r="R1057" s="324"/>
      <c r="S1057" s="324"/>
      <c r="T1057" s="324"/>
      <c r="U1057" s="324"/>
      <c r="V1057" s="377">
        <v>41247</v>
      </c>
      <c r="W1057" s="198">
        <v>49.009998000000003</v>
      </c>
      <c r="X1057" s="349">
        <f t="shared" si="44"/>
        <v>-8.8979371304764854E-3</v>
      </c>
      <c r="Y1057" s="198">
        <v>1407.0500489999999</v>
      </c>
      <c r="Z1057" s="349">
        <f t="shared" si="45"/>
        <v>-1.7098123158392209E-3</v>
      </c>
      <c r="AA1057" s="324"/>
      <c r="AB1057" s="324"/>
      <c r="AC1057" s="324"/>
      <c r="AD1057" s="324"/>
      <c r="AE1057" s="324"/>
      <c r="AF1057" s="324"/>
    </row>
    <row r="1058" spans="1:32">
      <c r="A1058" s="324"/>
      <c r="B1058" s="244"/>
      <c r="C1058" s="294"/>
      <c r="D1058" s="235"/>
      <c r="E1058" s="294"/>
      <c r="F1058" s="235"/>
      <c r="G1058" s="324"/>
      <c r="H1058" s="324"/>
      <c r="I1058" s="324"/>
      <c r="J1058" s="324"/>
      <c r="K1058" s="324"/>
      <c r="L1058" s="324"/>
      <c r="M1058" s="294"/>
      <c r="N1058" s="235"/>
      <c r="O1058" s="324"/>
      <c r="P1058" s="235"/>
      <c r="Q1058" s="324"/>
      <c r="R1058" s="324"/>
      <c r="S1058" s="324"/>
      <c r="T1058" s="324"/>
      <c r="U1058" s="324"/>
      <c r="V1058" s="377">
        <v>41246</v>
      </c>
      <c r="W1058" s="198">
        <v>49.450001</v>
      </c>
      <c r="X1058" s="349">
        <f t="shared" si="44"/>
        <v>1.0121254650961031E-3</v>
      </c>
      <c r="Y1058" s="198">
        <v>1409.459961</v>
      </c>
      <c r="Z1058" s="349">
        <f t="shared" si="45"/>
        <v>-4.7452250023003462E-3</v>
      </c>
      <c r="AA1058" s="324"/>
      <c r="AB1058" s="324"/>
      <c r="AC1058" s="324"/>
      <c r="AD1058" s="324"/>
      <c r="AE1058" s="324"/>
      <c r="AF1058" s="324"/>
    </row>
    <row r="1059" spans="1:32">
      <c r="A1059" s="324"/>
      <c r="B1059" s="244"/>
      <c r="C1059" s="294"/>
      <c r="D1059" s="235"/>
      <c r="E1059" s="294"/>
      <c r="F1059" s="235"/>
      <c r="G1059" s="324"/>
      <c r="H1059" s="324"/>
      <c r="I1059" s="324"/>
      <c r="J1059" s="324"/>
      <c r="K1059" s="324"/>
      <c r="L1059" s="324"/>
      <c r="M1059" s="294"/>
      <c r="N1059" s="235"/>
      <c r="O1059" s="324"/>
      <c r="P1059" s="235"/>
      <c r="Q1059" s="324"/>
      <c r="R1059" s="324"/>
      <c r="S1059" s="324"/>
      <c r="T1059" s="324"/>
      <c r="U1059" s="324"/>
      <c r="V1059" s="377">
        <v>41243</v>
      </c>
      <c r="W1059" s="198">
        <v>49.400002000000001</v>
      </c>
      <c r="X1059" s="349">
        <f t="shared" si="44"/>
        <v>-6.2361095601712879E-3</v>
      </c>
      <c r="Y1059" s="198">
        <v>1416.1800539999999</v>
      </c>
      <c r="Z1059" s="349">
        <f t="shared" si="45"/>
        <v>1.6250786253957372E-4</v>
      </c>
      <c r="AA1059" s="324"/>
      <c r="AB1059" s="324"/>
      <c r="AC1059" s="324"/>
      <c r="AD1059" s="324"/>
      <c r="AE1059" s="324"/>
      <c r="AF1059" s="324"/>
    </row>
    <row r="1060" spans="1:32">
      <c r="A1060" s="324"/>
      <c r="B1060" s="244"/>
      <c r="C1060" s="294"/>
      <c r="D1060" s="235"/>
      <c r="E1060" s="294"/>
      <c r="F1060" s="235"/>
      <c r="G1060" s="324"/>
      <c r="H1060" s="324"/>
      <c r="I1060" s="324"/>
      <c r="J1060" s="324"/>
      <c r="K1060" s="324"/>
      <c r="L1060" s="324"/>
      <c r="M1060" s="294"/>
      <c r="N1060" s="235"/>
      <c r="O1060" s="324"/>
      <c r="P1060" s="235"/>
      <c r="Q1060" s="324"/>
      <c r="R1060" s="324"/>
      <c r="S1060" s="324"/>
      <c r="T1060" s="324"/>
      <c r="U1060" s="324"/>
      <c r="V1060" s="377">
        <v>41242</v>
      </c>
      <c r="W1060" s="198">
        <v>49.709999000000003</v>
      </c>
      <c r="X1060" s="349">
        <f t="shared" si="44"/>
        <v>1.4075866993064068E-2</v>
      </c>
      <c r="Y1060" s="198">
        <v>1415.9499510000001</v>
      </c>
      <c r="Z1060" s="349">
        <f t="shared" si="45"/>
        <v>4.2696423009933593E-3</v>
      </c>
      <c r="AA1060" s="324"/>
      <c r="AB1060" s="324"/>
      <c r="AC1060" s="324"/>
      <c r="AD1060" s="324"/>
      <c r="AE1060" s="324"/>
      <c r="AF1060" s="324"/>
    </row>
    <row r="1061" spans="1:32">
      <c r="A1061" s="324"/>
      <c r="B1061" s="244"/>
      <c r="C1061" s="294"/>
      <c r="D1061" s="235"/>
      <c r="E1061" s="294"/>
      <c r="F1061" s="235"/>
      <c r="G1061" s="324"/>
      <c r="H1061" s="324"/>
      <c r="I1061" s="324"/>
      <c r="J1061" s="324"/>
      <c r="K1061" s="324"/>
      <c r="L1061" s="324"/>
      <c r="M1061" s="294"/>
      <c r="N1061" s="235"/>
      <c r="O1061" s="324"/>
      <c r="P1061" s="235"/>
      <c r="Q1061" s="324"/>
      <c r="R1061" s="324"/>
      <c r="S1061" s="324"/>
      <c r="T1061" s="324"/>
      <c r="U1061" s="324"/>
      <c r="V1061" s="377">
        <v>41241</v>
      </c>
      <c r="W1061" s="198">
        <v>49.02</v>
      </c>
      <c r="X1061" s="349">
        <f t="shared" si="44"/>
        <v>1.0513337889644925E-2</v>
      </c>
      <c r="Y1061" s="198">
        <v>1409.9300539999999</v>
      </c>
      <c r="Z1061" s="349">
        <f t="shared" si="45"/>
        <v>7.8560291817415528E-3</v>
      </c>
      <c r="AA1061" s="324"/>
      <c r="AB1061" s="324"/>
      <c r="AC1061" s="324"/>
      <c r="AD1061" s="324"/>
      <c r="AE1061" s="324"/>
      <c r="AF1061" s="324"/>
    </row>
    <row r="1062" spans="1:32">
      <c r="A1062" s="324"/>
      <c r="B1062" s="244"/>
      <c r="C1062" s="294"/>
      <c r="D1062" s="235"/>
      <c r="E1062" s="294"/>
      <c r="F1062" s="235"/>
      <c r="G1062" s="324"/>
      <c r="H1062" s="324"/>
      <c r="I1062" s="324"/>
      <c r="J1062" s="324"/>
      <c r="K1062" s="324"/>
      <c r="L1062" s="324"/>
      <c r="M1062" s="294"/>
      <c r="N1062" s="235"/>
      <c r="O1062" s="324"/>
      <c r="P1062" s="235"/>
      <c r="Q1062" s="324"/>
      <c r="R1062" s="324"/>
      <c r="S1062" s="324"/>
      <c r="T1062" s="324"/>
      <c r="U1062" s="324"/>
      <c r="V1062" s="377">
        <v>41240</v>
      </c>
      <c r="W1062" s="198">
        <v>48.509998000000003</v>
      </c>
      <c r="X1062" s="349">
        <f t="shared" si="44"/>
        <v>-2.4140032672300027E-2</v>
      </c>
      <c r="Y1062" s="198">
        <v>1398.9399410000001</v>
      </c>
      <c r="Z1062" s="349">
        <f t="shared" si="45"/>
        <v>-5.2265875432258024E-3</v>
      </c>
      <c r="AA1062" s="324"/>
      <c r="AB1062" s="324"/>
      <c r="AC1062" s="324"/>
      <c r="AD1062" s="324"/>
      <c r="AE1062" s="324"/>
      <c r="AF1062" s="324"/>
    </row>
    <row r="1063" spans="1:32">
      <c r="A1063" s="324"/>
      <c r="B1063" s="244"/>
      <c r="C1063" s="294"/>
      <c r="D1063" s="235"/>
      <c r="E1063" s="294"/>
      <c r="F1063" s="235"/>
      <c r="G1063" s="324"/>
      <c r="H1063" s="324"/>
      <c r="I1063" s="324"/>
      <c r="J1063" s="324"/>
      <c r="K1063" s="324"/>
      <c r="L1063" s="324"/>
      <c r="M1063" s="294"/>
      <c r="N1063" s="235"/>
      <c r="O1063" s="324"/>
      <c r="P1063" s="235"/>
      <c r="Q1063" s="324"/>
      <c r="R1063" s="324"/>
      <c r="S1063" s="324"/>
      <c r="T1063" s="324"/>
      <c r="U1063" s="324"/>
      <c r="V1063" s="377">
        <v>41239</v>
      </c>
      <c r="W1063" s="198">
        <v>49.709999000000003</v>
      </c>
      <c r="X1063" s="349">
        <f t="shared" si="44"/>
        <v>-6.0319659818253157E-4</v>
      </c>
      <c r="Y1063" s="198">
        <v>1406.290039</v>
      </c>
      <c r="Z1063" s="349">
        <f t="shared" si="45"/>
        <v>-2.0295816281376E-3</v>
      </c>
      <c r="AA1063" s="324"/>
      <c r="AB1063" s="324"/>
      <c r="AC1063" s="324"/>
      <c r="AD1063" s="324"/>
      <c r="AE1063" s="324"/>
      <c r="AF1063" s="324"/>
    </row>
    <row r="1064" spans="1:32">
      <c r="A1064" s="324"/>
      <c r="B1064" s="244"/>
      <c r="C1064" s="294"/>
      <c r="D1064" s="235"/>
      <c r="E1064" s="294"/>
      <c r="F1064" s="235"/>
      <c r="G1064" s="324"/>
      <c r="H1064" s="324"/>
      <c r="I1064" s="324"/>
      <c r="J1064" s="324"/>
      <c r="K1064" s="324"/>
      <c r="L1064" s="324"/>
      <c r="M1064" s="294"/>
      <c r="N1064" s="235"/>
      <c r="O1064" s="324"/>
      <c r="P1064" s="235"/>
      <c r="Q1064" s="324"/>
      <c r="R1064" s="324"/>
      <c r="S1064" s="324"/>
      <c r="T1064" s="324"/>
      <c r="U1064" s="324"/>
      <c r="V1064" s="377">
        <v>41236</v>
      </c>
      <c r="W1064" s="198">
        <v>49.740001999999997</v>
      </c>
      <c r="X1064" s="349">
        <f t="shared" si="44"/>
        <v>1.3860598983681083E-2</v>
      </c>
      <c r="Y1064" s="198">
        <v>1409.150024</v>
      </c>
      <c r="Z1064" s="349">
        <f t="shared" si="45"/>
        <v>1.3026314761174662E-2</v>
      </c>
      <c r="AA1064" s="324"/>
      <c r="AB1064" s="324"/>
      <c r="AC1064" s="324"/>
      <c r="AD1064" s="324"/>
      <c r="AE1064" s="324"/>
      <c r="AF1064" s="324"/>
    </row>
    <row r="1065" spans="1:32">
      <c r="A1065" s="324"/>
      <c r="B1065" s="244"/>
      <c r="C1065" s="294"/>
      <c r="D1065" s="235"/>
      <c r="E1065" s="294"/>
      <c r="F1065" s="235"/>
      <c r="G1065" s="324"/>
      <c r="H1065" s="324"/>
      <c r="I1065" s="324"/>
      <c r="J1065" s="324"/>
      <c r="K1065" s="324"/>
      <c r="L1065" s="324"/>
      <c r="M1065" s="294"/>
      <c r="N1065" s="235"/>
      <c r="O1065" s="324"/>
      <c r="P1065" s="235"/>
      <c r="Q1065" s="324"/>
      <c r="R1065" s="324"/>
      <c r="S1065" s="324"/>
      <c r="T1065" s="324"/>
      <c r="U1065" s="324"/>
      <c r="V1065" s="377">
        <v>41234</v>
      </c>
      <c r="W1065" s="198">
        <v>49.060001</v>
      </c>
      <c r="X1065" s="349">
        <f t="shared" si="44"/>
        <v>1.8476293065239568E-2</v>
      </c>
      <c r="Y1065" s="198">
        <v>1391.030029</v>
      </c>
      <c r="Z1065" s="349">
        <f t="shared" si="45"/>
        <v>2.3201806177426398E-3</v>
      </c>
      <c r="AA1065" s="324"/>
      <c r="AB1065" s="324"/>
      <c r="AC1065" s="324"/>
      <c r="AD1065" s="324"/>
      <c r="AE1065" s="324"/>
      <c r="AF1065" s="324"/>
    </row>
    <row r="1066" spans="1:32">
      <c r="A1066" s="324"/>
      <c r="B1066" s="244"/>
      <c r="C1066" s="294"/>
      <c r="D1066" s="235"/>
      <c r="E1066" s="294"/>
      <c r="F1066" s="235"/>
      <c r="G1066" s="324"/>
      <c r="H1066" s="324"/>
      <c r="I1066" s="324"/>
      <c r="J1066" s="324"/>
      <c r="K1066" s="324"/>
      <c r="L1066" s="324"/>
      <c r="M1066" s="294"/>
      <c r="N1066" s="235"/>
      <c r="O1066" s="324"/>
      <c r="P1066" s="235"/>
      <c r="Q1066" s="324"/>
      <c r="R1066" s="324"/>
      <c r="S1066" s="324"/>
      <c r="T1066" s="324"/>
      <c r="U1066" s="324"/>
      <c r="V1066" s="377">
        <v>41233</v>
      </c>
      <c r="W1066" s="198">
        <v>48.169998</v>
      </c>
      <c r="X1066" s="349">
        <f t="shared" si="44"/>
        <v>-1.4928506546891374E-2</v>
      </c>
      <c r="Y1066" s="198">
        <v>1387.8100589999999</v>
      </c>
      <c r="Z1066" s="349">
        <f t="shared" si="45"/>
        <v>6.6338641856900082E-4</v>
      </c>
      <c r="AA1066" s="324"/>
      <c r="AB1066" s="324"/>
      <c r="AC1066" s="324"/>
      <c r="AD1066" s="324"/>
      <c r="AE1066" s="324"/>
      <c r="AF1066" s="324"/>
    </row>
    <row r="1067" spans="1:32">
      <c r="A1067" s="324"/>
      <c r="B1067" s="244"/>
      <c r="C1067" s="294"/>
      <c r="D1067" s="235"/>
      <c r="E1067" s="294"/>
      <c r="F1067" s="235"/>
      <c r="G1067" s="324"/>
      <c r="H1067" s="324"/>
      <c r="I1067" s="324"/>
      <c r="J1067" s="324"/>
      <c r="K1067" s="324"/>
      <c r="L1067" s="324"/>
      <c r="M1067" s="294"/>
      <c r="N1067" s="235"/>
      <c r="O1067" s="324"/>
      <c r="P1067" s="235"/>
      <c r="Q1067" s="324"/>
      <c r="R1067" s="324"/>
      <c r="S1067" s="324"/>
      <c r="T1067" s="324"/>
      <c r="U1067" s="324"/>
      <c r="V1067" s="377">
        <v>41232</v>
      </c>
      <c r="W1067" s="198">
        <v>48.900002000000001</v>
      </c>
      <c r="X1067" s="349">
        <f t="shared" si="44"/>
        <v>9.2879461447277212E-3</v>
      </c>
      <c r="Y1067" s="198">
        <v>1386.8900149999999</v>
      </c>
      <c r="Z1067" s="349">
        <f t="shared" si="45"/>
        <v>1.9862053931736456E-2</v>
      </c>
      <c r="AA1067" s="324"/>
      <c r="AB1067" s="324"/>
      <c r="AC1067" s="324"/>
      <c r="AD1067" s="324"/>
      <c r="AE1067" s="324"/>
      <c r="AF1067" s="324"/>
    </row>
    <row r="1068" spans="1:32">
      <c r="A1068" s="324"/>
      <c r="B1068" s="244"/>
      <c r="C1068" s="294"/>
      <c r="D1068" s="235"/>
      <c r="E1068" s="294"/>
      <c r="F1068" s="235"/>
      <c r="G1068" s="324"/>
      <c r="H1068" s="324"/>
      <c r="I1068" s="324"/>
      <c r="J1068" s="324"/>
      <c r="K1068" s="324"/>
      <c r="L1068" s="324"/>
      <c r="M1068" s="294"/>
      <c r="N1068" s="235"/>
      <c r="O1068" s="324"/>
      <c r="P1068" s="235"/>
      <c r="Q1068" s="324"/>
      <c r="R1068" s="324"/>
      <c r="S1068" s="324"/>
      <c r="T1068" s="324"/>
      <c r="U1068" s="324"/>
      <c r="V1068" s="377">
        <v>41229</v>
      </c>
      <c r="W1068" s="198">
        <v>48.450001</v>
      </c>
      <c r="X1068" s="349">
        <f t="shared" si="44"/>
        <v>1.5084873245338359E-2</v>
      </c>
      <c r="Y1068" s="198">
        <v>1359.880005</v>
      </c>
      <c r="Z1068" s="349">
        <f t="shared" si="45"/>
        <v>4.8399497631455013E-3</v>
      </c>
      <c r="AA1068" s="324"/>
      <c r="AB1068" s="324"/>
      <c r="AC1068" s="324"/>
      <c r="AD1068" s="324"/>
      <c r="AE1068" s="324"/>
      <c r="AF1068" s="324"/>
    </row>
    <row r="1069" spans="1:32">
      <c r="A1069" s="324"/>
      <c r="B1069" s="244"/>
      <c r="C1069" s="294"/>
      <c r="D1069" s="235"/>
      <c r="E1069" s="294"/>
      <c r="F1069" s="235"/>
      <c r="G1069" s="324"/>
      <c r="H1069" s="324"/>
      <c r="I1069" s="324"/>
      <c r="J1069" s="324"/>
      <c r="K1069" s="324"/>
      <c r="L1069" s="324"/>
      <c r="M1069" s="294"/>
      <c r="N1069" s="235"/>
      <c r="O1069" s="324"/>
      <c r="P1069" s="235"/>
      <c r="Q1069" s="324"/>
      <c r="R1069" s="324"/>
      <c r="S1069" s="324"/>
      <c r="T1069" s="324"/>
      <c r="U1069" s="324"/>
      <c r="V1069" s="377">
        <v>41228</v>
      </c>
      <c r="W1069" s="198">
        <v>47.73</v>
      </c>
      <c r="X1069" s="349">
        <f t="shared" si="44"/>
        <v>-6.2809885377312913E-4</v>
      </c>
      <c r="Y1069" s="198">
        <v>1353.329956</v>
      </c>
      <c r="Z1069" s="349">
        <f t="shared" si="45"/>
        <v>-1.593544781544276E-3</v>
      </c>
      <c r="AA1069" s="324"/>
      <c r="AB1069" s="324"/>
      <c r="AC1069" s="324"/>
      <c r="AD1069" s="324"/>
      <c r="AE1069" s="324"/>
      <c r="AF1069" s="324"/>
    </row>
    <row r="1070" spans="1:32">
      <c r="A1070" s="324"/>
      <c r="B1070" s="244"/>
      <c r="C1070" s="294"/>
      <c r="D1070" s="235"/>
      <c r="E1070" s="294"/>
      <c r="F1070" s="235"/>
      <c r="G1070" s="324"/>
      <c r="H1070" s="324"/>
      <c r="I1070" s="324"/>
      <c r="J1070" s="324"/>
      <c r="K1070" s="324"/>
      <c r="L1070" s="324"/>
      <c r="M1070" s="294"/>
      <c r="N1070" s="235"/>
      <c r="O1070" s="324"/>
      <c r="P1070" s="235"/>
      <c r="Q1070" s="324"/>
      <c r="R1070" s="324"/>
      <c r="S1070" s="324"/>
      <c r="T1070" s="324"/>
      <c r="U1070" s="324"/>
      <c r="V1070" s="377">
        <v>41227</v>
      </c>
      <c r="W1070" s="198">
        <v>47.759998000000003</v>
      </c>
      <c r="X1070" s="349">
        <f t="shared" si="44"/>
        <v>7.3823665893273382E-3</v>
      </c>
      <c r="Y1070" s="198">
        <v>1355.48999</v>
      </c>
      <c r="Z1070" s="349">
        <f t="shared" si="45"/>
        <v>-1.3852035676406471E-2</v>
      </c>
      <c r="AA1070" s="324"/>
      <c r="AB1070" s="324"/>
      <c r="AC1070" s="324"/>
      <c r="AD1070" s="324"/>
      <c r="AE1070" s="324"/>
      <c r="AF1070" s="324"/>
    </row>
    <row r="1071" spans="1:32">
      <c r="A1071" s="324"/>
      <c r="B1071" s="244"/>
      <c r="C1071" s="294"/>
      <c r="D1071" s="235"/>
      <c r="E1071" s="294"/>
      <c r="F1071" s="235"/>
      <c r="G1071" s="324"/>
      <c r="H1071" s="324"/>
      <c r="I1071" s="324"/>
      <c r="J1071" s="324"/>
      <c r="K1071" s="324"/>
      <c r="L1071" s="324"/>
      <c r="M1071" s="294"/>
      <c r="N1071" s="235"/>
      <c r="O1071" s="324"/>
      <c r="P1071" s="235"/>
      <c r="Q1071" s="324"/>
      <c r="R1071" s="324"/>
      <c r="S1071" s="324"/>
      <c r="T1071" s="324"/>
      <c r="U1071" s="324"/>
      <c r="V1071" s="377">
        <v>41226</v>
      </c>
      <c r="W1071" s="198">
        <v>47.41</v>
      </c>
      <c r="X1071" s="349">
        <f t="shared" si="44"/>
        <v>-2.5247002424720888E-3</v>
      </c>
      <c r="Y1071" s="198">
        <v>1374.530029</v>
      </c>
      <c r="Z1071" s="349">
        <f t="shared" si="45"/>
        <v>-3.9854205230486217E-3</v>
      </c>
      <c r="AA1071" s="324"/>
      <c r="AB1071" s="324"/>
      <c r="AC1071" s="324"/>
      <c r="AD1071" s="324"/>
      <c r="AE1071" s="324"/>
      <c r="AF1071" s="324"/>
    </row>
    <row r="1072" spans="1:32">
      <c r="A1072" s="324"/>
      <c r="B1072" s="244"/>
      <c r="C1072" s="294"/>
      <c r="D1072" s="235"/>
      <c r="E1072" s="294"/>
      <c r="F1072" s="235"/>
      <c r="G1072" s="324"/>
      <c r="H1072" s="324"/>
      <c r="I1072" s="324"/>
      <c r="J1072" s="324"/>
      <c r="K1072" s="324"/>
      <c r="L1072" s="324"/>
      <c r="M1072" s="294"/>
      <c r="N1072" s="235"/>
      <c r="O1072" s="324"/>
      <c r="P1072" s="235"/>
      <c r="Q1072" s="324"/>
      <c r="R1072" s="324"/>
      <c r="S1072" s="324"/>
      <c r="T1072" s="324"/>
      <c r="U1072" s="324"/>
      <c r="V1072" s="377">
        <v>41225</v>
      </c>
      <c r="W1072" s="198">
        <v>47.529998999999997</v>
      </c>
      <c r="X1072" s="349">
        <f t="shared" si="44"/>
        <v>-1.6756330161357247E-2</v>
      </c>
      <c r="Y1072" s="198">
        <v>1380.030029</v>
      </c>
      <c r="Z1072" s="349">
        <f t="shared" si="45"/>
        <v>1.3048737408549727E-4</v>
      </c>
      <c r="AA1072" s="324"/>
      <c r="AB1072" s="324"/>
      <c r="AC1072" s="324"/>
      <c r="AD1072" s="324"/>
      <c r="AE1072" s="324"/>
      <c r="AF1072" s="324"/>
    </row>
    <row r="1073" spans="1:32">
      <c r="A1073" s="324"/>
      <c r="B1073" s="244"/>
      <c r="C1073" s="294"/>
      <c r="D1073" s="235"/>
      <c r="E1073" s="294"/>
      <c r="F1073" s="235"/>
      <c r="G1073" s="324"/>
      <c r="H1073" s="324"/>
      <c r="I1073" s="324"/>
      <c r="J1073" s="324"/>
      <c r="K1073" s="324"/>
      <c r="L1073" s="324"/>
      <c r="M1073" s="294"/>
      <c r="N1073" s="235"/>
      <c r="O1073" s="324"/>
      <c r="P1073" s="235"/>
      <c r="Q1073" s="324"/>
      <c r="R1073" s="324"/>
      <c r="S1073" s="324"/>
      <c r="T1073" s="324"/>
      <c r="U1073" s="324"/>
      <c r="V1073" s="377">
        <v>41222</v>
      </c>
      <c r="W1073" s="198">
        <v>48.34</v>
      </c>
      <c r="X1073" s="349">
        <f t="shared" si="44"/>
        <v>2.0686943071113184E-4</v>
      </c>
      <c r="Y1073" s="198">
        <v>1379.849976</v>
      </c>
      <c r="Z1073" s="349">
        <f t="shared" si="45"/>
        <v>1.6986925561432997E-3</v>
      </c>
      <c r="AA1073" s="324"/>
      <c r="AB1073" s="324"/>
      <c r="AC1073" s="324"/>
      <c r="AD1073" s="324"/>
      <c r="AE1073" s="324"/>
      <c r="AF1073" s="324"/>
    </row>
    <row r="1074" spans="1:32">
      <c r="A1074" s="324"/>
      <c r="B1074" s="244"/>
      <c r="C1074" s="294"/>
      <c r="D1074" s="235"/>
      <c r="E1074" s="294"/>
      <c r="F1074" s="235"/>
      <c r="G1074" s="324"/>
      <c r="H1074" s="324"/>
      <c r="I1074" s="324"/>
      <c r="J1074" s="324"/>
      <c r="K1074" s="324"/>
      <c r="L1074" s="324"/>
      <c r="M1074" s="294"/>
      <c r="N1074" s="235"/>
      <c r="O1074" s="324"/>
      <c r="P1074" s="235"/>
      <c r="Q1074" s="324"/>
      <c r="R1074" s="324"/>
      <c r="S1074" s="324"/>
      <c r="T1074" s="324"/>
      <c r="U1074" s="324"/>
      <c r="V1074" s="377">
        <v>41221</v>
      </c>
      <c r="W1074" s="198">
        <v>48.330002</v>
      </c>
      <c r="X1074" s="349">
        <f t="shared" si="44"/>
        <v>-6.5775947963989667E-3</v>
      </c>
      <c r="Y1074" s="198">
        <v>1377.51001</v>
      </c>
      <c r="Z1074" s="349">
        <f t="shared" si="45"/>
        <v>-1.2204842237929392E-2</v>
      </c>
      <c r="AA1074" s="324"/>
      <c r="AB1074" s="324"/>
      <c r="AC1074" s="324"/>
      <c r="AD1074" s="324"/>
      <c r="AE1074" s="324"/>
      <c r="AF1074" s="324"/>
    </row>
    <row r="1075" spans="1:32">
      <c r="A1075" s="324"/>
      <c r="B1075" s="244"/>
      <c r="C1075" s="294"/>
      <c r="D1075" s="235"/>
      <c r="E1075" s="294"/>
      <c r="F1075" s="235"/>
      <c r="G1075" s="324"/>
      <c r="H1075" s="324"/>
      <c r="I1075" s="324"/>
      <c r="J1075" s="324"/>
      <c r="K1075" s="324"/>
      <c r="L1075" s="324"/>
      <c r="M1075" s="294"/>
      <c r="N1075" s="235"/>
      <c r="O1075" s="324"/>
      <c r="P1075" s="235"/>
      <c r="Q1075" s="324"/>
      <c r="R1075" s="324"/>
      <c r="S1075" s="324"/>
      <c r="T1075" s="324"/>
      <c r="U1075" s="324"/>
      <c r="V1075" s="377">
        <v>41220</v>
      </c>
      <c r="W1075" s="198">
        <v>48.650002000000001</v>
      </c>
      <c r="X1075" s="349">
        <f t="shared" si="44"/>
        <v>-3.5296410866547667E-2</v>
      </c>
      <c r="Y1075" s="198">
        <v>1394.530029</v>
      </c>
      <c r="Z1075" s="349">
        <f t="shared" si="45"/>
        <v>-2.37050004861592E-2</v>
      </c>
      <c r="AA1075" s="324"/>
      <c r="AB1075" s="324"/>
      <c r="AC1075" s="324"/>
      <c r="AD1075" s="324"/>
      <c r="AE1075" s="324"/>
      <c r="AF1075" s="324"/>
    </row>
    <row r="1076" spans="1:32">
      <c r="A1076" s="324"/>
      <c r="B1076" s="244"/>
      <c r="C1076" s="294"/>
      <c r="D1076" s="235"/>
      <c r="E1076" s="294"/>
      <c r="F1076" s="235"/>
      <c r="G1076" s="324"/>
      <c r="H1076" s="324"/>
      <c r="I1076" s="324"/>
      <c r="J1076" s="324"/>
      <c r="K1076" s="324"/>
      <c r="L1076" s="324"/>
      <c r="M1076" s="294"/>
      <c r="N1076" s="235"/>
      <c r="O1076" s="324"/>
      <c r="P1076" s="235"/>
      <c r="Q1076" s="324"/>
      <c r="R1076" s="324"/>
      <c r="S1076" s="324"/>
      <c r="T1076" s="324"/>
      <c r="U1076" s="324"/>
      <c r="V1076" s="377">
        <v>41219</v>
      </c>
      <c r="W1076" s="198">
        <v>50.43</v>
      </c>
      <c r="X1076" s="349">
        <f t="shared" si="44"/>
        <v>6.3859308244675894E-3</v>
      </c>
      <c r="Y1076" s="198">
        <v>1428.3900149999999</v>
      </c>
      <c r="Z1076" s="349">
        <f t="shared" si="45"/>
        <v>7.8531849635692375E-3</v>
      </c>
      <c r="AA1076" s="324"/>
      <c r="AB1076" s="324"/>
      <c r="AC1076" s="324"/>
      <c r="AD1076" s="324"/>
      <c r="AE1076" s="324"/>
      <c r="AF1076" s="324"/>
    </row>
    <row r="1077" spans="1:32">
      <c r="A1077" s="324"/>
      <c r="B1077" s="244"/>
      <c r="C1077" s="294"/>
      <c r="D1077" s="235"/>
      <c r="E1077" s="294"/>
      <c r="F1077" s="235"/>
      <c r="G1077" s="324"/>
      <c r="H1077" s="324"/>
      <c r="I1077" s="324"/>
      <c r="J1077" s="324"/>
      <c r="K1077" s="324"/>
      <c r="L1077" s="324"/>
      <c r="M1077" s="294"/>
      <c r="N1077" s="235"/>
      <c r="O1077" s="324"/>
      <c r="P1077" s="235"/>
      <c r="Q1077" s="324"/>
      <c r="R1077" s="324"/>
      <c r="S1077" s="324"/>
      <c r="T1077" s="324"/>
      <c r="U1077" s="324"/>
      <c r="V1077" s="377">
        <v>41218</v>
      </c>
      <c r="W1077" s="198">
        <v>50.110000999999997</v>
      </c>
      <c r="X1077" s="349">
        <f t="shared" si="44"/>
        <v>-1.0465995467338063E-2</v>
      </c>
      <c r="Y1077" s="198">
        <v>1417.26001</v>
      </c>
      <c r="Z1077" s="349">
        <f t="shared" si="45"/>
        <v>2.1638092957336763E-3</v>
      </c>
      <c r="AA1077" s="324"/>
      <c r="AB1077" s="324"/>
      <c r="AC1077" s="324"/>
      <c r="AD1077" s="324"/>
      <c r="AE1077" s="324"/>
      <c r="AF1077" s="324"/>
    </row>
    <row r="1078" spans="1:32">
      <c r="A1078" s="324"/>
      <c r="B1078" s="244"/>
      <c r="C1078" s="294"/>
      <c r="D1078" s="235"/>
      <c r="E1078" s="294"/>
      <c r="F1078" s="235"/>
      <c r="G1078" s="324"/>
      <c r="H1078" s="324"/>
      <c r="I1078" s="324"/>
      <c r="J1078" s="324"/>
      <c r="K1078" s="324"/>
      <c r="L1078" s="324"/>
      <c r="M1078" s="294"/>
      <c r="N1078" s="235"/>
      <c r="O1078" s="324"/>
      <c r="P1078" s="235"/>
      <c r="Q1078" s="324"/>
      <c r="R1078" s="324"/>
      <c r="S1078" s="324"/>
      <c r="T1078" s="324"/>
      <c r="U1078" s="324"/>
      <c r="V1078" s="377">
        <v>41215</v>
      </c>
      <c r="W1078" s="198">
        <v>50.639999000000003</v>
      </c>
      <c r="X1078" s="349">
        <f t="shared" si="44"/>
        <v>-4.5213289664109979E-3</v>
      </c>
      <c r="Y1078" s="198">
        <v>1414.1999510000001</v>
      </c>
      <c r="Z1078" s="349">
        <f t="shared" si="45"/>
        <v>-9.3794544084095932E-3</v>
      </c>
      <c r="AA1078" s="324"/>
      <c r="AB1078" s="324"/>
      <c r="AC1078" s="324"/>
      <c r="AD1078" s="324"/>
      <c r="AE1078" s="324"/>
      <c r="AF1078" s="324"/>
    </row>
    <row r="1079" spans="1:32">
      <c r="A1079" s="324"/>
      <c r="B1079" s="244"/>
      <c r="C1079" s="294"/>
      <c r="D1079" s="235"/>
      <c r="E1079" s="294"/>
      <c r="F1079" s="235"/>
      <c r="G1079" s="324"/>
      <c r="H1079" s="324"/>
      <c r="I1079" s="324"/>
      <c r="J1079" s="324"/>
      <c r="K1079" s="324"/>
      <c r="L1079" s="324"/>
      <c r="M1079" s="294"/>
      <c r="N1079" s="235"/>
      <c r="O1079" s="324"/>
      <c r="P1079" s="235"/>
      <c r="Q1079" s="324"/>
      <c r="R1079" s="324"/>
      <c r="S1079" s="324"/>
      <c r="T1079" s="324"/>
      <c r="U1079" s="324"/>
      <c r="V1079" s="377">
        <v>41214</v>
      </c>
      <c r="W1079" s="198">
        <v>50.869999</v>
      </c>
      <c r="X1079" s="349">
        <f t="shared" si="44"/>
        <v>3.4573948935283649E-2</v>
      </c>
      <c r="Y1079" s="198">
        <v>1427.589966</v>
      </c>
      <c r="Z1079" s="349">
        <f t="shared" si="45"/>
        <v>1.0926475490383503E-2</v>
      </c>
      <c r="AA1079" s="324"/>
      <c r="AB1079" s="324"/>
      <c r="AC1079" s="324"/>
      <c r="AD1079" s="324"/>
      <c r="AE1079" s="324"/>
      <c r="AF1079" s="324"/>
    </row>
    <row r="1080" spans="1:32">
      <c r="A1080" s="324"/>
      <c r="B1080" s="244"/>
      <c r="C1080" s="294"/>
      <c r="D1080" s="235"/>
      <c r="E1080" s="294"/>
      <c r="F1080" s="235"/>
      <c r="G1080" s="324"/>
      <c r="H1080" s="324"/>
      <c r="I1080" s="324"/>
      <c r="J1080" s="324"/>
      <c r="K1080" s="324"/>
      <c r="L1080" s="324"/>
      <c r="M1080" s="294"/>
      <c r="N1080" s="235"/>
      <c r="O1080" s="324"/>
      <c r="P1080" s="235"/>
      <c r="Q1080" s="324"/>
      <c r="R1080" s="324"/>
      <c r="S1080" s="324"/>
      <c r="T1080" s="324"/>
      <c r="U1080" s="324"/>
      <c r="V1080" s="377">
        <v>41213</v>
      </c>
      <c r="W1080" s="198">
        <v>49.169998</v>
      </c>
      <c r="X1080" s="349">
        <f t="shared" si="44"/>
        <v>-2.1881877859558418E-2</v>
      </c>
      <c r="Y1080" s="198">
        <v>1412.160034</v>
      </c>
      <c r="Z1080" s="349">
        <f t="shared" si="45"/>
        <v>1.5587985976517338E-4</v>
      </c>
      <c r="AA1080" s="324"/>
      <c r="AB1080" s="324"/>
      <c r="AC1080" s="324"/>
      <c r="AD1080" s="324"/>
      <c r="AE1080" s="324"/>
      <c r="AF1080" s="324"/>
    </row>
    <row r="1081" spans="1:32">
      <c r="A1081" s="324"/>
      <c r="B1081" s="244"/>
      <c r="C1081" s="294"/>
      <c r="D1081" s="235"/>
      <c r="E1081" s="294"/>
      <c r="F1081" s="235"/>
      <c r="G1081" s="324"/>
      <c r="H1081" s="324"/>
      <c r="I1081" s="324"/>
      <c r="J1081" s="324"/>
      <c r="K1081" s="324"/>
      <c r="L1081" s="324"/>
      <c r="M1081" s="294"/>
      <c r="N1081" s="235"/>
      <c r="O1081" s="324"/>
      <c r="P1081" s="235"/>
      <c r="Q1081" s="324"/>
      <c r="R1081" s="324"/>
      <c r="S1081" s="324"/>
      <c r="T1081" s="324"/>
      <c r="U1081" s="324"/>
      <c r="V1081" s="377">
        <v>41208</v>
      </c>
      <c r="W1081" s="198">
        <v>50.27</v>
      </c>
      <c r="X1081" s="349">
        <f t="shared" si="44"/>
        <v>4.7971418108565533E-3</v>
      </c>
      <c r="Y1081" s="198">
        <v>1411.9399410000001</v>
      </c>
      <c r="Z1081" s="349">
        <f t="shared" si="45"/>
        <v>-7.2898222972916926E-4</v>
      </c>
      <c r="AA1081" s="324"/>
      <c r="AB1081" s="324"/>
      <c r="AC1081" s="324"/>
      <c r="AD1081" s="324"/>
      <c r="AE1081" s="324"/>
      <c r="AF1081" s="324"/>
    </row>
    <row r="1082" spans="1:32">
      <c r="A1082" s="324"/>
      <c r="B1082" s="244"/>
      <c r="C1082" s="294"/>
      <c r="D1082" s="235"/>
      <c r="E1082" s="294"/>
      <c r="F1082" s="235"/>
      <c r="G1082" s="324"/>
      <c r="H1082" s="324"/>
      <c r="I1082" s="324"/>
      <c r="J1082" s="324"/>
      <c r="K1082" s="324"/>
      <c r="L1082" s="324"/>
      <c r="M1082" s="294"/>
      <c r="N1082" s="235"/>
      <c r="O1082" s="324"/>
      <c r="P1082" s="235"/>
      <c r="Q1082" s="324"/>
      <c r="R1082" s="324"/>
      <c r="S1082" s="324"/>
      <c r="T1082" s="324"/>
      <c r="U1082" s="324"/>
      <c r="V1082" s="377">
        <v>41207</v>
      </c>
      <c r="W1082" s="198">
        <v>50.029998999999997</v>
      </c>
      <c r="X1082" s="349">
        <f t="shared" si="44"/>
        <v>-2.3614421404589359E-2</v>
      </c>
      <c r="Y1082" s="198">
        <v>1412.969971</v>
      </c>
      <c r="Z1082" s="349">
        <f t="shared" si="45"/>
        <v>2.9955428571428744E-3</v>
      </c>
      <c r="AA1082" s="324"/>
      <c r="AB1082" s="324"/>
      <c r="AC1082" s="324"/>
      <c r="AD1082" s="324"/>
      <c r="AE1082" s="324"/>
      <c r="AF1082" s="324"/>
    </row>
    <row r="1083" spans="1:32">
      <c r="A1083" s="324"/>
      <c r="B1083" s="244"/>
      <c r="C1083" s="294"/>
      <c r="D1083" s="235"/>
      <c r="E1083" s="294"/>
      <c r="F1083" s="235"/>
      <c r="G1083" s="324"/>
      <c r="H1083" s="324"/>
      <c r="I1083" s="324"/>
      <c r="J1083" s="324"/>
      <c r="K1083" s="324"/>
      <c r="L1083" s="324"/>
      <c r="M1083" s="294"/>
      <c r="N1083" s="235"/>
      <c r="O1083" s="324"/>
      <c r="P1083" s="235"/>
      <c r="Q1083" s="324"/>
      <c r="R1083" s="324"/>
      <c r="S1083" s="324"/>
      <c r="T1083" s="324"/>
      <c r="U1083" s="324"/>
      <c r="V1083" s="377">
        <v>41206</v>
      </c>
      <c r="W1083" s="198">
        <v>51.240001999999997</v>
      </c>
      <c r="X1083" s="349">
        <f t="shared" si="44"/>
        <v>-1.2716762515731728E-2</v>
      </c>
      <c r="Y1083" s="198">
        <v>1408.75</v>
      </c>
      <c r="Z1083" s="349">
        <f t="shared" si="45"/>
        <v>-3.0853826285857089E-3</v>
      </c>
      <c r="AA1083" s="324"/>
      <c r="AB1083" s="324"/>
      <c r="AC1083" s="324"/>
      <c r="AD1083" s="324"/>
      <c r="AE1083" s="324"/>
      <c r="AF1083" s="324"/>
    </row>
    <row r="1084" spans="1:32">
      <c r="A1084" s="324"/>
      <c r="B1084" s="244"/>
      <c r="C1084" s="294"/>
      <c r="D1084" s="235"/>
      <c r="E1084" s="294"/>
      <c r="F1084" s="235"/>
      <c r="G1084" s="324"/>
      <c r="H1084" s="324"/>
      <c r="I1084" s="324"/>
      <c r="J1084" s="324"/>
      <c r="K1084" s="324"/>
      <c r="L1084" s="324"/>
      <c r="M1084" s="294"/>
      <c r="N1084" s="235"/>
      <c r="O1084" s="324"/>
      <c r="P1084" s="235"/>
      <c r="Q1084" s="324"/>
      <c r="R1084" s="324"/>
      <c r="S1084" s="324"/>
      <c r="T1084" s="324"/>
      <c r="U1084" s="324"/>
      <c r="V1084" s="377">
        <v>41205</v>
      </c>
      <c r="W1084" s="198">
        <v>51.900002000000001</v>
      </c>
      <c r="X1084" s="349">
        <f t="shared" si="44"/>
        <v>1.6451253105145947E-2</v>
      </c>
      <c r="Y1084" s="198">
        <v>1413.1099850000001</v>
      </c>
      <c r="Z1084" s="349">
        <f t="shared" si="45"/>
        <v>-1.4443906334108192E-2</v>
      </c>
      <c r="AA1084" s="324"/>
      <c r="AB1084" s="324"/>
      <c r="AC1084" s="324"/>
      <c r="AD1084" s="324"/>
      <c r="AE1084" s="324"/>
      <c r="AF1084" s="324"/>
    </row>
    <row r="1085" spans="1:32">
      <c r="A1085" s="324"/>
      <c r="B1085" s="244"/>
      <c r="C1085" s="294"/>
      <c r="D1085" s="235"/>
      <c r="E1085" s="294"/>
      <c r="F1085" s="235"/>
      <c r="G1085" s="324"/>
      <c r="H1085" s="324"/>
      <c r="I1085" s="324"/>
      <c r="J1085" s="324"/>
      <c r="K1085" s="324"/>
      <c r="L1085" s="324"/>
      <c r="M1085" s="294"/>
      <c r="N1085" s="235"/>
      <c r="O1085" s="324"/>
      <c r="P1085" s="235"/>
      <c r="Q1085" s="324"/>
      <c r="R1085" s="324"/>
      <c r="S1085" s="324"/>
      <c r="T1085" s="324"/>
      <c r="U1085" s="324"/>
      <c r="V1085" s="377">
        <v>41204</v>
      </c>
      <c r="W1085" s="198">
        <v>51.060001</v>
      </c>
      <c r="X1085" s="349">
        <f t="shared" si="44"/>
        <v>6.5050463236744349E-3</v>
      </c>
      <c r="Y1085" s="198">
        <v>1433.8199460000001</v>
      </c>
      <c r="Z1085" s="349">
        <f t="shared" si="45"/>
        <v>4.3958234842222943E-4</v>
      </c>
      <c r="AA1085" s="324"/>
      <c r="AB1085" s="324"/>
      <c r="AC1085" s="324"/>
      <c r="AD1085" s="324"/>
      <c r="AE1085" s="324"/>
      <c r="AF1085" s="324"/>
    </row>
    <row r="1086" spans="1:32">
      <c r="A1086" s="324"/>
      <c r="B1086" s="244"/>
      <c r="C1086" s="294"/>
      <c r="D1086" s="235"/>
      <c r="E1086" s="294"/>
      <c r="F1086" s="235"/>
      <c r="G1086" s="324"/>
      <c r="H1086" s="324"/>
      <c r="I1086" s="324"/>
      <c r="J1086" s="324"/>
      <c r="K1086" s="324"/>
      <c r="L1086" s="324"/>
      <c r="M1086" s="294"/>
      <c r="N1086" s="235"/>
      <c r="O1086" s="324"/>
      <c r="P1086" s="235"/>
      <c r="Q1086" s="324"/>
      <c r="R1086" s="324"/>
      <c r="S1086" s="324"/>
      <c r="T1086" s="324"/>
      <c r="U1086" s="324"/>
      <c r="V1086" s="377">
        <v>41201</v>
      </c>
      <c r="W1086" s="198">
        <v>50.73</v>
      </c>
      <c r="X1086" s="349">
        <f t="shared" si="44"/>
        <v>-2.9090909090909167E-2</v>
      </c>
      <c r="Y1086" s="198">
        <v>1433.1899410000001</v>
      </c>
      <c r="Z1086" s="349">
        <f t="shared" si="45"/>
        <v>-1.6571304955208976E-2</v>
      </c>
      <c r="AA1086" s="324"/>
      <c r="AB1086" s="324"/>
      <c r="AC1086" s="324"/>
      <c r="AD1086" s="324"/>
      <c r="AE1086" s="324"/>
      <c r="AF1086" s="324"/>
    </row>
    <row r="1087" spans="1:32">
      <c r="A1087" s="324"/>
      <c r="B1087" s="244"/>
      <c r="C1087" s="294"/>
      <c r="D1087" s="235"/>
      <c r="E1087" s="294"/>
      <c r="F1087" s="235"/>
      <c r="G1087" s="324"/>
      <c r="H1087" s="324"/>
      <c r="I1087" s="324"/>
      <c r="J1087" s="324"/>
      <c r="K1087" s="324"/>
      <c r="L1087" s="324"/>
      <c r="M1087" s="294"/>
      <c r="N1087" s="235"/>
      <c r="O1087" s="324"/>
      <c r="P1087" s="235"/>
      <c r="Q1087" s="324"/>
      <c r="R1087" s="324"/>
      <c r="S1087" s="324"/>
      <c r="T1087" s="324"/>
      <c r="U1087" s="324"/>
      <c r="V1087" s="377">
        <v>41200</v>
      </c>
      <c r="W1087" s="198">
        <v>52.25</v>
      </c>
      <c r="X1087" s="349">
        <f t="shared" si="44"/>
        <v>7.6615592350415263E-4</v>
      </c>
      <c r="Y1087" s="198">
        <v>1457.339966</v>
      </c>
      <c r="Z1087" s="349">
        <f t="shared" si="45"/>
        <v>-2.4437288518205369E-3</v>
      </c>
      <c r="AA1087" s="324"/>
      <c r="AB1087" s="324"/>
      <c r="AC1087" s="324"/>
      <c r="AD1087" s="324"/>
      <c r="AE1087" s="324"/>
      <c r="AF1087" s="324"/>
    </row>
    <row r="1088" spans="1:32">
      <c r="A1088" s="324"/>
      <c r="B1088" s="244"/>
      <c r="C1088" s="294"/>
      <c r="D1088" s="235"/>
      <c r="E1088" s="294"/>
      <c r="F1088" s="235"/>
      <c r="G1088" s="324"/>
      <c r="H1088" s="324"/>
      <c r="I1088" s="324"/>
      <c r="J1088" s="324"/>
      <c r="K1088" s="324"/>
      <c r="L1088" s="324"/>
      <c r="M1088" s="294"/>
      <c r="N1088" s="235"/>
      <c r="O1088" s="324"/>
      <c r="P1088" s="235"/>
      <c r="Q1088" s="324"/>
      <c r="R1088" s="324"/>
      <c r="S1088" s="324"/>
      <c r="T1088" s="324"/>
      <c r="U1088" s="324"/>
      <c r="V1088" s="377">
        <v>41199</v>
      </c>
      <c r="W1088" s="198">
        <v>52.209999000000003</v>
      </c>
      <c r="X1088" s="349">
        <f t="shared" si="44"/>
        <v>-4.4822557628979021E-2</v>
      </c>
      <c r="Y1088" s="198">
        <v>1460.910034</v>
      </c>
      <c r="Z1088" s="349">
        <f t="shared" si="45"/>
        <v>4.1170578580604911E-3</v>
      </c>
      <c r="AA1088" s="324"/>
      <c r="AB1088" s="324"/>
      <c r="AC1088" s="324"/>
      <c r="AD1088" s="324"/>
      <c r="AE1088" s="324"/>
      <c r="AF1088" s="324"/>
    </row>
    <row r="1089" spans="1:32">
      <c r="A1089" s="324"/>
      <c r="B1089" s="244"/>
      <c r="C1089" s="294"/>
      <c r="D1089" s="235"/>
      <c r="E1089" s="294"/>
      <c r="F1089" s="235"/>
      <c r="G1089" s="324"/>
      <c r="H1089" s="324"/>
      <c r="I1089" s="324"/>
      <c r="J1089" s="324"/>
      <c r="K1089" s="324"/>
      <c r="L1089" s="324"/>
      <c r="M1089" s="294"/>
      <c r="N1089" s="235"/>
      <c r="O1089" s="324"/>
      <c r="P1089" s="235"/>
      <c r="Q1089" s="324"/>
      <c r="R1089" s="324"/>
      <c r="S1089" s="324"/>
      <c r="T1089" s="324"/>
      <c r="U1089" s="324"/>
      <c r="V1089" s="377">
        <v>41198</v>
      </c>
      <c r="W1089" s="198">
        <v>54.66</v>
      </c>
      <c r="X1089" s="349">
        <f t="shared" si="44"/>
        <v>6.0739552337951697E-3</v>
      </c>
      <c r="Y1089" s="198">
        <v>1454.920044</v>
      </c>
      <c r="Z1089" s="349">
        <f t="shared" si="45"/>
        <v>1.0269933234256845E-2</v>
      </c>
      <c r="AA1089" s="324"/>
      <c r="AB1089" s="324"/>
      <c r="AC1089" s="324"/>
      <c r="AD1089" s="324"/>
      <c r="AE1089" s="324"/>
      <c r="AF1089" s="324"/>
    </row>
    <row r="1090" spans="1:32">
      <c r="A1090" s="324"/>
      <c r="B1090" s="244"/>
      <c r="C1090" s="294"/>
      <c r="D1090" s="235"/>
      <c r="E1090" s="294"/>
      <c r="F1090" s="235"/>
      <c r="G1090" s="324"/>
      <c r="H1090" s="324"/>
      <c r="I1090" s="324"/>
      <c r="J1090" s="324"/>
      <c r="K1090" s="324"/>
      <c r="L1090" s="324"/>
      <c r="M1090" s="294"/>
      <c r="N1090" s="235"/>
      <c r="O1090" s="324"/>
      <c r="P1090" s="235"/>
      <c r="Q1090" s="324"/>
      <c r="R1090" s="324"/>
      <c r="S1090" s="324"/>
      <c r="T1090" s="324"/>
      <c r="U1090" s="324"/>
      <c r="V1090" s="377">
        <v>41197</v>
      </c>
      <c r="W1090" s="198">
        <v>54.330002</v>
      </c>
      <c r="X1090" s="349">
        <f t="shared" si="44"/>
        <v>1.1920339205072406E-2</v>
      </c>
      <c r="Y1090" s="198">
        <v>1440.130005</v>
      </c>
      <c r="Z1090" s="349">
        <f t="shared" si="45"/>
        <v>8.0779224792622006E-3</v>
      </c>
      <c r="AA1090" s="324"/>
      <c r="AB1090" s="324"/>
      <c r="AC1090" s="324"/>
      <c r="AD1090" s="324"/>
      <c r="AE1090" s="324"/>
      <c r="AF1090" s="324"/>
    </row>
    <row r="1091" spans="1:32">
      <c r="A1091" s="324"/>
      <c r="B1091" s="244"/>
      <c r="C1091" s="294"/>
      <c r="D1091" s="235"/>
      <c r="E1091" s="294"/>
      <c r="F1091" s="235"/>
      <c r="G1091" s="324"/>
      <c r="H1091" s="324"/>
      <c r="I1091" s="324"/>
      <c r="J1091" s="324"/>
      <c r="K1091" s="324"/>
      <c r="L1091" s="324"/>
      <c r="M1091" s="294"/>
      <c r="N1091" s="235"/>
      <c r="O1091" s="324"/>
      <c r="P1091" s="235"/>
      <c r="Q1091" s="324"/>
      <c r="R1091" s="324"/>
      <c r="S1091" s="324"/>
      <c r="T1091" s="324"/>
      <c r="U1091" s="324"/>
      <c r="V1091" s="377">
        <v>41194</v>
      </c>
      <c r="W1091" s="198">
        <v>53.689999</v>
      </c>
      <c r="X1091" s="349">
        <f t="shared" si="44"/>
        <v>-1.4878370838757871E-3</v>
      </c>
      <c r="Y1091" s="198">
        <v>1428.589966</v>
      </c>
      <c r="Z1091" s="349">
        <f t="shared" si="45"/>
        <v>-2.9661372524836249E-3</v>
      </c>
      <c r="AA1091" s="324"/>
      <c r="AB1091" s="324"/>
      <c r="AC1091" s="324"/>
      <c r="AD1091" s="324"/>
      <c r="AE1091" s="324"/>
      <c r="AF1091" s="324"/>
    </row>
    <row r="1092" spans="1:32">
      <c r="A1092" s="324"/>
      <c r="B1092" s="244"/>
      <c r="C1092" s="294"/>
      <c r="D1092" s="235"/>
      <c r="E1092" s="294"/>
      <c r="F1092" s="235"/>
      <c r="G1092" s="324"/>
      <c r="H1092" s="324"/>
      <c r="I1092" s="324"/>
      <c r="J1092" s="324"/>
      <c r="K1092" s="324"/>
      <c r="L1092" s="324"/>
      <c r="M1092" s="294"/>
      <c r="N1092" s="235"/>
      <c r="O1092" s="324"/>
      <c r="P1092" s="235"/>
      <c r="Q1092" s="324"/>
      <c r="R1092" s="324"/>
      <c r="S1092" s="324"/>
      <c r="T1092" s="324"/>
      <c r="U1092" s="324"/>
      <c r="V1092" s="377">
        <v>41193</v>
      </c>
      <c r="W1092" s="198">
        <v>53.77</v>
      </c>
      <c r="X1092" s="349">
        <f t="shared" si="44"/>
        <v>-1.6710174216296725E-3</v>
      </c>
      <c r="Y1092" s="198">
        <v>1432.839966</v>
      </c>
      <c r="Z1092" s="349">
        <f t="shared" si="45"/>
        <v>1.9538936482388358E-4</v>
      </c>
      <c r="AA1092" s="324"/>
      <c r="AB1092" s="324"/>
      <c r="AC1092" s="324"/>
      <c r="AD1092" s="324"/>
      <c r="AE1092" s="324"/>
      <c r="AF1092" s="324"/>
    </row>
    <row r="1093" spans="1:32">
      <c r="A1093" s="324"/>
      <c r="B1093" s="244"/>
      <c r="C1093" s="294"/>
      <c r="D1093" s="235"/>
      <c r="E1093" s="294"/>
      <c r="F1093" s="235"/>
      <c r="G1093" s="324"/>
      <c r="H1093" s="324"/>
      <c r="I1093" s="324"/>
      <c r="J1093" s="324"/>
      <c r="K1093" s="324"/>
      <c r="L1093" s="324"/>
      <c r="M1093" s="294"/>
      <c r="N1093" s="235"/>
      <c r="O1093" s="324"/>
      <c r="P1093" s="235"/>
      <c r="Q1093" s="324"/>
      <c r="R1093" s="324"/>
      <c r="S1093" s="324"/>
      <c r="T1093" s="324"/>
      <c r="U1093" s="324"/>
      <c r="V1093" s="377">
        <v>41192</v>
      </c>
      <c r="W1093" s="198">
        <v>53.860000999999997</v>
      </c>
      <c r="X1093" s="349">
        <f t="shared" si="44"/>
        <v>-2.5925740740740943E-3</v>
      </c>
      <c r="Y1093" s="198">
        <v>1432.5600589999999</v>
      </c>
      <c r="Z1093" s="349">
        <f t="shared" si="45"/>
        <v>-6.1880297498132508E-3</v>
      </c>
      <c r="AA1093" s="324"/>
      <c r="AB1093" s="324"/>
      <c r="AC1093" s="324"/>
      <c r="AD1093" s="324"/>
      <c r="AE1093" s="324"/>
      <c r="AF1093" s="324"/>
    </row>
    <row r="1094" spans="1:32">
      <c r="A1094" s="324"/>
      <c r="B1094" s="244"/>
      <c r="C1094" s="294"/>
      <c r="D1094" s="235"/>
      <c r="E1094" s="294"/>
      <c r="F1094" s="235"/>
      <c r="G1094" s="324"/>
      <c r="H1094" s="324"/>
      <c r="I1094" s="324"/>
      <c r="J1094" s="324"/>
      <c r="K1094" s="324"/>
      <c r="L1094" s="324"/>
      <c r="M1094" s="294"/>
      <c r="N1094" s="235"/>
      <c r="O1094" s="324"/>
      <c r="P1094" s="235"/>
      <c r="Q1094" s="324"/>
      <c r="R1094" s="324"/>
      <c r="S1094" s="324"/>
      <c r="T1094" s="324"/>
      <c r="U1094" s="324"/>
      <c r="V1094" s="377">
        <v>41191</v>
      </c>
      <c r="W1094" s="198">
        <v>54</v>
      </c>
      <c r="X1094" s="349">
        <f t="shared" si="44"/>
        <v>-7.5353795258223943E-3</v>
      </c>
      <c r="Y1094" s="198">
        <v>1441.4799800000001</v>
      </c>
      <c r="Z1094" s="349">
        <f t="shared" si="45"/>
        <v>-9.8909422140184278E-3</v>
      </c>
      <c r="AA1094" s="324"/>
      <c r="AB1094" s="324"/>
      <c r="AC1094" s="324"/>
      <c r="AD1094" s="324"/>
      <c r="AE1094" s="324"/>
      <c r="AF1094" s="324"/>
    </row>
    <row r="1095" spans="1:32">
      <c r="A1095" s="324"/>
      <c r="B1095" s="244"/>
      <c r="C1095" s="294"/>
      <c r="D1095" s="235"/>
      <c r="E1095" s="294"/>
      <c r="F1095" s="235"/>
      <c r="G1095" s="324"/>
      <c r="H1095" s="324"/>
      <c r="I1095" s="324"/>
      <c r="J1095" s="324"/>
      <c r="K1095" s="324"/>
      <c r="L1095" s="324"/>
      <c r="M1095" s="294"/>
      <c r="N1095" s="235"/>
      <c r="O1095" s="324"/>
      <c r="P1095" s="235"/>
      <c r="Q1095" s="324"/>
      <c r="R1095" s="324"/>
      <c r="S1095" s="324"/>
      <c r="T1095" s="324"/>
      <c r="U1095" s="324"/>
      <c r="V1095" s="377">
        <v>41190</v>
      </c>
      <c r="W1095" s="198">
        <v>54.41</v>
      </c>
      <c r="X1095" s="349">
        <f t="shared" si="44"/>
        <v>-1.4490110749685203E-2</v>
      </c>
      <c r="Y1095" s="198">
        <v>1455.880005</v>
      </c>
      <c r="Z1095" s="349">
        <f t="shared" si="45"/>
        <v>-3.4567356501243873E-3</v>
      </c>
      <c r="AA1095" s="324"/>
      <c r="AB1095" s="324"/>
      <c r="AC1095" s="324"/>
      <c r="AD1095" s="324"/>
      <c r="AE1095" s="324"/>
      <c r="AF1095" s="324"/>
    </row>
    <row r="1096" spans="1:32">
      <c r="A1096" s="324"/>
      <c r="B1096" s="244"/>
      <c r="C1096" s="294"/>
      <c r="D1096" s="235"/>
      <c r="E1096" s="294"/>
      <c r="F1096" s="235"/>
      <c r="G1096" s="324"/>
      <c r="H1096" s="324"/>
      <c r="I1096" s="324"/>
      <c r="J1096" s="324"/>
      <c r="K1096" s="324"/>
      <c r="L1096" s="324"/>
      <c r="M1096" s="294"/>
      <c r="N1096" s="235"/>
      <c r="O1096" s="324"/>
      <c r="P1096" s="235"/>
      <c r="Q1096" s="324"/>
      <c r="R1096" s="324"/>
      <c r="S1096" s="324"/>
      <c r="T1096" s="324"/>
      <c r="U1096" s="324"/>
      <c r="V1096" s="377">
        <v>41187</v>
      </c>
      <c r="W1096" s="198">
        <v>55.209999000000003</v>
      </c>
      <c r="X1096" s="349">
        <f t="shared" si="44"/>
        <v>-1.0573476891997724E-2</v>
      </c>
      <c r="Y1096" s="198">
        <v>1460.9300539999999</v>
      </c>
      <c r="Z1096" s="349">
        <f t="shared" si="45"/>
        <v>-3.2158888208699832E-4</v>
      </c>
      <c r="AA1096" s="324"/>
      <c r="AB1096" s="324"/>
      <c r="AC1096" s="324"/>
      <c r="AD1096" s="324"/>
      <c r="AE1096" s="324"/>
      <c r="AF1096" s="324"/>
    </row>
    <row r="1097" spans="1:32">
      <c r="A1097" s="324"/>
      <c r="B1097" s="244"/>
      <c r="C1097" s="294"/>
      <c r="D1097" s="235"/>
      <c r="E1097" s="294"/>
      <c r="F1097" s="235"/>
      <c r="G1097" s="324"/>
      <c r="H1097" s="324"/>
      <c r="I1097" s="324"/>
      <c r="J1097" s="324"/>
      <c r="K1097" s="324"/>
      <c r="L1097" s="324"/>
      <c r="M1097" s="294"/>
      <c r="N1097" s="235"/>
      <c r="O1097" s="324"/>
      <c r="P1097" s="235"/>
      <c r="Q1097" s="324"/>
      <c r="R1097" s="324"/>
      <c r="S1097" s="324"/>
      <c r="T1097" s="324"/>
      <c r="U1097" s="324"/>
      <c r="V1097" s="377">
        <v>41186</v>
      </c>
      <c r="W1097" s="198">
        <v>55.799999</v>
      </c>
      <c r="X1097" s="349">
        <f t="shared" ref="X1097:X1160" si="46">W1097/W1098-1</f>
        <v>1.7920774011104257E-4</v>
      </c>
      <c r="Y1097" s="198">
        <v>1461.400024</v>
      </c>
      <c r="Z1097" s="349">
        <f t="shared" ref="Z1097:Z1160" si="47">Y1097/Y1098-1</f>
        <v>7.1744354349405626E-3</v>
      </c>
      <c r="AA1097" s="324"/>
      <c r="AB1097" s="324"/>
      <c r="AC1097" s="324"/>
      <c r="AD1097" s="324"/>
      <c r="AE1097" s="324"/>
      <c r="AF1097" s="324"/>
    </row>
    <row r="1098" spans="1:32">
      <c r="A1098" s="324"/>
      <c r="B1098" s="244"/>
      <c r="C1098" s="294"/>
      <c r="D1098" s="235"/>
      <c r="E1098" s="294"/>
      <c r="F1098" s="235"/>
      <c r="G1098" s="324"/>
      <c r="H1098" s="324"/>
      <c r="I1098" s="324"/>
      <c r="J1098" s="324"/>
      <c r="K1098" s="324"/>
      <c r="L1098" s="324"/>
      <c r="M1098" s="294"/>
      <c r="N1098" s="235"/>
      <c r="O1098" s="324"/>
      <c r="P1098" s="235"/>
      <c r="Q1098" s="324"/>
      <c r="R1098" s="324"/>
      <c r="S1098" s="324"/>
      <c r="T1098" s="324"/>
      <c r="U1098" s="324"/>
      <c r="V1098" s="377">
        <v>41185</v>
      </c>
      <c r="W1098" s="198">
        <v>55.790000999999997</v>
      </c>
      <c r="X1098" s="349">
        <f t="shared" si="46"/>
        <v>5.9502705724894245E-3</v>
      </c>
      <c r="Y1098" s="198">
        <v>1450.98999</v>
      </c>
      <c r="Z1098" s="349">
        <f t="shared" si="47"/>
        <v>3.6244094760504719E-3</v>
      </c>
      <c r="AA1098" s="324"/>
      <c r="AB1098" s="324"/>
      <c r="AC1098" s="324"/>
      <c r="AD1098" s="324"/>
      <c r="AE1098" s="324"/>
      <c r="AF1098" s="324"/>
    </row>
    <row r="1099" spans="1:32">
      <c r="A1099" s="324"/>
      <c r="B1099" s="244"/>
      <c r="C1099" s="294"/>
      <c r="D1099" s="235"/>
      <c r="E1099" s="294"/>
      <c r="F1099" s="235"/>
      <c r="G1099" s="324"/>
      <c r="H1099" s="324"/>
      <c r="I1099" s="324"/>
      <c r="J1099" s="324"/>
      <c r="K1099" s="324"/>
      <c r="L1099" s="324"/>
      <c r="M1099" s="294"/>
      <c r="N1099" s="235"/>
      <c r="O1099" s="324"/>
      <c r="P1099" s="235"/>
      <c r="Q1099" s="324"/>
      <c r="R1099" s="324"/>
      <c r="S1099" s="324"/>
      <c r="T1099" s="324"/>
      <c r="U1099" s="324"/>
      <c r="V1099" s="377">
        <v>41184</v>
      </c>
      <c r="W1099" s="198">
        <v>55.459999000000003</v>
      </c>
      <c r="X1099" s="349">
        <f t="shared" si="46"/>
        <v>4.3462150607349592E-3</v>
      </c>
      <c r="Y1099" s="198">
        <v>1445.75</v>
      </c>
      <c r="Z1099" s="349">
        <f t="shared" si="47"/>
        <v>8.7228711082998345E-4</v>
      </c>
      <c r="AA1099" s="324"/>
      <c r="AB1099" s="324"/>
      <c r="AC1099" s="324"/>
      <c r="AD1099" s="324"/>
      <c r="AE1099" s="324"/>
      <c r="AF1099" s="324"/>
    </row>
    <row r="1100" spans="1:32">
      <c r="A1100" s="324"/>
      <c r="B1100" s="244"/>
      <c r="C1100" s="294"/>
      <c r="D1100" s="235"/>
      <c r="E1100" s="294"/>
      <c r="F1100" s="235"/>
      <c r="G1100" s="324"/>
      <c r="H1100" s="324"/>
      <c r="I1100" s="324"/>
      <c r="J1100" s="324"/>
      <c r="K1100" s="324"/>
      <c r="L1100" s="324"/>
      <c r="M1100" s="294"/>
      <c r="N1100" s="235"/>
      <c r="O1100" s="324"/>
      <c r="P1100" s="235"/>
      <c r="Q1100" s="324"/>
      <c r="R1100" s="324"/>
      <c r="S1100" s="324"/>
      <c r="T1100" s="324"/>
      <c r="U1100" s="324"/>
      <c r="V1100" s="377">
        <v>41183</v>
      </c>
      <c r="W1100" s="198">
        <v>55.220001000000003</v>
      </c>
      <c r="X1100" s="349">
        <f t="shared" si="46"/>
        <v>-3.0207201092504299E-2</v>
      </c>
      <c r="Y1100" s="198">
        <v>1444.48999</v>
      </c>
      <c r="Z1100" s="349">
        <f t="shared" si="47"/>
        <v>2.6515065097030277E-3</v>
      </c>
      <c r="AA1100" s="324"/>
      <c r="AB1100" s="324"/>
      <c r="AC1100" s="324"/>
      <c r="AD1100" s="324"/>
      <c r="AE1100" s="324"/>
      <c r="AF1100" s="324"/>
    </row>
    <row r="1101" spans="1:32">
      <c r="A1101" s="324"/>
      <c r="B1101" s="244"/>
      <c r="C1101" s="294"/>
      <c r="D1101" s="235"/>
      <c r="E1101" s="294"/>
      <c r="F1101" s="235"/>
      <c r="G1101" s="324"/>
      <c r="H1101" s="324"/>
      <c r="I1101" s="324"/>
      <c r="J1101" s="324"/>
      <c r="K1101" s="324"/>
      <c r="L1101" s="324"/>
      <c r="M1101" s="294"/>
      <c r="N1101" s="235"/>
      <c r="O1101" s="324"/>
      <c r="P1101" s="235"/>
      <c r="Q1101" s="324"/>
      <c r="R1101" s="324"/>
      <c r="S1101" s="324"/>
      <c r="T1101" s="324"/>
      <c r="U1101" s="324"/>
      <c r="V1101" s="377">
        <v>41180</v>
      </c>
      <c r="W1101" s="198">
        <v>56.939999</v>
      </c>
      <c r="X1101" s="349">
        <f t="shared" si="46"/>
        <v>5.2966102630049861E-3</v>
      </c>
      <c r="Y1101" s="198">
        <v>1440.670044</v>
      </c>
      <c r="Z1101" s="349">
        <f t="shared" si="47"/>
        <v>-4.4777527502567471E-3</v>
      </c>
      <c r="AA1101" s="324"/>
      <c r="AB1101" s="324"/>
      <c r="AC1101" s="324"/>
      <c r="AD1101" s="324"/>
      <c r="AE1101" s="324"/>
      <c r="AF1101" s="324"/>
    </row>
    <row r="1102" spans="1:32">
      <c r="A1102" s="324"/>
      <c r="B1102" s="244"/>
      <c r="C1102" s="294"/>
      <c r="D1102" s="235"/>
      <c r="E1102" s="294"/>
      <c r="F1102" s="235"/>
      <c r="G1102" s="324"/>
      <c r="H1102" s="324"/>
      <c r="I1102" s="324"/>
      <c r="J1102" s="324"/>
      <c r="K1102" s="324"/>
      <c r="L1102" s="324"/>
      <c r="M1102" s="294"/>
      <c r="N1102" s="235"/>
      <c r="O1102" s="324"/>
      <c r="P1102" s="235"/>
      <c r="Q1102" s="324"/>
      <c r="R1102" s="324"/>
      <c r="S1102" s="324"/>
      <c r="T1102" s="324"/>
      <c r="U1102" s="324"/>
      <c r="V1102" s="377">
        <v>41179</v>
      </c>
      <c r="W1102" s="198">
        <v>56.639999000000003</v>
      </c>
      <c r="X1102" s="349">
        <f t="shared" si="46"/>
        <v>3.6223911452616386E-2</v>
      </c>
      <c r="Y1102" s="198">
        <v>1447.150024</v>
      </c>
      <c r="Z1102" s="349">
        <f t="shared" si="47"/>
        <v>9.6489817493965457E-3</v>
      </c>
      <c r="AA1102" s="324"/>
      <c r="AB1102" s="324"/>
      <c r="AC1102" s="324"/>
      <c r="AD1102" s="324"/>
      <c r="AE1102" s="324"/>
      <c r="AF1102" s="324"/>
    </row>
    <row r="1103" spans="1:32">
      <c r="A1103" s="324"/>
      <c r="B1103" s="244"/>
      <c r="C1103" s="294"/>
      <c r="D1103" s="235"/>
      <c r="E1103" s="294"/>
      <c r="F1103" s="235"/>
      <c r="G1103" s="324"/>
      <c r="H1103" s="324"/>
      <c r="I1103" s="324"/>
      <c r="J1103" s="324"/>
      <c r="K1103" s="324"/>
      <c r="L1103" s="324"/>
      <c r="M1103" s="294"/>
      <c r="N1103" s="235"/>
      <c r="O1103" s="324"/>
      <c r="P1103" s="235"/>
      <c r="Q1103" s="324"/>
      <c r="R1103" s="324"/>
      <c r="S1103" s="324"/>
      <c r="T1103" s="324"/>
      <c r="U1103" s="324"/>
      <c r="V1103" s="377">
        <v>41178</v>
      </c>
      <c r="W1103" s="198">
        <v>54.66</v>
      </c>
      <c r="X1103" s="349">
        <f t="shared" si="46"/>
        <v>-7.6253083650941189E-3</v>
      </c>
      <c r="Y1103" s="198">
        <v>1433.3199460000001</v>
      </c>
      <c r="Z1103" s="349">
        <f t="shared" si="47"/>
        <v>-5.7367352680366412E-3</v>
      </c>
      <c r="AA1103" s="324"/>
      <c r="AB1103" s="324"/>
      <c r="AC1103" s="324"/>
      <c r="AD1103" s="324"/>
      <c r="AE1103" s="324"/>
      <c r="AF1103" s="324"/>
    </row>
    <row r="1104" spans="1:32">
      <c r="A1104" s="324"/>
      <c r="B1104" s="244"/>
      <c r="C1104" s="294"/>
      <c r="D1104" s="235"/>
      <c r="E1104" s="294"/>
      <c r="F1104" s="235"/>
      <c r="G1104" s="324"/>
      <c r="H1104" s="324"/>
      <c r="I1104" s="324"/>
      <c r="J1104" s="324"/>
      <c r="K1104" s="324"/>
      <c r="L1104" s="324"/>
      <c r="M1104" s="294"/>
      <c r="N1104" s="235"/>
      <c r="O1104" s="324"/>
      <c r="P1104" s="235"/>
      <c r="Q1104" s="324"/>
      <c r="R1104" s="324"/>
      <c r="S1104" s="324"/>
      <c r="T1104" s="324"/>
      <c r="U1104" s="324"/>
      <c r="V1104" s="377">
        <v>41177</v>
      </c>
      <c r="W1104" s="198">
        <v>55.080002</v>
      </c>
      <c r="X1104" s="349">
        <f t="shared" si="46"/>
        <v>-4.2752849448160379E-2</v>
      </c>
      <c r="Y1104" s="198">
        <v>1441.589966</v>
      </c>
      <c r="Z1104" s="349">
        <f t="shared" si="47"/>
        <v>-1.0501855900220458E-2</v>
      </c>
      <c r="AA1104" s="324"/>
      <c r="AB1104" s="324"/>
      <c r="AC1104" s="324"/>
      <c r="AD1104" s="324"/>
      <c r="AE1104" s="324"/>
      <c r="AF1104" s="324"/>
    </row>
    <row r="1105" spans="1:32">
      <c r="A1105" s="324"/>
      <c r="B1105" s="244"/>
      <c r="C1105" s="294"/>
      <c r="D1105" s="235"/>
      <c r="E1105" s="294"/>
      <c r="F1105" s="235"/>
      <c r="G1105" s="324"/>
      <c r="H1105" s="324"/>
      <c r="I1105" s="324"/>
      <c r="J1105" s="324"/>
      <c r="K1105" s="324"/>
      <c r="L1105" s="324"/>
      <c r="M1105" s="294"/>
      <c r="N1105" s="235"/>
      <c r="O1105" s="324"/>
      <c r="P1105" s="235"/>
      <c r="Q1105" s="324"/>
      <c r="R1105" s="324"/>
      <c r="S1105" s="324"/>
      <c r="T1105" s="324"/>
      <c r="U1105" s="324"/>
      <c r="V1105" s="377">
        <v>41176</v>
      </c>
      <c r="W1105" s="198">
        <v>57.540000999999997</v>
      </c>
      <c r="X1105" s="349">
        <f t="shared" si="46"/>
        <v>-1.7348716470312331E-3</v>
      </c>
      <c r="Y1105" s="198">
        <v>1456.8900149999999</v>
      </c>
      <c r="Z1105" s="349">
        <f t="shared" si="47"/>
        <v>-2.2326534578066548E-3</v>
      </c>
      <c r="AA1105" s="324"/>
      <c r="AB1105" s="324"/>
      <c r="AC1105" s="324"/>
      <c r="AD1105" s="324"/>
      <c r="AE1105" s="324"/>
      <c r="AF1105" s="324"/>
    </row>
    <row r="1106" spans="1:32">
      <c r="A1106" s="324"/>
      <c r="B1106" s="244"/>
      <c r="C1106" s="294"/>
      <c r="D1106" s="235"/>
      <c r="E1106" s="294"/>
      <c r="F1106" s="235"/>
      <c r="G1106" s="324"/>
      <c r="H1106" s="324"/>
      <c r="I1106" s="324"/>
      <c r="J1106" s="324"/>
      <c r="K1106" s="324"/>
      <c r="L1106" s="324"/>
      <c r="M1106" s="294"/>
      <c r="N1106" s="235"/>
      <c r="O1106" s="324"/>
      <c r="P1106" s="235"/>
      <c r="Q1106" s="324"/>
      <c r="R1106" s="324"/>
      <c r="S1106" s="324"/>
      <c r="T1106" s="324"/>
      <c r="U1106" s="324"/>
      <c r="V1106" s="377">
        <v>41173</v>
      </c>
      <c r="W1106" s="198">
        <v>57.639999000000003</v>
      </c>
      <c r="X1106" s="349">
        <f t="shared" si="46"/>
        <v>1.4074577762139384E-2</v>
      </c>
      <c r="Y1106" s="198">
        <v>1460.150024</v>
      </c>
      <c r="Z1106" s="349">
        <f t="shared" si="47"/>
        <v>-7.5319463141321208E-5</v>
      </c>
      <c r="AA1106" s="324"/>
      <c r="AB1106" s="324"/>
      <c r="AC1106" s="324"/>
      <c r="AD1106" s="324"/>
      <c r="AE1106" s="324"/>
      <c r="AF1106" s="324"/>
    </row>
    <row r="1107" spans="1:32">
      <c r="A1107" s="324"/>
      <c r="B1107" s="244"/>
      <c r="C1107" s="294"/>
      <c r="D1107" s="235"/>
      <c r="E1107" s="294"/>
      <c r="F1107" s="235"/>
      <c r="G1107" s="324"/>
      <c r="H1107" s="324"/>
      <c r="I1107" s="324"/>
      <c r="J1107" s="324"/>
      <c r="K1107" s="324"/>
      <c r="L1107" s="324"/>
      <c r="M1107" s="294"/>
      <c r="N1107" s="235"/>
      <c r="O1107" s="324"/>
      <c r="P1107" s="235"/>
      <c r="Q1107" s="324"/>
      <c r="R1107" s="324"/>
      <c r="S1107" s="324"/>
      <c r="T1107" s="324"/>
      <c r="U1107" s="324"/>
      <c r="V1107" s="377">
        <v>41172</v>
      </c>
      <c r="W1107" s="198">
        <v>56.84</v>
      </c>
      <c r="X1107" s="349">
        <f t="shared" si="46"/>
        <v>-1.2851718900600217E-2</v>
      </c>
      <c r="Y1107" s="198">
        <v>1460.26001</v>
      </c>
      <c r="Z1107" s="349">
        <f t="shared" si="47"/>
        <v>-5.4073370076590521E-4</v>
      </c>
      <c r="AA1107" s="324"/>
      <c r="AB1107" s="324"/>
      <c r="AC1107" s="324"/>
      <c r="AD1107" s="324"/>
      <c r="AE1107" s="324"/>
      <c r="AF1107" s="324"/>
    </row>
    <row r="1108" spans="1:32">
      <c r="A1108" s="324"/>
      <c r="B1108" s="244"/>
      <c r="C1108" s="294"/>
      <c r="D1108" s="235"/>
      <c r="E1108" s="294"/>
      <c r="F1108" s="235"/>
      <c r="G1108" s="324"/>
      <c r="H1108" s="324"/>
      <c r="I1108" s="324"/>
      <c r="J1108" s="324"/>
      <c r="K1108" s="324"/>
      <c r="L1108" s="324"/>
      <c r="M1108" s="294"/>
      <c r="N1108" s="235"/>
      <c r="O1108" s="324"/>
      <c r="P1108" s="235"/>
      <c r="Q1108" s="324"/>
      <c r="R1108" s="324"/>
      <c r="S1108" s="324"/>
      <c r="T1108" s="324"/>
      <c r="U1108" s="324"/>
      <c r="V1108" s="377">
        <v>41171</v>
      </c>
      <c r="W1108" s="198">
        <v>57.580002</v>
      </c>
      <c r="X1108" s="349">
        <f t="shared" si="46"/>
        <v>6.4674533554875957E-3</v>
      </c>
      <c r="Y1108" s="198">
        <v>1461.0500489999999</v>
      </c>
      <c r="Z1108" s="349">
        <f t="shared" si="47"/>
        <v>1.1855542746073144E-3</v>
      </c>
      <c r="AA1108" s="324"/>
      <c r="AB1108" s="324"/>
      <c r="AC1108" s="324"/>
      <c r="AD1108" s="324"/>
      <c r="AE1108" s="324"/>
      <c r="AF1108" s="324"/>
    </row>
    <row r="1109" spans="1:32">
      <c r="A1109" s="324"/>
      <c r="B1109" s="244"/>
      <c r="C1109" s="294"/>
      <c r="D1109" s="235"/>
      <c r="E1109" s="294"/>
      <c r="F1109" s="235"/>
      <c r="G1109" s="324"/>
      <c r="H1109" s="324"/>
      <c r="I1109" s="324"/>
      <c r="J1109" s="324"/>
      <c r="K1109" s="324"/>
      <c r="L1109" s="324"/>
      <c r="M1109" s="294"/>
      <c r="N1109" s="235"/>
      <c r="O1109" s="324"/>
      <c r="P1109" s="235"/>
      <c r="Q1109" s="324"/>
      <c r="R1109" s="324"/>
      <c r="S1109" s="324"/>
      <c r="T1109" s="324"/>
      <c r="U1109" s="324"/>
      <c r="V1109" s="377">
        <v>41170</v>
      </c>
      <c r="W1109" s="198">
        <v>57.209999000000003</v>
      </c>
      <c r="X1109" s="349">
        <f t="shared" si="46"/>
        <v>-2.4053224565902753E-2</v>
      </c>
      <c r="Y1109" s="198">
        <v>1459.3199460000001</v>
      </c>
      <c r="Z1109" s="349">
        <f t="shared" si="47"/>
        <v>-1.2797754402280592E-3</v>
      </c>
      <c r="AA1109" s="324"/>
      <c r="AB1109" s="324"/>
      <c r="AC1109" s="324"/>
      <c r="AD1109" s="324"/>
      <c r="AE1109" s="324"/>
      <c r="AF1109" s="324"/>
    </row>
    <row r="1110" spans="1:32">
      <c r="A1110" s="324"/>
      <c r="B1110" s="244"/>
      <c r="C1110" s="294"/>
      <c r="D1110" s="235"/>
      <c r="E1110" s="294"/>
      <c r="F1110" s="235"/>
      <c r="G1110" s="324"/>
      <c r="H1110" s="324"/>
      <c r="I1110" s="324"/>
      <c r="J1110" s="324"/>
      <c r="K1110" s="324"/>
      <c r="L1110" s="324"/>
      <c r="M1110" s="294"/>
      <c r="N1110" s="235"/>
      <c r="O1110" s="324"/>
      <c r="P1110" s="235"/>
      <c r="Q1110" s="324"/>
      <c r="R1110" s="324"/>
      <c r="S1110" s="324"/>
      <c r="T1110" s="324"/>
      <c r="U1110" s="324"/>
      <c r="V1110" s="377">
        <v>41169</v>
      </c>
      <c r="W1110" s="198">
        <v>58.619999</v>
      </c>
      <c r="X1110" s="349">
        <f t="shared" si="46"/>
        <v>-2.3000016666666623E-2</v>
      </c>
      <c r="Y1110" s="198">
        <v>1461.1899410000001</v>
      </c>
      <c r="Z1110" s="349">
        <f t="shared" si="47"/>
        <v>-3.1246914164609896E-3</v>
      </c>
      <c r="AA1110" s="324"/>
      <c r="AB1110" s="324"/>
      <c r="AC1110" s="324"/>
      <c r="AD1110" s="324"/>
      <c r="AE1110" s="324"/>
      <c r="AF1110" s="324"/>
    </row>
    <row r="1111" spans="1:32">
      <c r="A1111" s="324"/>
      <c r="B1111" s="244"/>
      <c r="C1111" s="294"/>
      <c r="D1111" s="235"/>
      <c r="E1111" s="294"/>
      <c r="F1111" s="235"/>
      <c r="G1111" s="324"/>
      <c r="H1111" s="324"/>
      <c r="I1111" s="324"/>
      <c r="J1111" s="324"/>
      <c r="K1111" s="324"/>
      <c r="L1111" s="324"/>
      <c r="M1111" s="294"/>
      <c r="N1111" s="235"/>
      <c r="O1111" s="324"/>
      <c r="P1111" s="235"/>
      <c r="Q1111" s="324"/>
      <c r="R1111" s="324"/>
      <c r="S1111" s="324"/>
      <c r="T1111" s="324"/>
      <c r="U1111" s="324"/>
      <c r="V1111" s="377">
        <v>41166</v>
      </c>
      <c r="W1111" s="198">
        <v>60</v>
      </c>
      <c r="X1111" s="349">
        <f t="shared" si="46"/>
        <v>1.7121511540209911E-2</v>
      </c>
      <c r="Y1111" s="198">
        <v>1465.7700199999999</v>
      </c>
      <c r="Z1111" s="349">
        <f t="shared" si="47"/>
        <v>3.9589518007585589E-3</v>
      </c>
      <c r="AA1111" s="324"/>
      <c r="AB1111" s="324"/>
      <c r="AC1111" s="324"/>
      <c r="AD1111" s="324"/>
      <c r="AE1111" s="324"/>
      <c r="AF1111" s="324"/>
    </row>
    <row r="1112" spans="1:32">
      <c r="A1112" s="324"/>
      <c r="B1112" s="244"/>
      <c r="C1112" s="294"/>
      <c r="D1112" s="235"/>
      <c r="E1112" s="294"/>
      <c r="F1112" s="235"/>
      <c r="G1112" s="324"/>
      <c r="H1112" s="324"/>
      <c r="I1112" s="324"/>
      <c r="J1112" s="324"/>
      <c r="K1112" s="324"/>
      <c r="L1112" s="324"/>
      <c r="M1112" s="294"/>
      <c r="N1112" s="235"/>
      <c r="O1112" s="324"/>
      <c r="P1112" s="235"/>
      <c r="Q1112" s="324"/>
      <c r="R1112" s="324"/>
      <c r="S1112" s="324"/>
      <c r="T1112" s="324"/>
      <c r="U1112" s="324"/>
      <c r="V1112" s="377">
        <v>41165</v>
      </c>
      <c r="W1112" s="198">
        <v>58.990001999999997</v>
      </c>
      <c r="X1112" s="349">
        <f t="shared" si="46"/>
        <v>2.9134717376133823E-2</v>
      </c>
      <c r="Y1112" s="198">
        <v>1459.98999</v>
      </c>
      <c r="Z1112" s="349">
        <f t="shared" si="47"/>
        <v>1.6309746921621793E-2</v>
      </c>
      <c r="AA1112" s="324"/>
      <c r="AB1112" s="324"/>
      <c r="AC1112" s="324"/>
      <c r="AD1112" s="324"/>
      <c r="AE1112" s="324"/>
      <c r="AF1112" s="324"/>
    </row>
    <row r="1113" spans="1:32">
      <c r="A1113" s="324"/>
      <c r="B1113" s="244"/>
      <c r="C1113" s="294"/>
      <c r="D1113" s="235"/>
      <c r="E1113" s="294"/>
      <c r="F1113" s="235"/>
      <c r="G1113" s="324"/>
      <c r="H1113" s="324"/>
      <c r="I1113" s="324"/>
      <c r="J1113" s="324"/>
      <c r="K1113" s="324"/>
      <c r="L1113" s="324"/>
      <c r="M1113" s="294"/>
      <c r="N1113" s="235"/>
      <c r="O1113" s="324"/>
      <c r="P1113" s="235"/>
      <c r="Q1113" s="324"/>
      <c r="R1113" s="324"/>
      <c r="S1113" s="324"/>
      <c r="T1113" s="324"/>
      <c r="U1113" s="324"/>
      <c r="V1113" s="377">
        <v>41164</v>
      </c>
      <c r="W1113" s="198">
        <v>57.32</v>
      </c>
      <c r="X1113" s="349">
        <f t="shared" si="46"/>
        <v>2.4484085344527173E-3</v>
      </c>
      <c r="Y1113" s="198">
        <v>1436.5600589999999</v>
      </c>
      <c r="Z1113" s="349">
        <f t="shared" si="47"/>
        <v>2.092692232296578E-3</v>
      </c>
      <c r="AA1113" s="324"/>
      <c r="AB1113" s="324"/>
      <c r="AC1113" s="324"/>
      <c r="AD1113" s="324"/>
      <c r="AE1113" s="324"/>
      <c r="AF1113" s="324"/>
    </row>
    <row r="1114" spans="1:32">
      <c r="A1114" s="324"/>
      <c r="B1114" s="244"/>
      <c r="C1114" s="294"/>
      <c r="D1114" s="235"/>
      <c r="E1114" s="294"/>
      <c r="F1114" s="235"/>
      <c r="G1114" s="324"/>
      <c r="H1114" s="324"/>
      <c r="I1114" s="324"/>
      <c r="J1114" s="324"/>
      <c r="K1114" s="324"/>
      <c r="L1114" s="324"/>
      <c r="M1114" s="294"/>
      <c r="N1114" s="235"/>
      <c r="O1114" s="324"/>
      <c r="P1114" s="235"/>
      <c r="Q1114" s="324"/>
      <c r="R1114" s="324"/>
      <c r="S1114" s="324"/>
      <c r="T1114" s="324"/>
      <c r="U1114" s="324"/>
      <c r="V1114" s="377">
        <v>41163</v>
      </c>
      <c r="W1114" s="198">
        <v>57.18</v>
      </c>
      <c r="X1114" s="349">
        <f t="shared" si="46"/>
        <v>-2.1225574160409932E-2</v>
      </c>
      <c r="Y1114" s="198">
        <v>1433.5600589999999</v>
      </c>
      <c r="Z1114" s="349">
        <f t="shared" si="47"/>
        <v>3.1349561521663016E-3</v>
      </c>
      <c r="AA1114" s="324"/>
      <c r="AB1114" s="324"/>
      <c r="AC1114" s="324"/>
      <c r="AD1114" s="324"/>
      <c r="AE1114" s="324"/>
      <c r="AF1114" s="324"/>
    </row>
    <row r="1115" spans="1:32">
      <c r="A1115" s="324"/>
      <c r="B1115" s="244"/>
      <c r="C1115" s="294"/>
      <c r="D1115" s="235"/>
      <c r="E1115" s="294"/>
      <c r="F1115" s="235"/>
      <c r="G1115" s="324"/>
      <c r="H1115" s="324"/>
      <c r="I1115" s="324"/>
      <c r="J1115" s="324"/>
      <c r="K1115" s="324"/>
      <c r="L1115" s="324"/>
      <c r="M1115" s="294"/>
      <c r="N1115" s="235"/>
      <c r="O1115" s="324"/>
      <c r="P1115" s="235"/>
      <c r="Q1115" s="324"/>
      <c r="R1115" s="324"/>
      <c r="S1115" s="324"/>
      <c r="T1115" s="324"/>
      <c r="U1115" s="324"/>
      <c r="V1115" s="377">
        <v>41162</v>
      </c>
      <c r="W1115" s="198">
        <v>58.419998</v>
      </c>
      <c r="X1115" s="349">
        <f t="shared" si="46"/>
        <v>-1.2341571856582578E-2</v>
      </c>
      <c r="Y1115" s="198">
        <v>1429.079956</v>
      </c>
      <c r="Z1115" s="349">
        <f t="shared" si="47"/>
        <v>-6.1478300110544559E-3</v>
      </c>
      <c r="AA1115" s="324"/>
      <c r="AB1115" s="324"/>
      <c r="AC1115" s="324"/>
      <c r="AD1115" s="324"/>
      <c r="AE1115" s="324"/>
      <c r="AF1115" s="324"/>
    </row>
    <row r="1116" spans="1:32">
      <c r="A1116" s="324"/>
      <c r="B1116" s="244"/>
      <c r="C1116" s="294"/>
      <c r="D1116" s="235"/>
      <c r="E1116" s="294"/>
      <c r="F1116" s="235"/>
      <c r="G1116" s="324"/>
      <c r="H1116" s="324"/>
      <c r="I1116" s="324"/>
      <c r="J1116" s="324"/>
      <c r="K1116" s="324"/>
      <c r="L1116" s="324"/>
      <c r="M1116" s="294"/>
      <c r="N1116" s="235"/>
      <c r="O1116" s="324"/>
      <c r="P1116" s="235"/>
      <c r="Q1116" s="324"/>
      <c r="R1116" s="324"/>
      <c r="S1116" s="324"/>
      <c r="T1116" s="324"/>
      <c r="U1116" s="324"/>
      <c r="V1116" s="377">
        <v>41159</v>
      </c>
      <c r="W1116" s="198">
        <v>59.150002000000001</v>
      </c>
      <c r="X1116" s="349">
        <f t="shared" si="46"/>
        <v>8.4609139919100684E-4</v>
      </c>
      <c r="Y1116" s="198">
        <v>1437.920044</v>
      </c>
      <c r="Z1116" s="349">
        <f t="shared" si="47"/>
        <v>4.0499741783159848E-3</v>
      </c>
      <c r="AA1116" s="324"/>
      <c r="AB1116" s="324"/>
      <c r="AC1116" s="324"/>
      <c r="AD1116" s="324"/>
      <c r="AE1116" s="324"/>
      <c r="AF1116" s="324"/>
    </row>
    <row r="1117" spans="1:32">
      <c r="A1117" s="324"/>
      <c r="B1117" s="244"/>
      <c r="C1117" s="294"/>
      <c r="D1117" s="235"/>
      <c r="E1117" s="294"/>
      <c r="F1117" s="235"/>
      <c r="G1117" s="324"/>
      <c r="H1117" s="324"/>
      <c r="I1117" s="324"/>
      <c r="J1117" s="324"/>
      <c r="K1117" s="324"/>
      <c r="L1117" s="324"/>
      <c r="M1117" s="294"/>
      <c r="N1117" s="235"/>
      <c r="O1117" s="324"/>
      <c r="P1117" s="235"/>
      <c r="Q1117" s="324"/>
      <c r="R1117" s="324"/>
      <c r="S1117" s="324"/>
      <c r="T1117" s="324"/>
      <c r="U1117" s="324"/>
      <c r="V1117" s="377">
        <v>41158</v>
      </c>
      <c r="W1117" s="198">
        <v>59.099997999999999</v>
      </c>
      <c r="X1117" s="349">
        <f t="shared" si="46"/>
        <v>3.7023967818074599E-2</v>
      </c>
      <c r="Y1117" s="198">
        <v>1432.119995</v>
      </c>
      <c r="Z1117" s="349">
        <f t="shared" si="47"/>
        <v>2.0435540675552089E-2</v>
      </c>
      <c r="AA1117" s="324"/>
      <c r="AB1117" s="324"/>
      <c r="AC1117" s="324"/>
      <c r="AD1117" s="324"/>
      <c r="AE1117" s="324"/>
      <c r="AF1117" s="324"/>
    </row>
    <row r="1118" spans="1:32">
      <c r="A1118" s="324"/>
      <c r="B1118" s="244"/>
      <c r="C1118" s="294"/>
      <c r="D1118" s="235"/>
      <c r="E1118" s="294"/>
      <c r="F1118" s="235"/>
      <c r="G1118" s="324"/>
      <c r="H1118" s="324"/>
      <c r="I1118" s="324"/>
      <c r="J1118" s="324"/>
      <c r="K1118" s="324"/>
      <c r="L1118" s="324"/>
      <c r="M1118" s="294"/>
      <c r="N1118" s="235"/>
      <c r="O1118" s="324"/>
      <c r="P1118" s="235"/>
      <c r="Q1118" s="324"/>
      <c r="R1118" s="324"/>
      <c r="S1118" s="324"/>
      <c r="T1118" s="324"/>
      <c r="U1118" s="324"/>
      <c r="V1118" s="377">
        <v>41157</v>
      </c>
      <c r="W1118" s="198">
        <v>56.990001999999997</v>
      </c>
      <c r="X1118" s="349">
        <f t="shared" si="46"/>
        <v>-7.0133264424565578E-4</v>
      </c>
      <c r="Y1118" s="198">
        <v>1403.4399410000001</v>
      </c>
      <c r="Z1118" s="349">
        <f t="shared" si="47"/>
        <v>-1.0676612972738697E-3</v>
      </c>
      <c r="AA1118" s="324"/>
      <c r="AB1118" s="324"/>
      <c r="AC1118" s="324"/>
      <c r="AD1118" s="324"/>
      <c r="AE1118" s="324"/>
      <c r="AF1118" s="324"/>
    </row>
    <row r="1119" spans="1:32">
      <c r="A1119" s="324"/>
      <c r="B1119" s="244"/>
      <c r="C1119" s="294"/>
      <c r="D1119" s="235"/>
      <c r="E1119" s="294"/>
      <c r="F1119" s="235"/>
      <c r="G1119" s="324"/>
      <c r="H1119" s="324"/>
      <c r="I1119" s="324"/>
      <c r="J1119" s="324"/>
      <c r="K1119" s="324"/>
      <c r="L1119" s="324"/>
      <c r="M1119" s="294"/>
      <c r="N1119" s="235"/>
      <c r="O1119" s="324"/>
      <c r="P1119" s="235"/>
      <c r="Q1119" s="324"/>
      <c r="R1119" s="324"/>
      <c r="S1119" s="324"/>
      <c r="T1119" s="324"/>
      <c r="U1119" s="324"/>
      <c r="V1119" s="377">
        <v>41156</v>
      </c>
      <c r="W1119" s="198">
        <v>57.029998999999997</v>
      </c>
      <c r="X1119" s="349">
        <f t="shared" si="46"/>
        <v>1.7665916886761002E-2</v>
      </c>
      <c r="Y1119" s="198">
        <v>1404.9399410000001</v>
      </c>
      <c r="Z1119" s="349">
        <f t="shared" si="47"/>
        <v>-1.1659593135848745E-3</v>
      </c>
      <c r="AA1119" s="324"/>
      <c r="AB1119" s="324"/>
      <c r="AC1119" s="324"/>
      <c r="AD1119" s="324"/>
      <c r="AE1119" s="324"/>
      <c r="AF1119" s="324"/>
    </row>
    <row r="1120" spans="1:32">
      <c r="A1120" s="324"/>
      <c r="B1120" s="244"/>
      <c r="C1120" s="294"/>
      <c r="D1120" s="235"/>
      <c r="E1120" s="294"/>
      <c r="F1120" s="235"/>
      <c r="G1120" s="324"/>
      <c r="H1120" s="324"/>
      <c r="I1120" s="324"/>
      <c r="J1120" s="324"/>
      <c r="K1120" s="324"/>
      <c r="L1120" s="324"/>
      <c r="M1120" s="294"/>
      <c r="N1120" s="235"/>
      <c r="O1120" s="324"/>
      <c r="P1120" s="235"/>
      <c r="Q1120" s="324"/>
      <c r="R1120" s="324"/>
      <c r="S1120" s="324"/>
      <c r="T1120" s="324"/>
      <c r="U1120" s="324"/>
      <c r="V1120" s="377">
        <v>41152</v>
      </c>
      <c r="W1120" s="198">
        <v>56.040000999999997</v>
      </c>
      <c r="X1120" s="349">
        <f t="shared" si="46"/>
        <v>2.6838790961509762E-3</v>
      </c>
      <c r="Y1120" s="198">
        <v>1406.579956</v>
      </c>
      <c r="Z1120" s="349">
        <f t="shared" si="47"/>
        <v>5.0732958680836937E-3</v>
      </c>
      <c r="AA1120" s="324"/>
      <c r="AB1120" s="324"/>
      <c r="AC1120" s="324"/>
      <c r="AD1120" s="324"/>
      <c r="AE1120" s="324"/>
      <c r="AF1120" s="324"/>
    </row>
    <row r="1121" spans="1:32">
      <c r="A1121" s="324"/>
      <c r="B1121" s="244"/>
      <c r="C1121" s="294"/>
      <c r="D1121" s="235"/>
      <c r="E1121" s="294"/>
      <c r="F1121" s="235"/>
      <c r="G1121" s="324"/>
      <c r="H1121" s="324"/>
      <c r="I1121" s="324"/>
      <c r="J1121" s="324"/>
      <c r="K1121" s="324"/>
      <c r="L1121" s="324"/>
      <c r="M1121" s="294"/>
      <c r="N1121" s="235"/>
      <c r="O1121" s="324"/>
      <c r="P1121" s="235"/>
      <c r="Q1121" s="324"/>
      <c r="R1121" s="324"/>
      <c r="S1121" s="324"/>
      <c r="T1121" s="324"/>
      <c r="U1121" s="324"/>
      <c r="V1121" s="377">
        <v>41151</v>
      </c>
      <c r="W1121" s="198">
        <v>55.889999000000003</v>
      </c>
      <c r="X1121" s="349">
        <f t="shared" si="46"/>
        <v>-1.9989479571970392E-2</v>
      </c>
      <c r="Y1121" s="198">
        <v>1399.4799800000001</v>
      </c>
      <c r="Z1121" s="349">
        <f t="shared" si="47"/>
        <v>-7.8058051301732601E-3</v>
      </c>
      <c r="AA1121" s="324"/>
      <c r="AB1121" s="324"/>
      <c r="AC1121" s="324"/>
      <c r="AD1121" s="324"/>
      <c r="AE1121" s="324"/>
      <c r="AF1121" s="324"/>
    </row>
    <row r="1122" spans="1:32">
      <c r="A1122" s="324"/>
      <c r="B1122" s="244"/>
      <c r="C1122" s="294"/>
      <c r="D1122" s="235"/>
      <c r="E1122" s="294"/>
      <c r="F1122" s="235"/>
      <c r="G1122" s="324"/>
      <c r="H1122" s="324"/>
      <c r="I1122" s="324"/>
      <c r="J1122" s="324"/>
      <c r="K1122" s="324"/>
      <c r="L1122" s="324"/>
      <c r="M1122" s="294"/>
      <c r="N1122" s="235"/>
      <c r="O1122" s="324"/>
      <c r="P1122" s="235"/>
      <c r="Q1122" s="324"/>
      <c r="R1122" s="324"/>
      <c r="S1122" s="324"/>
      <c r="T1122" s="324"/>
      <c r="U1122" s="324"/>
      <c r="V1122" s="377">
        <v>41150</v>
      </c>
      <c r="W1122" s="198">
        <v>57.029998999999997</v>
      </c>
      <c r="X1122" s="349">
        <f t="shared" si="46"/>
        <v>2.6370955935812734E-3</v>
      </c>
      <c r="Y1122" s="198">
        <v>1410.48999</v>
      </c>
      <c r="Z1122" s="349">
        <f t="shared" si="47"/>
        <v>8.4434893821550006E-4</v>
      </c>
      <c r="AA1122" s="324"/>
      <c r="AB1122" s="324"/>
      <c r="AC1122" s="324"/>
      <c r="AD1122" s="324"/>
      <c r="AE1122" s="324"/>
      <c r="AF1122" s="324"/>
    </row>
    <row r="1123" spans="1:32">
      <c r="A1123" s="324"/>
      <c r="B1123" s="244"/>
      <c r="C1123" s="294"/>
      <c r="D1123" s="235"/>
      <c r="E1123" s="294"/>
      <c r="F1123" s="235"/>
      <c r="G1123" s="324"/>
      <c r="H1123" s="324"/>
      <c r="I1123" s="324"/>
      <c r="J1123" s="324"/>
      <c r="K1123" s="324"/>
      <c r="L1123" s="324"/>
      <c r="M1123" s="294"/>
      <c r="N1123" s="235"/>
      <c r="O1123" s="324"/>
      <c r="P1123" s="235"/>
      <c r="Q1123" s="324"/>
      <c r="R1123" s="324"/>
      <c r="S1123" s="324"/>
      <c r="T1123" s="324"/>
      <c r="U1123" s="324"/>
      <c r="V1123" s="377">
        <v>41149</v>
      </c>
      <c r="W1123" s="198">
        <v>56.880001</v>
      </c>
      <c r="X1123" s="349">
        <f t="shared" si="46"/>
        <v>-6.4628646288209524E-3</v>
      </c>
      <c r="Y1123" s="198">
        <v>1409.3000489999999</v>
      </c>
      <c r="Z1123" s="349">
        <f t="shared" si="47"/>
        <v>-8.0818187777065287E-4</v>
      </c>
      <c r="AA1123" s="324"/>
      <c r="AB1123" s="324"/>
      <c r="AC1123" s="324"/>
      <c r="AD1123" s="324"/>
      <c r="AE1123" s="324"/>
      <c r="AF1123" s="324"/>
    </row>
    <row r="1124" spans="1:32">
      <c r="A1124" s="324"/>
      <c r="B1124" s="244"/>
      <c r="C1124" s="294"/>
      <c r="D1124" s="235"/>
      <c r="E1124" s="294"/>
      <c r="F1124" s="235"/>
      <c r="G1124" s="324"/>
      <c r="H1124" s="324"/>
      <c r="I1124" s="324"/>
      <c r="J1124" s="324"/>
      <c r="K1124" s="324"/>
      <c r="L1124" s="324"/>
      <c r="M1124" s="294"/>
      <c r="N1124" s="235"/>
      <c r="O1124" s="324"/>
      <c r="P1124" s="235"/>
      <c r="Q1124" s="324"/>
      <c r="R1124" s="324"/>
      <c r="S1124" s="324"/>
      <c r="T1124" s="324"/>
      <c r="U1124" s="324"/>
      <c r="V1124" s="377">
        <v>41148</v>
      </c>
      <c r="W1124" s="198">
        <v>57.25</v>
      </c>
      <c r="X1124" s="349">
        <f t="shared" si="46"/>
        <v>-9.0012117015753068E-3</v>
      </c>
      <c r="Y1124" s="198">
        <v>1410.4399410000001</v>
      </c>
      <c r="Z1124" s="349">
        <f t="shared" si="47"/>
        <v>-4.890151846781432E-4</v>
      </c>
      <c r="AA1124" s="324"/>
      <c r="AB1124" s="324"/>
      <c r="AC1124" s="324"/>
      <c r="AD1124" s="324"/>
      <c r="AE1124" s="324"/>
      <c r="AF1124" s="324"/>
    </row>
    <row r="1125" spans="1:32">
      <c r="A1125" s="324"/>
      <c r="B1125" s="244"/>
      <c r="C1125" s="294"/>
      <c r="D1125" s="235"/>
      <c r="E1125" s="294"/>
      <c r="F1125" s="235"/>
      <c r="G1125" s="324"/>
      <c r="H1125" s="324"/>
      <c r="I1125" s="324"/>
      <c r="J1125" s="324"/>
      <c r="K1125" s="324"/>
      <c r="L1125" s="324"/>
      <c r="M1125" s="294"/>
      <c r="N1125" s="235"/>
      <c r="O1125" s="324"/>
      <c r="P1125" s="235"/>
      <c r="Q1125" s="324"/>
      <c r="R1125" s="324"/>
      <c r="S1125" s="324"/>
      <c r="T1125" s="324"/>
      <c r="U1125" s="324"/>
      <c r="V1125" s="377">
        <v>41145</v>
      </c>
      <c r="W1125" s="198">
        <v>57.77</v>
      </c>
      <c r="X1125" s="349">
        <f t="shared" si="46"/>
        <v>6.9288065130801435E-4</v>
      </c>
      <c r="Y1125" s="198">
        <v>1411.130005</v>
      </c>
      <c r="Z1125" s="349">
        <f t="shared" si="47"/>
        <v>6.4547310310454353E-3</v>
      </c>
      <c r="AA1125" s="324"/>
      <c r="AB1125" s="324"/>
      <c r="AC1125" s="324"/>
      <c r="AD1125" s="324"/>
      <c r="AE1125" s="324"/>
      <c r="AF1125" s="324"/>
    </row>
    <row r="1126" spans="1:32">
      <c r="A1126" s="324"/>
      <c r="B1126" s="244"/>
      <c r="C1126" s="294"/>
      <c r="D1126" s="235"/>
      <c r="E1126" s="294"/>
      <c r="F1126" s="235"/>
      <c r="G1126" s="324"/>
      <c r="H1126" s="324"/>
      <c r="I1126" s="324"/>
      <c r="J1126" s="324"/>
      <c r="K1126" s="324"/>
      <c r="L1126" s="324"/>
      <c r="M1126" s="294"/>
      <c r="N1126" s="235"/>
      <c r="O1126" s="324"/>
      <c r="P1126" s="235"/>
      <c r="Q1126" s="324"/>
      <c r="R1126" s="324"/>
      <c r="S1126" s="324"/>
      <c r="T1126" s="324"/>
      <c r="U1126" s="324"/>
      <c r="V1126" s="377">
        <v>41144</v>
      </c>
      <c r="W1126" s="198">
        <v>57.73</v>
      </c>
      <c r="X1126" s="349">
        <f t="shared" si="46"/>
        <v>-1.1472636593402918E-2</v>
      </c>
      <c r="Y1126" s="198">
        <v>1402.079956</v>
      </c>
      <c r="Z1126" s="349">
        <f t="shared" si="47"/>
        <v>-8.0722425207977455E-3</v>
      </c>
      <c r="AA1126" s="324"/>
      <c r="AB1126" s="324"/>
      <c r="AC1126" s="324"/>
      <c r="AD1126" s="324"/>
      <c r="AE1126" s="324"/>
      <c r="AF1126" s="324"/>
    </row>
    <row r="1127" spans="1:32">
      <c r="A1127" s="324"/>
      <c r="B1127" s="244"/>
      <c r="C1127" s="294"/>
      <c r="D1127" s="235"/>
      <c r="E1127" s="294"/>
      <c r="F1127" s="235"/>
      <c r="G1127" s="324"/>
      <c r="H1127" s="324"/>
      <c r="I1127" s="324"/>
      <c r="J1127" s="324"/>
      <c r="K1127" s="324"/>
      <c r="L1127" s="324"/>
      <c r="M1127" s="294"/>
      <c r="N1127" s="235"/>
      <c r="O1127" s="324"/>
      <c r="P1127" s="235"/>
      <c r="Q1127" s="324"/>
      <c r="R1127" s="324"/>
      <c r="S1127" s="324"/>
      <c r="T1127" s="324"/>
      <c r="U1127" s="324"/>
      <c r="V1127" s="377">
        <v>41143</v>
      </c>
      <c r="W1127" s="198">
        <v>58.400002000000001</v>
      </c>
      <c r="X1127" s="349">
        <f t="shared" si="46"/>
        <v>5.6828310659549075E-3</v>
      </c>
      <c r="Y1127" s="198">
        <v>1413.48999</v>
      </c>
      <c r="Z1127" s="349">
        <f t="shared" si="47"/>
        <v>2.2640304424692559E-4</v>
      </c>
      <c r="AA1127" s="324"/>
      <c r="AB1127" s="324"/>
      <c r="AC1127" s="324"/>
      <c r="AD1127" s="324"/>
      <c r="AE1127" s="324"/>
      <c r="AF1127" s="324"/>
    </row>
    <row r="1128" spans="1:32">
      <c r="A1128" s="324"/>
      <c r="B1128" s="244"/>
      <c r="C1128" s="294"/>
      <c r="D1128" s="235"/>
      <c r="E1128" s="294"/>
      <c r="F1128" s="235"/>
      <c r="G1128" s="324"/>
      <c r="H1128" s="324"/>
      <c r="I1128" s="324"/>
      <c r="J1128" s="324"/>
      <c r="K1128" s="324"/>
      <c r="L1128" s="324"/>
      <c r="M1128" s="294"/>
      <c r="N1128" s="235"/>
      <c r="O1128" s="324"/>
      <c r="P1128" s="235"/>
      <c r="Q1128" s="324"/>
      <c r="R1128" s="324"/>
      <c r="S1128" s="324"/>
      <c r="T1128" s="324"/>
      <c r="U1128" s="324"/>
      <c r="V1128" s="377">
        <v>41142</v>
      </c>
      <c r="W1128" s="198">
        <v>58.07</v>
      </c>
      <c r="X1128" s="349">
        <f t="shared" si="46"/>
        <v>-8.0287152711185916E-3</v>
      </c>
      <c r="Y1128" s="198">
        <v>1413.170044</v>
      </c>
      <c r="Z1128" s="349">
        <f t="shared" si="47"/>
        <v>-3.4975361796960591E-3</v>
      </c>
      <c r="AA1128" s="324"/>
      <c r="AB1128" s="324"/>
      <c r="AC1128" s="324"/>
      <c r="AD1128" s="324"/>
      <c r="AE1128" s="324"/>
      <c r="AF1128" s="324"/>
    </row>
    <row r="1129" spans="1:32">
      <c r="A1129" s="324"/>
      <c r="B1129" s="244"/>
      <c r="C1129" s="294"/>
      <c r="D1129" s="235"/>
      <c r="E1129" s="294"/>
      <c r="F1129" s="235"/>
      <c r="G1129" s="324"/>
      <c r="H1129" s="324"/>
      <c r="I1129" s="324"/>
      <c r="J1129" s="324"/>
      <c r="K1129" s="324"/>
      <c r="L1129" s="324"/>
      <c r="M1129" s="294"/>
      <c r="N1129" s="235"/>
      <c r="O1129" s="324"/>
      <c r="P1129" s="235"/>
      <c r="Q1129" s="324"/>
      <c r="R1129" s="324"/>
      <c r="S1129" s="324"/>
      <c r="T1129" s="324"/>
      <c r="U1129" s="324"/>
      <c r="V1129" s="377">
        <v>41141</v>
      </c>
      <c r="W1129" s="198">
        <v>58.540000999999997</v>
      </c>
      <c r="X1129" s="349">
        <f t="shared" si="46"/>
        <v>-1.4809778351052794E-2</v>
      </c>
      <c r="Y1129" s="198">
        <v>1418.130005</v>
      </c>
      <c r="Z1129" s="349">
        <f t="shared" si="47"/>
        <v>-2.1174620127517585E-5</v>
      </c>
      <c r="AA1129" s="324"/>
      <c r="AB1129" s="324"/>
      <c r="AC1129" s="324"/>
      <c r="AD1129" s="324"/>
      <c r="AE1129" s="324"/>
      <c r="AF1129" s="324"/>
    </row>
    <row r="1130" spans="1:32">
      <c r="A1130" s="324"/>
      <c r="B1130" s="244"/>
      <c r="C1130" s="294"/>
      <c r="D1130" s="235"/>
      <c r="E1130" s="294"/>
      <c r="F1130" s="235"/>
      <c r="G1130" s="324"/>
      <c r="H1130" s="324"/>
      <c r="I1130" s="324"/>
      <c r="J1130" s="324"/>
      <c r="K1130" s="324"/>
      <c r="L1130" s="324"/>
      <c r="M1130" s="294"/>
      <c r="N1130" s="235"/>
      <c r="O1130" s="324"/>
      <c r="P1130" s="235"/>
      <c r="Q1130" s="324"/>
      <c r="R1130" s="324"/>
      <c r="S1130" s="324"/>
      <c r="T1130" s="324"/>
      <c r="U1130" s="324"/>
      <c r="V1130" s="377">
        <v>41138</v>
      </c>
      <c r="W1130" s="198">
        <v>59.419998</v>
      </c>
      <c r="X1130" s="349">
        <f t="shared" si="46"/>
        <v>2.0260919633896979E-2</v>
      </c>
      <c r="Y1130" s="198">
        <v>1418.160034</v>
      </c>
      <c r="Z1130" s="349">
        <f t="shared" si="47"/>
        <v>1.8721337053633214E-3</v>
      </c>
      <c r="AA1130" s="324"/>
      <c r="AB1130" s="324"/>
      <c r="AC1130" s="324"/>
      <c r="AD1130" s="324"/>
      <c r="AE1130" s="324"/>
      <c r="AF1130" s="324"/>
    </row>
    <row r="1131" spans="1:32">
      <c r="A1131" s="324"/>
      <c r="B1131" s="244"/>
      <c r="C1131" s="294"/>
      <c r="D1131" s="235"/>
      <c r="E1131" s="294"/>
      <c r="F1131" s="235"/>
      <c r="G1131" s="324"/>
      <c r="H1131" s="324"/>
      <c r="I1131" s="324"/>
      <c r="J1131" s="324"/>
      <c r="K1131" s="324"/>
      <c r="L1131" s="324"/>
      <c r="M1131" s="294"/>
      <c r="N1131" s="235"/>
      <c r="O1131" s="324"/>
      <c r="P1131" s="235"/>
      <c r="Q1131" s="324"/>
      <c r="R1131" s="324"/>
      <c r="S1131" s="324"/>
      <c r="T1131" s="324"/>
      <c r="U1131" s="324"/>
      <c r="V1131" s="377">
        <v>41137</v>
      </c>
      <c r="W1131" s="198">
        <v>58.240001999999997</v>
      </c>
      <c r="X1131" s="349">
        <f t="shared" si="46"/>
        <v>4.5226147788475224E-2</v>
      </c>
      <c r="Y1131" s="198">
        <v>1415.51001</v>
      </c>
      <c r="Z1131" s="349">
        <f t="shared" si="47"/>
        <v>7.1005106928241357E-3</v>
      </c>
      <c r="AA1131" s="324"/>
      <c r="AB1131" s="324"/>
      <c r="AC1131" s="324"/>
      <c r="AD1131" s="324"/>
      <c r="AE1131" s="324"/>
      <c r="AF1131" s="324"/>
    </row>
    <row r="1132" spans="1:32">
      <c r="A1132" s="324"/>
      <c r="B1132" s="244"/>
      <c r="C1132" s="294"/>
      <c r="D1132" s="235"/>
      <c r="E1132" s="294"/>
      <c r="F1132" s="235"/>
      <c r="G1132" s="324"/>
      <c r="H1132" s="324"/>
      <c r="I1132" s="324"/>
      <c r="J1132" s="324"/>
      <c r="K1132" s="324"/>
      <c r="L1132" s="324"/>
      <c r="M1132" s="294"/>
      <c r="N1132" s="235"/>
      <c r="O1132" s="324"/>
      <c r="P1132" s="235"/>
      <c r="Q1132" s="324"/>
      <c r="R1132" s="324"/>
      <c r="S1132" s="324"/>
      <c r="T1132" s="324"/>
      <c r="U1132" s="324"/>
      <c r="V1132" s="377">
        <v>41136</v>
      </c>
      <c r="W1132" s="198">
        <v>55.720001000000003</v>
      </c>
      <c r="X1132" s="349">
        <f t="shared" si="46"/>
        <v>1.0701976950807657E-2</v>
      </c>
      <c r="Y1132" s="198">
        <v>1405.530029</v>
      </c>
      <c r="Z1132" s="349">
        <f t="shared" si="47"/>
        <v>1.1396401091645636E-3</v>
      </c>
      <c r="AA1132" s="324"/>
      <c r="AB1132" s="324"/>
      <c r="AC1132" s="324"/>
      <c r="AD1132" s="324"/>
      <c r="AE1132" s="324"/>
      <c r="AF1132" s="324"/>
    </row>
    <row r="1133" spans="1:32">
      <c r="A1133" s="324"/>
      <c r="B1133" s="244"/>
      <c r="C1133" s="294"/>
      <c r="D1133" s="235"/>
      <c r="E1133" s="294"/>
      <c r="F1133" s="235"/>
      <c r="G1133" s="324"/>
      <c r="H1133" s="324"/>
      <c r="I1133" s="324"/>
      <c r="J1133" s="324"/>
      <c r="K1133" s="324"/>
      <c r="L1133" s="324"/>
      <c r="M1133" s="294"/>
      <c r="N1133" s="235"/>
      <c r="O1133" s="324"/>
      <c r="P1133" s="235"/>
      <c r="Q1133" s="324"/>
      <c r="R1133" s="324"/>
      <c r="S1133" s="324"/>
      <c r="T1133" s="324"/>
      <c r="U1133" s="324"/>
      <c r="V1133" s="377">
        <v>41135</v>
      </c>
      <c r="W1133" s="198">
        <v>55.130001</v>
      </c>
      <c r="X1133" s="349">
        <f t="shared" si="46"/>
        <v>-2.2344352231678632E-2</v>
      </c>
      <c r="Y1133" s="198">
        <v>1403.9300539999999</v>
      </c>
      <c r="Z1133" s="349">
        <f t="shared" si="47"/>
        <v>-1.2814594435073268E-4</v>
      </c>
      <c r="AA1133" s="324"/>
      <c r="AB1133" s="324"/>
      <c r="AC1133" s="324"/>
      <c r="AD1133" s="324"/>
      <c r="AE1133" s="324"/>
      <c r="AF1133" s="324"/>
    </row>
    <row r="1134" spans="1:32">
      <c r="A1134" s="324"/>
      <c r="B1134" s="244"/>
      <c r="C1134" s="294"/>
      <c r="D1134" s="235"/>
      <c r="E1134" s="294"/>
      <c r="F1134" s="235"/>
      <c r="G1134" s="324"/>
      <c r="H1134" s="324"/>
      <c r="I1134" s="324"/>
      <c r="J1134" s="324"/>
      <c r="K1134" s="324"/>
      <c r="L1134" s="324"/>
      <c r="M1134" s="294"/>
      <c r="N1134" s="235"/>
      <c r="O1134" s="324"/>
      <c r="P1134" s="235"/>
      <c r="Q1134" s="324"/>
      <c r="R1134" s="324"/>
      <c r="S1134" s="324"/>
      <c r="T1134" s="324"/>
      <c r="U1134" s="324"/>
      <c r="V1134" s="377">
        <v>41134</v>
      </c>
      <c r="W1134" s="198">
        <v>56.389999000000003</v>
      </c>
      <c r="X1134" s="349">
        <f t="shared" si="46"/>
        <v>-1.1395546784790489E-2</v>
      </c>
      <c r="Y1134" s="198">
        <v>1404.1099850000001</v>
      </c>
      <c r="Z1134" s="349">
        <f t="shared" si="47"/>
        <v>-1.2519009625779898E-3</v>
      </c>
      <c r="AA1134" s="324"/>
      <c r="AB1134" s="324"/>
      <c r="AC1134" s="324"/>
      <c r="AD1134" s="324"/>
      <c r="AE1134" s="324"/>
      <c r="AF1134" s="324"/>
    </row>
    <row r="1135" spans="1:32">
      <c r="A1135" s="324"/>
      <c r="B1135" s="244"/>
      <c r="C1135" s="294"/>
      <c r="D1135" s="235"/>
      <c r="E1135" s="294"/>
      <c r="F1135" s="235"/>
      <c r="G1135" s="324"/>
      <c r="H1135" s="324"/>
      <c r="I1135" s="324"/>
      <c r="J1135" s="324"/>
      <c r="K1135" s="324"/>
      <c r="L1135" s="324"/>
      <c r="M1135" s="294"/>
      <c r="N1135" s="235"/>
      <c r="O1135" s="324"/>
      <c r="P1135" s="235"/>
      <c r="Q1135" s="324"/>
      <c r="R1135" s="324"/>
      <c r="S1135" s="324"/>
      <c r="T1135" s="324"/>
      <c r="U1135" s="324"/>
      <c r="V1135" s="377">
        <v>41131</v>
      </c>
      <c r="W1135" s="198">
        <v>57.040000999999997</v>
      </c>
      <c r="X1135" s="349">
        <f t="shared" si="46"/>
        <v>-1.3660746544674196E-2</v>
      </c>
      <c r="Y1135" s="198">
        <v>1405.869995</v>
      </c>
      <c r="Z1135" s="349">
        <f t="shared" si="47"/>
        <v>2.1884416116100258E-3</v>
      </c>
      <c r="AA1135" s="324"/>
      <c r="AB1135" s="324"/>
      <c r="AC1135" s="324"/>
      <c r="AD1135" s="324"/>
      <c r="AE1135" s="324"/>
      <c r="AF1135" s="324"/>
    </row>
    <row r="1136" spans="1:32">
      <c r="A1136" s="324"/>
      <c r="B1136" s="244"/>
      <c r="C1136" s="294"/>
      <c r="D1136" s="235"/>
      <c r="E1136" s="294"/>
      <c r="F1136" s="235"/>
      <c r="G1136" s="324"/>
      <c r="H1136" s="324"/>
      <c r="I1136" s="324"/>
      <c r="J1136" s="324"/>
      <c r="K1136" s="324"/>
      <c r="L1136" s="324"/>
      <c r="M1136" s="294"/>
      <c r="N1136" s="235"/>
      <c r="O1136" s="324"/>
      <c r="P1136" s="235"/>
      <c r="Q1136" s="324"/>
      <c r="R1136" s="324"/>
      <c r="S1136" s="324"/>
      <c r="T1136" s="324"/>
      <c r="U1136" s="324"/>
      <c r="V1136" s="377">
        <v>41130</v>
      </c>
      <c r="W1136" s="198">
        <v>57.830002</v>
      </c>
      <c r="X1136" s="349">
        <f t="shared" si="46"/>
        <v>-7.7212938867757819E-3</v>
      </c>
      <c r="Y1136" s="198">
        <v>1402.8000489999999</v>
      </c>
      <c r="Z1136" s="349">
        <f t="shared" si="47"/>
        <v>4.1368545021236436E-4</v>
      </c>
      <c r="AA1136" s="324"/>
      <c r="AB1136" s="324"/>
      <c r="AC1136" s="324"/>
      <c r="AD1136" s="324"/>
      <c r="AE1136" s="324"/>
      <c r="AF1136" s="324"/>
    </row>
    <row r="1137" spans="1:32">
      <c r="A1137" s="324"/>
      <c r="B1137" s="244"/>
      <c r="C1137" s="294"/>
      <c r="D1137" s="235"/>
      <c r="E1137" s="294"/>
      <c r="F1137" s="235"/>
      <c r="G1137" s="324"/>
      <c r="H1137" s="324"/>
      <c r="I1137" s="324"/>
      <c r="J1137" s="324"/>
      <c r="K1137" s="324"/>
      <c r="L1137" s="324"/>
      <c r="M1137" s="294"/>
      <c r="N1137" s="235"/>
      <c r="O1137" s="324"/>
      <c r="P1137" s="235"/>
      <c r="Q1137" s="324"/>
      <c r="R1137" s="324"/>
      <c r="S1137" s="324"/>
      <c r="T1137" s="324"/>
      <c r="U1137" s="324"/>
      <c r="V1137" s="377">
        <v>41129</v>
      </c>
      <c r="W1137" s="198">
        <v>58.279998999999997</v>
      </c>
      <c r="X1137" s="349">
        <f t="shared" si="46"/>
        <v>7.9557073676927992E-3</v>
      </c>
      <c r="Y1137" s="198">
        <v>1402.219971</v>
      </c>
      <c r="Z1137" s="349">
        <f t="shared" si="47"/>
        <v>6.2082635665605679E-4</v>
      </c>
      <c r="AA1137" s="324"/>
      <c r="AB1137" s="324"/>
      <c r="AC1137" s="324"/>
      <c r="AD1137" s="324"/>
      <c r="AE1137" s="324"/>
      <c r="AF1137" s="324"/>
    </row>
    <row r="1138" spans="1:32">
      <c r="A1138" s="324"/>
      <c r="B1138" s="244"/>
      <c r="C1138" s="294"/>
      <c r="D1138" s="235"/>
      <c r="E1138" s="294"/>
      <c r="F1138" s="235"/>
      <c r="G1138" s="324"/>
      <c r="H1138" s="324"/>
      <c r="I1138" s="324"/>
      <c r="J1138" s="324"/>
      <c r="K1138" s="324"/>
      <c r="L1138" s="324"/>
      <c r="M1138" s="294"/>
      <c r="N1138" s="235"/>
      <c r="O1138" s="324"/>
      <c r="P1138" s="235"/>
      <c r="Q1138" s="324"/>
      <c r="R1138" s="324"/>
      <c r="S1138" s="324"/>
      <c r="T1138" s="324"/>
      <c r="U1138" s="324"/>
      <c r="V1138" s="377">
        <v>41128</v>
      </c>
      <c r="W1138" s="198">
        <v>57.82</v>
      </c>
      <c r="X1138" s="349">
        <f t="shared" si="46"/>
        <v>1.9213819848404867E-2</v>
      </c>
      <c r="Y1138" s="198">
        <v>1401.349976</v>
      </c>
      <c r="Z1138" s="349">
        <f t="shared" si="47"/>
        <v>5.106758642501541E-3</v>
      </c>
      <c r="AA1138" s="324"/>
      <c r="AB1138" s="324"/>
      <c r="AC1138" s="324"/>
      <c r="AD1138" s="324"/>
      <c r="AE1138" s="324"/>
      <c r="AF1138" s="324"/>
    </row>
    <row r="1139" spans="1:32">
      <c r="A1139" s="324"/>
      <c r="B1139" s="244"/>
      <c r="C1139" s="294"/>
      <c r="D1139" s="235"/>
      <c r="E1139" s="294"/>
      <c r="F1139" s="235"/>
      <c r="G1139" s="324"/>
      <c r="H1139" s="324"/>
      <c r="I1139" s="324"/>
      <c r="J1139" s="324"/>
      <c r="K1139" s="324"/>
      <c r="L1139" s="324"/>
      <c r="M1139" s="294"/>
      <c r="N1139" s="235"/>
      <c r="O1139" s="324"/>
      <c r="P1139" s="235"/>
      <c r="Q1139" s="324"/>
      <c r="R1139" s="324"/>
      <c r="S1139" s="324"/>
      <c r="T1139" s="324"/>
      <c r="U1139" s="324"/>
      <c r="V1139" s="377">
        <v>41127</v>
      </c>
      <c r="W1139" s="198">
        <v>56.73</v>
      </c>
      <c r="X1139" s="349">
        <f t="shared" si="46"/>
        <v>2.2162162162162158E-2</v>
      </c>
      <c r="Y1139" s="198">
        <v>1394.2299800000001</v>
      </c>
      <c r="Z1139" s="349">
        <f t="shared" si="47"/>
        <v>2.3292690984786368E-3</v>
      </c>
      <c r="AA1139" s="324"/>
      <c r="AB1139" s="324"/>
      <c r="AC1139" s="324"/>
      <c r="AD1139" s="324"/>
      <c r="AE1139" s="324"/>
      <c r="AF1139" s="324"/>
    </row>
    <row r="1140" spans="1:32">
      <c r="A1140" s="324"/>
      <c r="B1140" s="244"/>
      <c r="C1140" s="294"/>
      <c r="D1140" s="235"/>
      <c r="E1140" s="294"/>
      <c r="F1140" s="235"/>
      <c r="G1140" s="324"/>
      <c r="H1140" s="324"/>
      <c r="I1140" s="324"/>
      <c r="J1140" s="324"/>
      <c r="K1140" s="324"/>
      <c r="L1140" s="324"/>
      <c r="M1140" s="294"/>
      <c r="N1140" s="235"/>
      <c r="O1140" s="324"/>
      <c r="P1140" s="235"/>
      <c r="Q1140" s="324"/>
      <c r="R1140" s="324"/>
      <c r="S1140" s="324"/>
      <c r="T1140" s="324"/>
      <c r="U1140" s="324"/>
      <c r="V1140" s="377">
        <v>41124</v>
      </c>
      <c r="W1140" s="198">
        <v>55.5</v>
      </c>
      <c r="X1140" s="349">
        <f t="shared" si="46"/>
        <v>4.6972308884071223E-2</v>
      </c>
      <c r="Y1140" s="198">
        <v>1390.98999</v>
      </c>
      <c r="Z1140" s="349">
        <f t="shared" si="47"/>
        <v>1.9040285714285732E-2</v>
      </c>
      <c r="AA1140" s="324"/>
      <c r="AB1140" s="324"/>
      <c r="AC1140" s="324"/>
      <c r="AD1140" s="324"/>
      <c r="AE1140" s="324"/>
      <c r="AF1140" s="324"/>
    </row>
    <row r="1141" spans="1:32">
      <c r="A1141" s="324"/>
      <c r="B1141" s="244"/>
      <c r="C1141" s="294"/>
      <c r="D1141" s="235"/>
      <c r="E1141" s="294"/>
      <c r="F1141" s="235"/>
      <c r="G1141" s="324"/>
      <c r="H1141" s="324"/>
      <c r="I1141" s="324"/>
      <c r="J1141" s="324"/>
      <c r="K1141" s="324"/>
      <c r="L1141" s="324"/>
      <c r="M1141" s="294"/>
      <c r="N1141" s="235"/>
      <c r="O1141" s="324"/>
      <c r="P1141" s="235"/>
      <c r="Q1141" s="324"/>
      <c r="R1141" s="324"/>
      <c r="S1141" s="324"/>
      <c r="T1141" s="324"/>
      <c r="U1141" s="324"/>
      <c r="V1141" s="377">
        <v>41123</v>
      </c>
      <c r="W1141" s="198">
        <v>53.009998000000003</v>
      </c>
      <c r="X1141" s="349">
        <f t="shared" si="46"/>
        <v>0</v>
      </c>
      <c r="Y1141" s="198">
        <v>1365</v>
      </c>
      <c r="Z1141" s="349">
        <f t="shared" si="47"/>
        <v>-7.5036692589347531E-3</v>
      </c>
      <c r="AA1141" s="324"/>
      <c r="AB1141" s="324"/>
      <c r="AC1141" s="324"/>
      <c r="AD1141" s="324"/>
      <c r="AE1141" s="324"/>
      <c r="AF1141" s="324"/>
    </row>
    <row r="1142" spans="1:32">
      <c r="A1142" s="324"/>
      <c r="B1142" s="244"/>
      <c r="C1142" s="294"/>
      <c r="D1142" s="235"/>
      <c r="E1142" s="294"/>
      <c r="F1142" s="235"/>
      <c r="G1142" s="324"/>
      <c r="H1142" s="324"/>
      <c r="I1142" s="324"/>
      <c r="J1142" s="324"/>
      <c r="K1142" s="324"/>
      <c r="L1142" s="324"/>
      <c r="M1142" s="294"/>
      <c r="N1142" s="235"/>
      <c r="O1142" s="324"/>
      <c r="P1142" s="235"/>
      <c r="Q1142" s="324"/>
      <c r="R1142" s="324"/>
      <c r="S1142" s="324"/>
      <c r="T1142" s="324"/>
      <c r="U1142" s="324"/>
      <c r="V1142" s="377">
        <v>41122</v>
      </c>
      <c r="W1142" s="198">
        <v>53.009998000000003</v>
      </c>
      <c r="X1142" s="349">
        <f t="shared" si="46"/>
        <v>-1.2113343272456056E-2</v>
      </c>
      <c r="Y1142" s="198">
        <v>1375.3199460000001</v>
      </c>
      <c r="Z1142" s="349">
        <f t="shared" si="47"/>
        <v>-2.8999798136755128E-3</v>
      </c>
      <c r="AA1142" s="324"/>
      <c r="AB1142" s="324"/>
      <c r="AC1142" s="324"/>
      <c r="AD1142" s="324"/>
      <c r="AE1142" s="324"/>
      <c r="AF1142" s="324"/>
    </row>
    <row r="1143" spans="1:32">
      <c r="A1143" s="324"/>
      <c r="B1143" s="244"/>
      <c r="C1143" s="294"/>
      <c r="D1143" s="235"/>
      <c r="E1143" s="294"/>
      <c r="F1143" s="235"/>
      <c r="G1143" s="324"/>
      <c r="H1143" s="324"/>
      <c r="I1143" s="324"/>
      <c r="J1143" s="324"/>
      <c r="K1143" s="324"/>
      <c r="L1143" s="324"/>
      <c r="M1143" s="294"/>
      <c r="N1143" s="235"/>
      <c r="O1143" s="324"/>
      <c r="P1143" s="235"/>
      <c r="Q1143" s="324"/>
      <c r="R1143" s="324"/>
      <c r="S1143" s="324"/>
      <c r="T1143" s="324"/>
      <c r="U1143" s="324"/>
      <c r="V1143" s="377">
        <v>41121</v>
      </c>
      <c r="W1143" s="198">
        <v>53.66</v>
      </c>
      <c r="X1143" s="349">
        <f t="shared" si="46"/>
        <v>-1.8600819144376501E-3</v>
      </c>
      <c r="Y1143" s="198">
        <v>1379.3199460000001</v>
      </c>
      <c r="Z1143" s="349">
        <f t="shared" si="47"/>
        <v>-4.3168286930450606E-3</v>
      </c>
      <c r="AA1143" s="324"/>
      <c r="AB1143" s="324"/>
      <c r="AC1143" s="324"/>
      <c r="AD1143" s="324"/>
      <c r="AE1143" s="324"/>
      <c r="AF1143" s="324"/>
    </row>
    <row r="1144" spans="1:32">
      <c r="A1144" s="324"/>
      <c r="B1144" s="244"/>
      <c r="C1144" s="294"/>
      <c r="D1144" s="235"/>
      <c r="E1144" s="294"/>
      <c r="F1144" s="235"/>
      <c r="G1144" s="324"/>
      <c r="H1144" s="324"/>
      <c r="I1144" s="324"/>
      <c r="J1144" s="324"/>
      <c r="K1144" s="324"/>
      <c r="L1144" s="324"/>
      <c r="M1144" s="294"/>
      <c r="N1144" s="235"/>
      <c r="O1144" s="324"/>
      <c r="P1144" s="235"/>
      <c r="Q1144" s="324"/>
      <c r="R1144" s="324"/>
      <c r="S1144" s="324"/>
      <c r="T1144" s="324"/>
      <c r="U1144" s="324"/>
      <c r="V1144" s="377">
        <v>41120</v>
      </c>
      <c r="W1144" s="198">
        <v>53.759998000000003</v>
      </c>
      <c r="X1144" s="349">
        <f t="shared" si="46"/>
        <v>-3.6731821595917813E-2</v>
      </c>
      <c r="Y1144" s="198">
        <v>1385.3000489999999</v>
      </c>
      <c r="Z1144" s="349">
        <f t="shared" si="47"/>
        <v>-4.8335967879353792E-4</v>
      </c>
      <c r="AA1144" s="324"/>
      <c r="AB1144" s="324"/>
      <c r="AC1144" s="324"/>
      <c r="AD1144" s="324"/>
      <c r="AE1144" s="324"/>
      <c r="AF1144" s="324"/>
    </row>
    <row r="1145" spans="1:32">
      <c r="A1145" s="324"/>
      <c r="B1145" s="244"/>
      <c r="C1145" s="294"/>
      <c r="D1145" s="235"/>
      <c r="E1145" s="294"/>
      <c r="F1145" s="235"/>
      <c r="G1145" s="324"/>
      <c r="H1145" s="324"/>
      <c r="I1145" s="324"/>
      <c r="J1145" s="324"/>
      <c r="K1145" s="324"/>
      <c r="L1145" s="324"/>
      <c r="M1145" s="294"/>
      <c r="N1145" s="235"/>
      <c r="O1145" s="324"/>
      <c r="P1145" s="235"/>
      <c r="Q1145" s="324"/>
      <c r="R1145" s="324"/>
      <c r="S1145" s="324"/>
      <c r="T1145" s="324"/>
      <c r="U1145" s="324"/>
      <c r="V1145" s="377">
        <v>41117</v>
      </c>
      <c r="W1145" s="198">
        <v>55.810001</v>
      </c>
      <c r="X1145" s="349">
        <f t="shared" si="46"/>
        <v>5.361525290513014E-2</v>
      </c>
      <c r="Y1145" s="198">
        <v>1385.969971</v>
      </c>
      <c r="Z1145" s="349">
        <f t="shared" si="47"/>
        <v>1.9080565446382147E-2</v>
      </c>
      <c r="AA1145" s="324"/>
      <c r="AB1145" s="324"/>
      <c r="AC1145" s="324"/>
      <c r="AD1145" s="324"/>
      <c r="AE1145" s="324"/>
      <c r="AF1145" s="324"/>
    </row>
    <row r="1146" spans="1:32">
      <c r="A1146" s="324"/>
      <c r="B1146" s="244"/>
      <c r="C1146" s="294"/>
      <c r="D1146" s="235"/>
      <c r="E1146" s="294"/>
      <c r="F1146" s="235"/>
      <c r="G1146" s="324"/>
      <c r="H1146" s="324"/>
      <c r="I1146" s="324"/>
      <c r="J1146" s="324"/>
      <c r="K1146" s="324"/>
      <c r="L1146" s="324"/>
      <c r="M1146" s="294"/>
      <c r="N1146" s="235"/>
      <c r="O1146" s="324"/>
      <c r="P1146" s="235"/>
      <c r="Q1146" s="324"/>
      <c r="R1146" s="324"/>
      <c r="S1146" s="324"/>
      <c r="T1146" s="324"/>
      <c r="U1146" s="324"/>
      <c r="V1146" s="377">
        <v>41116</v>
      </c>
      <c r="W1146" s="198">
        <v>52.970001000000003</v>
      </c>
      <c r="X1146" s="349">
        <f t="shared" si="46"/>
        <v>2.1994963457651506E-2</v>
      </c>
      <c r="Y1146" s="198">
        <v>1360.0200199999999</v>
      </c>
      <c r="Z1146" s="349">
        <f t="shared" si="47"/>
        <v>1.654097478259442E-2</v>
      </c>
      <c r="AA1146" s="324"/>
      <c r="AB1146" s="324"/>
      <c r="AC1146" s="324"/>
      <c r="AD1146" s="324"/>
      <c r="AE1146" s="324"/>
      <c r="AF1146" s="324"/>
    </row>
    <row r="1147" spans="1:32">
      <c r="A1147" s="324"/>
      <c r="B1147" s="244"/>
      <c r="C1147" s="294"/>
      <c r="D1147" s="235"/>
      <c r="E1147" s="294"/>
      <c r="F1147" s="235"/>
      <c r="G1147" s="324"/>
      <c r="H1147" s="324"/>
      <c r="I1147" s="324"/>
      <c r="J1147" s="324"/>
      <c r="K1147" s="324"/>
      <c r="L1147" s="324"/>
      <c r="M1147" s="294"/>
      <c r="N1147" s="235"/>
      <c r="O1147" s="324"/>
      <c r="P1147" s="235"/>
      <c r="Q1147" s="324"/>
      <c r="R1147" s="324"/>
      <c r="S1147" s="324"/>
      <c r="T1147" s="324"/>
      <c r="U1147" s="324"/>
      <c r="V1147" s="377">
        <v>41115</v>
      </c>
      <c r="W1147" s="198">
        <v>51.830002</v>
      </c>
      <c r="X1147" s="349">
        <f t="shared" si="46"/>
        <v>6.798795648795819E-3</v>
      </c>
      <c r="Y1147" s="198">
        <v>1337.8900149999999</v>
      </c>
      <c r="Z1147" s="349">
        <f t="shared" si="47"/>
        <v>-3.1386149807000052E-4</v>
      </c>
      <c r="AA1147" s="324"/>
      <c r="AB1147" s="324"/>
      <c r="AC1147" s="324"/>
      <c r="AD1147" s="324"/>
      <c r="AE1147" s="324"/>
      <c r="AF1147" s="324"/>
    </row>
    <row r="1148" spans="1:32">
      <c r="A1148" s="324"/>
      <c r="B1148" s="244"/>
      <c r="C1148" s="294"/>
      <c r="D1148" s="235"/>
      <c r="E1148" s="294"/>
      <c r="F1148" s="235"/>
      <c r="G1148" s="324"/>
      <c r="H1148" s="324"/>
      <c r="I1148" s="324"/>
      <c r="J1148" s="324"/>
      <c r="K1148" s="324"/>
      <c r="L1148" s="324"/>
      <c r="M1148" s="294"/>
      <c r="N1148" s="235"/>
      <c r="O1148" s="324"/>
      <c r="P1148" s="235"/>
      <c r="Q1148" s="324"/>
      <c r="R1148" s="324"/>
      <c r="S1148" s="324"/>
      <c r="T1148" s="324"/>
      <c r="U1148" s="324"/>
      <c r="V1148" s="377">
        <v>41114</v>
      </c>
      <c r="W1148" s="198">
        <v>51.48</v>
      </c>
      <c r="X1148" s="349">
        <f t="shared" si="46"/>
        <v>-2.2036455585799031E-2</v>
      </c>
      <c r="Y1148" s="198">
        <v>1338.3100589999999</v>
      </c>
      <c r="Z1148" s="349">
        <f t="shared" si="47"/>
        <v>-9.0409329881685485E-3</v>
      </c>
      <c r="AA1148" s="324"/>
      <c r="AB1148" s="324"/>
      <c r="AC1148" s="324"/>
      <c r="AD1148" s="324"/>
      <c r="AE1148" s="324"/>
      <c r="AF1148" s="324"/>
    </row>
    <row r="1149" spans="1:32">
      <c r="A1149" s="324"/>
      <c r="B1149" s="244"/>
      <c r="C1149" s="294"/>
      <c r="D1149" s="235"/>
      <c r="E1149" s="294"/>
      <c r="F1149" s="235"/>
      <c r="G1149" s="324"/>
      <c r="H1149" s="324"/>
      <c r="I1149" s="324"/>
      <c r="J1149" s="324"/>
      <c r="K1149" s="324"/>
      <c r="L1149" s="324"/>
      <c r="M1149" s="294"/>
      <c r="N1149" s="235"/>
      <c r="O1149" s="324"/>
      <c r="P1149" s="235"/>
      <c r="Q1149" s="324"/>
      <c r="R1149" s="324"/>
      <c r="S1149" s="324"/>
      <c r="T1149" s="324"/>
      <c r="U1149" s="324"/>
      <c r="V1149" s="377">
        <v>41113</v>
      </c>
      <c r="W1149" s="198">
        <v>52.639999000000003</v>
      </c>
      <c r="X1149" s="349">
        <f t="shared" si="46"/>
        <v>-2.0104281085177256E-2</v>
      </c>
      <c r="Y1149" s="198">
        <v>1350.5200199999999</v>
      </c>
      <c r="Z1149" s="349">
        <f t="shared" si="47"/>
        <v>-8.9090555950069872E-3</v>
      </c>
      <c r="AA1149" s="324"/>
      <c r="AB1149" s="324"/>
      <c r="AC1149" s="324"/>
      <c r="AD1149" s="324"/>
      <c r="AE1149" s="324"/>
      <c r="AF1149" s="324"/>
    </row>
    <row r="1150" spans="1:32">
      <c r="A1150" s="324"/>
      <c r="B1150" s="244"/>
      <c r="C1150" s="294"/>
      <c r="D1150" s="235"/>
      <c r="E1150" s="294"/>
      <c r="F1150" s="235"/>
      <c r="G1150" s="324"/>
      <c r="H1150" s="324"/>
      <c r="I1150" s="324"/>
      <c r="J1150" s="324"/>
      <c r="K1150" s="324"/>
      <c r="L1150" s="324"/>
      <c r="M1150" s="294"/>
      <c r="N1150" s="235"/>
      <c r="O1150" s="324"/>
      <c r="P1150" s="235"/>
      <c r="Q1150" s="324"/>
      <c r="R1150" s="324"/>
      <c r="S1150" s="324"/>
      <c r="T1150" s="324"/>
      <c r="U1150" s="324"/>
      <c r="V1150" s="377">
        <v>41110</v>
      </c>
      <c r="W1150" s="198">
        <v>53.720001000000003</v>
      </c>
      <c r="X1150" s="349">
        <f t="shared" si="46"/>
        <v>-3.3986692429658349E-2</v>
      </c>
      <c r="Y1150" s="198">
        <v>1362.660034</v>
      </c>
      <c r="Z1150" s="349">
        <f t="shared" si="47"/>
        <v>-1.006166021269983E-2</v>
      </c>
      <c r="AA1150" s="324"/>
      <c r="AB1150" s="324"/>
      <c r="AC1150" s="324"/>
      <c r="AD1150" s="324"/>
      <c r="AE1150" s="324"/>
      <c r="AF1150" s="324"/>
    </row>
    <row r="1151" spans="1:32">
      <c r="A1151" s="324"/>
      <c r="B1151" s="244"/>
      <c r="C1151" s="294"/>
      <c r="D1151" s="235"/>
      <c r="E1151" s="294"/>
      <c r="F1151" s="235"/>
      <c r="G1151" s="324"/>
      <c r="H1151" s="324"/>
      <c r="I1151" s="324"/>
      <c r="J1151" s="324"/>
      <c r="K1151" s="324"/>
      <c r="L1151" s="324"/>
      <c r="M1151" s="294"/>
      <c r="N1151" s="235"/>
      <c r="O1151" s="324"/>
      <c r="P1151" s="235"/>
      <c r="Q1151" s="324"/>
      <c r="R1151" s="324"/>
      <c r="S1151" s="324"/>
      <c r="T1151" s="324"/>
      <c r="U1151" s="324"/>
      <c r="V1151" s="377">
        <v>41109</v>
      </c>
      <c r="W1151" s="198">
        <v>55.610000999999997</v>
      </c>
      <c r="X1151" s="349">
        <f t="shared" si="46"/>
        <v>3.0578243709752373E-2</v>
      </c>
      <c r="Y1151" s="198">
        <v>1376.51001</v>
      </c>
      <c r="Z1151" s="349">
        <f t="shared" si="47"/>
        <v>2.7171002791446242E-3</v>
      </c>
      <c r="AA1151" s="324"/>
      <c r="AB1151" s="324"/>
      <c r="AC1151" s="324"/>
      <c r="AD1151" s="324"/>
      <c r="AE1151" s="324"/>
      <c r="AF1151" s="324"/>
    </row>
    <row r="1152" spans="1:32">
      <c r="A1152" s="324"/>
      <c r="B1152" s="244"/>
      <c r="C1152" s="294"/>
      <c r="D1152" s="235"/>
      <c r="E1152" s="294"/>
      <c r="F1152" s="235"/>
      <c r="G1152" s="324"/>
      <c r="H1152" s="324"/>
      <c r="I1152" s="324"/>
      <c r="J1152" s="324"/>
      <c r="K1152" s="324"/>
      <c r="L1152" s="324"/>
      <c r="M1152" s="294"/>
      <c r="N1152" s="235"/>
      <c r="O1152" s="324"/>
      <c r="P1152" s="235"/>
      <c r="Q1152" s="324"/>
      <c r="R1152" s="324"/>
      <c r="S1152" s="324"/>
      <c r="T1152" s="324"/>
      <c r="U1152" s="324"/>
      <c r="V1152" s="377">
        <v>41108</v>
      </c>
      <c r="W1152" s="198">
        <v>53.959999000000003</v>
      </c>
      <c r="X1152" s="349">
        <f t="shared" si="46"/>
        <v>4.4319742377385118E-2</v>
      </c>
      <c r="Y1152" s="198">
        <v>1372.780029</v>
      </c>
      <c r="Z1152" s="349">
        <f t="shared" si="47"/>
        <v>6.6804906656732221E-3</v>
      </c>
      <c r="AA1152" s="324"/>
      <c r="AB1152" s="324"/>
      <c r="AC1152" s="324"/>
      <c r="AD1152" s="324"/>
      <c r="AE1152" s="324"/>
      <c r="AF1152" s="324"/>
    </row>
    <row r="1153" spans="1:32">
      <c r="A1153" s="324"/>
      <c r="B1153" s="244"/>
      <c r="C1153" s="294"/>
      <c r="D1153" s="235"/>
      <c r="E1153" s="294"/>
      <c r="F1153" s="235"/>
      <c r="G1153" s="324"/>
      <c r="H1153" s="324"/>
      <c r="I1153" s="324"/>
      <c r="J1153" s="324"/>
      <c r="K1153" s="324"/>
      <c r="L1153" s="324"/>
      <c r="M1153" s="294"/>
      <c r="N1153" s="235"/>
      <c r="O1153" s="324"/>
      <c r="P1153" s="235"/>
      <c r="Q1153" s="324"/>
      <c r="R1153" s="324"/>
      <c r="S1153" s="324"/>
      <c r="T1153" s="324"/>
      <c r="U1153" s="324"/>
      <c r="V1153" s="377">
        <v>41107</v>
      </c>
      <c r="W1153" s="198">
        <v>51.669998</v>
      </c>
      <c r="X1153" s="349">
        <f t="shared" si="46"/>
        <v>-5.7726187074732538E-3</v>
      </c>
      <c r="Y1153" s="198">
        <v>1363.670044</v>
      </c>
      <c r="Z1153" s="349">
        <f t="shared" si="47"/>
        <v>7.409672356649466E-3</v>
      </c>
      <c r="AA1153" s="324"/>
      <c r="AB1153" s="324"/>
      <c r="AC1153" s="324"/>
      <c r="AD1153" s="324"/>
      <c r="AE1153" s="324"/>
      <c r="AF1153" s="324"/>
    </row>
    <row r="1154" spans="1:32">
      <c r="A1154" s="324"/>
      <c r="B1154" s="244"/>
      <c r="C1154" s="294"/>
      <c r="D1154" s="235"/>
      <c r="E1154" s="294"/>
      <c r="F1154" s="235"/>
      <c r="G1154" s="324"/>
      <c r="H1154" s="324"/>
      <c r="I1154" s="324"/>
      <c r="J1154" s="324"/>
      <c r="K1154" s="324"/>
      <c r="L1154" s="324"/>
      <c r="M1154" s="294"/>
      <c r="N1154" s="235"/>
      <c r="O1154" s="324"/>
      <c r="P1154" s="235"/>
      <c r="Q1154" s="324"/>
      <c r="R1154" s="324"/>
      <c r="S1154" s="324"/>
      <c r="T1154" s="324"/>
      <c r="U1154" s="324"/>
      <c r="V1154" s="377">
        <v>41106</v>
      </c>
      <c r="W1154" s="198">
        <v>51.970001000000003</v>
      </c>
      <c r="X1154" s="349">
        <f t="shared" si="46"/>
        <v>-9.7179687499998613E-3</v>
      </c>
      <c r="Y1154" s="198">
        <v>1353.6400149999999</v>
      </c>
      <c r="Z1154" s="349">
        <f t="shared" si="47"/>
        <v>-2.3143132511423969E-3</v>
      </c>
      <c r="AA1154" s="324"/>
      <c r="AB1154" s="324"/>
      <c r="AC1154" s="324"/>
      <c r="AD1154" s="324"/>
      <c r="AE1154" s="324"/>
      <c r="AF1154" s="324"/>
    </row>
    <row r="1155" spans="1:32">
      <c r="A1155" s="324"/>
      <c r="B1155" s="244"/>
      <c r="C1155" s="294"/>
      <c r="D1155" s="235"/>
      <c r="E1155" s="294"/>
      <c r="F1155" s="235"/>
      <c r="G1155" s="324"/>
      <c r="H1155" s="324"/>
      <c r="I1155" s="324"/>
      <c r="J1155" s="324"/>
      <c r="K1155" s="324"/>
      <c r="L1155" s="324"/>
      <c r="M1155" s="294"/>
      <c r="N1155" s="235"/>
      <c r="O1155" s="324"/>
      <c r="P1155" s="235"/>
      <c r="Q1155" s="324"/>
      <c r="R1155" s="324"/>
      <c r="S1155" s="324"/>
      <c r="T1155" s="324"/>
      <c r="U1155" s="324"/>
      <c r="V1155" s="377">
        <v>41103</v>
      </c>
      <c r="W1155" s="198">
        <v>52.48</v>
      </c>
      <c r="X1155" s="349">
        <f t="shared" si="46"/>
        <v>3.961965134706813E-2</v>
      </c>
      <c r="Y1155" s="198">
        <v>1356.780029</v>
      </c>
      <c r="Z1155" s="349">
        <f t="shared" si="47"/>
        <v>1.6497361948984324E-2</v>
      </c>
      <c r="AA1155" s="324"/>
      <c r="AB1155" s="324"/>
      <c r="AC1155" s="324"/>
      <c r="AD1155" s="324"/>
      <c r="AE1155" s="324"/>
      <c r="AF1155" s="324"/>
    </row>
    <row r="1156" spans="1:32">
      <c r="A1156" s="324"/>
      <c r="B1156" s="244"/>
      <c r="C1156" s="294"/>
      <c r="D1156" s="235"/>
      <c r="E1156" s="294"/>
      <c r="F1156" s="235"/>
      <c r="G1156" s="324"/>
      <c r="H1156" s="324"/>
      <c r="I1156" s="324"/>
      <c r="J1156" s="324"/>
      <c r="K1156" s="324"/>
      <c r="L1156" s="324"/>
      <c r="M1156" s="294"/>
      <c r="N1156" s="235"/>
      <c r="O1156" s="324"/>
      <c r="P1156" s="235"/>
      <c r="Q1156" s="324"/>
      <c r="R1156" s="324"/>
      <c r="S1156" s="324"/>
      <c r="T1156" s="324"/>
      <c r="U1156" s="324"/>
      <c r="V1156" s="377">
        <v>41102</v>
      </c>
      <c r="W1156" s="198">
        <v>50.48</v>
      </c>
      <c r="X1156" s="349">
        <f t="shared" si="46"/>
        <v>-1.7133975523092371E-2</v>
      </c>
      <c r="Y1156" s="198">
        <v>1334.76001</v>
      </c>
      <c r="Z1156" s="349">
        <f t="shared" si="47"/>
        <v>-4.9870969804076681E-3</v>
      </c>
      <c r="AA1156" s="324"/>
      <c r="AB1156" s="324"/>
      <c r="AC1156" s="324"/>
      <c r="AD1156" s="324"/>
      <c r="AE1156" s="324"/>
      <c r="AF1156" s="324"/>
    </row>
    <row r="1157" spans="1:32">
      <c r="A1157" s="324"/>
      <c r="B1157" s="244"/>
      <c r="C1157" s="294"/>
      <c r="D1157" s="235"/>
      <c r="E1157" s="294"/>
      <c r="F1157" s="235"/>
      <c r="G1157" s="324"/>
      <c r="H1157" s="324"/>
      <c r="I1157" s="324"/>
      <c r="J1157" s="324"/>
      <c r="K1157" s="324"/>
      <c r="L1157" s="324"/>
      <c r="M1157" s="294"/>
      <c r="N1157" s="235"/>
      <c r="O1157" s="324"/>
      <c r="P1157" s="235"/>
      <c r="Q1157" s="324"/>
      <c r="R1157" s="324"/>
      <c r="S1157" s="324"/>
      <c r="T1157" s="324"/>
      <c r="U1157" s="324"/>
      <c r="V1157" s="377">
        <v>41101</v>
      </c>
      <c r="W1157" s="198">
        <v>51.360000999999997</v>
      </c>
      <c r="X1157" s="349">
        <f t="shared" si="46"/>
        <v>3.1249999389648675E-3</v>
      </c>
      <c r="Y1157" s="198">
        <v>1341.4499510000001</v>
      </c>
      <c r="Z1157" s="349">
        <f t="shared" si="47"/>
        <v>-1.4923927059706799E-5</v>
      </c>
      <c r="AA1157" s="324"/>
      <c r="AB1157" s="324"/>
      <c r="AC1157" s="324"/>
      <c r="AD1157" s="324"/>
      <c r="AE1157" s="324"/>
      <c r="AF1157" s="324"/>
    </row>
    <row r="1158" spans="1:32">
      <c r="A1158" s="324"/>
      <c r="B1158" s="244"/>
      <c r="C1158" s="294"/>
      <c r="D1158" s="235"/>
      <c r="E1158" s="294"/>
      <c r="F1158" s="235"/>
      <c r="G1158" s="324"/>
      <c r="H1158" s="324"/>
      <c r="I1158" s="324"/>
      <c r="J1158" s="324"/>
      <c r="K1158" s="324"/>
      <c r="L1158" s="324"/>
      <c r="M1158" s="294"/>
      <c r="N1158" s="235"/>
      <c r="O1158" s="324"/>
      <c r="P1158" s="235"/>
      <c r="Q1158" s="324"/>
      <c r="R1158" s="324"/>
      <c r="S1158" s="324"/>
      <c r="T1158" s="324"/>
      <c r="U1158" s="324"/>
      <c r="V1158" s="377">
        <v>41100</v>
      </c>
      <c r="W1158" s="198">
        <v>51.200001</v>
      </c>
      <c r="X1158" s="349">
        <f t="shared" si="46"/>
        <v>7.8188037529325349E-4</v>
      </c>
      <c r="Y1158" s="198">
        <v>1341.469971</v>
      </c>
      <c r="Z1158" s="349">
        <f t="shared" si="47"/>
        <v>-8.125926324557553E-3</v>
      </c>
      <c r="AA1158" s="324"/>
      <c r="AB1158" s="324"/>
      <c r="AC1158" s="324"/>
      <c r="AD1158" s="324"/>
      <c r="AE1158" s="324"/>
      <c r="AF1158" s="324"/>
    </row>
    <row r="1159" spans="1:32">
      <c r="A1159" s="324"/>
      <c r="B1159" s="244"/>
      <c r="C1159" s="294"/>
      <c r="D1159" s="235"/>
      <c r="E1159" s="294"/>
      <c r="F1159" s="235"/>
      <c r="G1159" s="324"/>
      <c r="H1159" s="324"/>
      <c r="I1159" s="324"/>
      <c r="J1159" s="324"/>
      <c r="K1159" s="324"/>
      <c r="L1159" s="324"/>
      <c r="M1159" s="294"/>
      <c r="N1159" s="235"/>
      <c r="O1159" s="324"/>
      <c r="P1159" s="235"/>
      <c r="Q1159" s="324"/>
      <c r="R1159" s="324"/>
      <c r="S1159" s="324"/>
      <c r="T1159" s="324"/>
      <c r="U1159" s="324"/>
      <c r="V1159" s="377">
        <v>41099</v>
      </c>
      <c r="W1159" s="198">
        <v>51.16</v>
      </c>
      <c r="X1159" s="349">
        <f t="shared" si="46"/>
        <v>-3.3622951145125701E-2</v>
      </c>
      <c r="Y1159" s="198">
        <v>1352.459961</v>
      </c>
      <c r="Z1159" s="349">
        <f t="shared" si="47"/>
        <v>-1.638831983570288E-3</v>
      </c>
      <c r="AA1159" s="324"/>
      <c r="AB1159" s="324"/>
      <c r="AC1159" s="324"/>
      <c r="AD1159" s="324"/>
      <c r="AE1159" s="324"/>
      <c r="AF1159" s="324"/>
    </row>
    <row r="1160" spans="1:32">
      <c r="A1160" s="324"/>
      <c r="B1160" s="244"/>
      <c r="C1160" s="294"/>
      <c r="D1160" s="235"/>
      <c r="E1160" s="294"/>
      <c r="F1160" s="235"/>
      <c r="G1160" s="324"/>
      <c r="H1160" s="324"/>
      <c r="I1160" s="324"/>
      <c r="J1160" s="324"/>
      <c r="K1160" s="324"/>
      <c r="L1160" s="324"/>
      <c r="M1160" s="294"/>
      <c r="N1160" s="235"/>
      <c r="O1160" s="324"/>
      <c r="P1160" s="235"/>
      <c r="Q1160" s="324"/>
      <c r="R1160" s="324"/>
      <c r="S1160" s="324"/>
      <c r="T1160" s="324"/>
      <c r="U1160" s="324"/>
      <c r="V1160" s="377">
        <v>41096</v>
      </c>
      <c r="W1160" s="198">
        <v>52.939999</v>
      </c>
      <c r="X1160" s="349">
        <f t="shared" si="46"/>
        <v>-6.5819642344084772E-2</v>
      </c>
      <c r="Y1160" s="198">
        <v>1354.6800539999999</v>
      </c>
      <c r="Z1160" s="349">
        <f t="shared" si="47"/>
        <v>-9.4326492161603825E-3</v>
      </c>
      <c r="AA1160" s="324"/>
      <c r="AB1160" s="324"/>
      <c r="AC1160" s="324"/>
      <c r="AD1160" s="324"/>
      <c r="AE1160" s="324"/>
      <c r="AF1160" s="324"/>
    </row>
    <row r="1161" spans="1:32">
      <c r="A1161" s="324"/>
      <c r="B1161" s="244"/>
      <c r="C1161" s="294"/>
      <c r="D1161" s="235"/>
      <c r="E1161" s="294"/>
      <c r="F1161" s="235"/>
      <c r="G1161" s="324"/>
      <c r="H1161" s="324"/>
      <c r="I1161" s="324"/>
      <c r="J1161" s="324"/>
      <c r="K1161" s="324"/>
      <c r="L1161" s="324"/>
      <c r="M1161" s="294"/>
      <c r="N1161" s="235"/>
      <c r="O1161" s="324"/>
      <c r="P1161" s="235"/>
      <c r="Q1161" s="324"/>
      <c r="R1161" s="324"/>
      <c r="S1161" s="324"/>
      <c r="T1161" s="324"/>
      <c r="U1161" s="324"/>
      <c r="V1161" s="377">
        <v>41095</v>
      </c>
      <c r="W1161" s="198">
        <v>56.669998</v>
      </c>
      <c r="X1161" s="349">
        <f t="shared" ref="X1161:X1224" si="48">W1161/W1162-1</f>
        <v>0</v>
      </c>
      <c r="Y1161" s="198">
        <v>1367.579956</v>
      </c>
      <c r="Z1161" s="349">
        <f t="shared" ref="Z1161:Z1224" si="49">Y1161/Y1162-1</f>
        <v>-4.6870234103284503E-3</v>
      </c>
      <c r="AA1161" s="324"/>
      <c r="AB1161" s="324"/>
      <c r="AC1161" s="324"/>
      <c r="AD1161" s="324"/>
      <c r="AE1161" s="324"/>
      <c r="AF1161" s="324"/>
    </row>
    <row r="1162" spans="1:32">
      <c r="A1162" s="324"/>
      <c r="B1162" s="244"/>
      <c r="C1162" s="294"/>
      <c r="D1162" s="235"/>
      <c r="E1162" s="294"/>
      <c r="F1162" s="235"/>
      <c r="G1162" s="324"/>
      <c r="H1162" s="324"/>
      <c r="I1162" s="324"/>
      <c r="J1162" s="324"/>
      <c r="K1162" s="324"/>
      <c r="L1162" s="324"/>
      <c r="M1162" s="294"/>
      <c r="N1162" s="235"/>
      <c r="O1162" s="324"/>
      <c r="P1162" s="235"/>
      <c r="Q1162" s="324"/>
      <c r="R1162" s="324"/>
      <c r="S1162" s="324"/>
      <c r="T1162" s="324"/>
      <c r="U1162" s="324"/>
      <c r="V1162" s="377">
        <v>41093</v>
      </c>
      <c r="W1162" s="198">
        <v>56.669998</v>
      </c>
      <c r="X1162" s="349">
        <f t="shared" si="48"/>
        <v>1.4863861031518599E-2</v>
      </c>
      <c r="Y1162" s="198">
        <v>1374.0200199999999</v>
      </c>
      <c r="Z1162" s="349">
        <f t="shared" si="49"/>
        <v>6.2321110337375529E-3</v>
      </c>
      <c r="AA1162" s="324"/>
      <c r="AB1162" s="324"/>
      <c r="AC1162" s="324"/>
      <c r="AD1162" s="324"/>
      <c r="AE1162" s="324"/>
      <c r="AF1162" s="324"/>
    </row>
    <row r="1163" spans="1:32">
      <c r="A1163" s="324"/>
      <c r="B1163" s="244"/>
      <c r="C1163" s="294"/>
      <c r="D1163" s="235"/>
      <c r="E1163" s="294"/>
      <c r="F1163" s="235"/>
      <c r="G1163" s="324"/>
      <c r="H1163" s="324"/>
      <c r="I1163" s="324"/>
      <c r="J1163" s="324"/>
      <c r="K1163" s="324"/>
      <c r="L1163" s="324"/>
      <c r="M1163" s="294"/>
      <c r="N1163" s="235"/>
      <c r="O1163" s="324"/>
      <c r="P1163" s="235"/>
      <c r="Q1163" s="324"/>
      <c r="R1163" s="324"/>
      <c r="S1163" s="324"/>
      <c r="T1163" s="324"/>
      <c r="U1163" s="324"/>
      <c r="V1163" s="377">
        <v>41092</v>
      </c>
      <c r="W1163" s="198">
        <v>55.84</v>
      </c>
      <c r="X1163" s="349">
        <f t="shared" si="48"/>
        <v>-1.1331444759206666E-2</v>
      </c>
      <c r="Y1163" s="198">
        <v>1365.51001</v>
      </c>
      <c r="Z1163" s="349">
        <f t="shared" si="49"/>
        <v>2.4593116200617438E-3</v>
      </c>
      <c r="AA1163" s="324"/>
      <c r="AB1163" s="324"/>
      <c r="AC1163" s="324"/>
      <c r="AD1163" s="324"/>
      <c r="AE1163" s="324"/>
      <c r="AF1163" s="324"/>
    </row>
    <row r="1164" spans="1:32">
      <c r="A1164" s="324"/>
      <c r="B1164" s="244"/>
      <c r="C1164" s="294"/>
      <c r="D1164" s="235"/>
      <c r="E1164" s="294"/>
      <c r="F1164" s="235"/>
      <c r="G1164" s="324"/>
      <c r="H1164" s="324"/>
      <c r="I1164" s="324"/>
      <c r="J1164" s="324"/>
      <c r="K1164" s="324"/>
      <c r="L1164" s="324"/>
      <c r="M1164" s="294"/>
      <c r="N1164" s="235"/>
      <c r="O1164" s="324"/>
      <c r="P1164" s="235"/>
      <c r="Q1164" s="324"/>
      <c r="R1164" s="324"/>
      <c r="S1164" s="324"/>
      <c r="T1164" s="324"/>
      <c r="U1164" s="324"/>
      <c r="V1164" s="377">
        <v>41089</v>
      </c>
      <c r="W1164" s="198">
        <v>56.48</v>
      </c>
      <c r="X1164" s="349">
        <f t="shared" si="48"/>
        <v>7.2133637053910293E-2</v>
      </c>
      <c r="Y1164" s="198">
        <v>1362.160034</v>
      </c>
      <c r="Z1164" s="349">
        <f t="shared" si="49"/>
        <v>2.4920238689663643E-2</v>
      </c>
      <c r="AA1164" s="324"/>
      <c r="AB1164" s="324"/>
      <c r="AC1164" s="324"/>
      <c r="AD1164" s="324"/>
      <c r="AE1164" s="324"/>
      <c r="AF1164" s="324"/>
    </row>
    <row r="1165" spans="1:32">
      <c r="A1165" s="324"/>
      <c r="B1165" s="244"/>
      <c r="C1165" s="294"/>
      <c r="D1165" s="235"/>
      <c r="E1165" s="294"/>
      <c r="F1165" s="235"/>
      <c r="G1165" s="324"/>
      <c r="H1165" s="324"/>
      <c r="I1165" s="324"/>
      <c r="J1165" s="324"/>
      <c r="K1165" s="324"/>
      <c r="L1165" s="324"/>
      <c r="M1165" s="294"/>
      <c r="N1165" s="235"/>
      <c r="O1165" s="324"/>
      <c r="P1165" s="235"/>
      <c r="Q1165" s="324"/>
      <c r="R1165" s="324"/>
      <c r="S1165" s="324"/>
      <c r="T1165" s="324"/>
      <c r="U1165" s="324"/>
      <c r="V1165" s="377">
        <v>41088</v>
      </c>
      <c r="W1165" s="198">
        <v>52.68</v>
      </c>
      <c r="X1165" s="349">
        <f t="shared" si="48"/>
        <v>-3.1973503563892058E-2</v>
      </c>
      <c r="Y1165" s="198">
        <v>1329.040039</v>
      </c>
      <c r="Z1165" s="349">
        <f t="shared" si="49"/>
        <v>-2.1097999404100509E-3</v>
      </c>
      <c r="AA1165" s="324"/>
      <c r="AB1165" s="324"/>
      <c r="AC1165" s="324"/>
      <c r="AD1165" s="324"/>
      <c r="AE1165" s="324"/>
      <c r="AF1165" s="324"/>
    </row>
    <row r="1166" spans="1:32">
      <c r="A1166" s="324"/>
      <c r="B1166" s="244"/>
      <c r="C1166" s="294"/>
      <c r="D1166" s="235"/>
      <c r="E1166" s="294"/>
      <c r="F1166" s="235"/>
      <c r="G1166" s="324"/>
      <c r="H1166" s="324"/>
      <c r="I1166" s="324"/>
      <c r="J1166" s="324"/>
      <c r="K1166" s="324"/>
      <c r="L1166" s="324"/>
      <c r="M1166" s="294"/>
      <c r="N1166" s="235"/>
      <c r="O1166" s="324"/>
      <c r="P1166" s="235"/>
      <c r="Q1166" s="324"/>
      <c r="R1166" s="324"/>
      <c r="S1166" s="324"/>
      <c r="T1166" s="324"/>
      <c r="U1166" s="324"/>
      <c r="V1166" s="377">
        <v>41087</v>
      </c>
      <c r="W1166" s="198">
        <v>54.419998</v>
      </c>
      <c r="X1166" s="349">
        <f t="shared" si="48"/>
        <v>-3.6616807700783349E-3</v>
      </c>
      <c r="Y1166" s="198">
        <v>1331.849976</v>
      </c>
      <c r="Z1166" s="349">
        <f t="shared" si="49"/>
        <v>8.9849060143250004E-3</v>
      </c>
      <c r="AA1166" s="324"/>
      <c r="AB1166" s="324"/>
      <c r="AC1166" s="324"/>
      <c r="AD1166" s="324"/>
      <c r="AE1166" s="324"/>
      <c r="AF1166" s="324"/>
    </row>
    <row r="1167" spans="1:32">
      <c r="A1167" s="324"/>
      <c r="B1167" s="244"/>
      <c r="C1167" s="294"/>
      <c r="D1167" s="235"/>
      <c r="E1167" s="294"/>
      <c r="F1167" s="235"/>
      <c r="G1167" s="324"/>
      <c r="H1167" s="324"/>
      <c r="I1167" s="324"/>
      <c r="J1167" s="324"/>
      <c r="K1167" s="324"/>
      <c r="L1167" s="324"/>
      <c r="M1167" s="294"/>
      <c r="N1167" s="235"/>
      <c r="O1167" s="324"/>
      <c r="P1167" s="235"/>
      <c r="Q1167" s="324"/>
      <c r="R1167" s="324"/>
      <c r="S1167" s="324"/>
      <c r="T1167" s="324"/>
      <c r="U1167" s="324"/>
      <c r="V1167" s="377">
        <v>41086</v>
      </c>
      <c r="W1167" s="198">
        <v>54.619999</v>
      </c>
      <c r="X1167" s="349">
        <f t="shared" si="48"/>
        <v>1.6375083127090351E-2</v>
      </c>
      <c r="Y1167" s="198">
        <v>1319.98999</v>
      </c>
      <c r="Z1167" s="349">
        <f t="shared" si="49"/>
        <v>4.7727210809067611E-3</v>
      </c>
      <c r="AA1167" s="324"/>
      <c r="AB1167" s="324"/>
      <c r="AC1167" s="324"/>
      <c r="AD1167" s="324"/>
      <c r="AE1167" s="324"/>
      <c r="AF1167" s="324"/>
    </row>
    <row r="1168" spans="1:32">
      <c r="A1168" s="324"/>
      <c r="B1168" s="244"/>
      <c r="C1168" s="294"/>
      <c r="D1168" s="235"/>
      <c r="E1168" s="294"/>
      <c r="F1168" s="235"/>
      <c r="G1168" s="324"/>
      <c r="H1168" s="324"/>
      <c r="I1168" s="324"/>
      <c r="J1168" s="324"/>
      <c r="K1168" s="324"/>
      <c r="L1168" s="324"/>
      <c r="M1168" s="294"/>
      <c r="N1168" s="235"/>
      <c r="O1168" s="324"/>
      <c r="P1168" s="235"/>
      <c r="Q1168" s="324"/>
      <c r="R1168" s="324"/>
      <c r="S1168" s="324"/>
      <c r="T1168" s="324"/>
      <c r="U1168" s="324"/>
      <c r="V1168" s="377">
        <v>41085</v>
      </c>
      <c r="W1168" s="198">
        <v>53.740001999999997</v>
      </c>
      <c r="X1168" s="349">
        <f t="shared" si="48"/>
        <v>-2.3086639632308392E-2</v>
      </c>
      <c r="Y1168" s="198">
        <v>1313.719971</v>
      </c>
      <c r="Z1168" s="349">
        <f t="shared" si="49"/>
        <v>-1.5954853620846809E-2</v>
      </c>
      <c r="AA1168" s="324"/>
      <c r="AB1168" s="324"/>
      <c r="AC1168" s="324"/>
      <c r="AD1168" s="324"/>
      <c r="AE1168" s="324"/>
      <c r="AF1168" s="324"/>
    </row>
    <row r="1169" spans="1:32">
      <c r="A1169" s="324"/>
      <c r="B1169" s="244"/>
      <c r="C1169" s="294"/>
      <c r="D1169" s="235"/>
      <c r="E1169" s="294"/>
      <c r="F1169" s="235"/>
      <c r="G1169" s="324"/>
      <c r="H1169" s="324"/>
      <c r="I1169" s="324"/>
      <c r="J1169" s="324"/>
      <c r="K1169" s="324"/>
      <c r="L1169" s="324"/>
      <c r="M1169" s="294"/>
      <c r="N1169" s="235"/>
      <c r="O1169" s="324"/>
      <c r="P1169" s="235"/>
      <c r="Q1169" s="324"/>
      <c r="R1169" s="324"/>
      <c r="S1169" s="324"/>
      <c r="T1169" s="324"/>
      <c r="U1169" s="324"/>
      <c r="V1169" s="377">
        <v>41082</v>
      </c>
      <c r="W1169" s="198">
        <v>55.009998000000003</v>
      </c>
      <c r="X1169" s="349">
        <f t="shared" si="48"/>
        <v>3.7924490566037861E-2</v>
      </c>
      <c r="Y1169" s="198">
        <v>1335.0200199999999</v>
      </c>
      <c r="Z1169" s="349">
        <f t="shared" si="49"/>
        <v>7.174604437728771E-3</v>
      </c>
      <c r="AA1169" s="324"/>
      <c r="AB1169" s="324"/>
      <c r="AC1169" s="324"/>
      <c r="AD1169" s="324"/>
      <c r="AE1169" s="324"/>
      <c r="AF1169" s="324"/>
    </row>
    <row r="1170" spans="1:32">
      <c r="A1170" s="324"/>
      <c r="B1170" s="244"/>
      <c r="C1170" s="294"/>
      <c r="D1170" s="235"/>
      <c r="E1170" s="294"/>
      <c r="F1170" s="235"/>
      <c r="G1170" s="324"/>
      <c r="H1170" s="324"/>
      <c r="I1170" s="324"/>
      <c r="J1170" s="324"/>
      <c r="K1170" s="324"/>
      <c r="L1170" s="324"/>
      <c r="M1170" s="294"/>
      <c r="N1170" s="235"/>
      <c r="O1170" s="324"/>
      <c r="P1170" s="235"/>
      <c r="Q1170" s="324"/>
      <c r="R1170" s="324"/>
      <c r="S1170" s="324"/>
      <c r="T1170" s="324"/>
      <c r="U1170" s="324"/>
      <c r="V1170" s="377">
        <v>41081</v>
      </c>
      <c r="W1170" s="198">
        <v>53</v>
      </c>
      <c r="X1170" s="349">
        <f t="shared" si="48"/>
        <v>-6.1946902654867242E-2</v>
      </c>
      <c r="Y1170" s="198">
        <v>1325.51001</v>
      </c>
      <c r="Z1170" s="349">
        <f t="shared" si="49"/>
        <v>-2.2261676573139155E-2</v>
      </c>
      <c r="AA1170" s="324"/>
      <c r="AB1170" s="324"/>
      <c r="AC1170" s="324"/>
      <c r="AD1170" s="324"/>
      <c r="AE1170" s="324"/>
      <c r="AF1170" s="324"/>
    </row>
    <row r="1171" spans="1:32">
      <c r="A1171" s="324"/>
      <c r="B1171" s="244"/>
      <c r="C1171" s="294"/>
      <c r="D1171" s="235"/>
      <c r="E1171" s="294"/>
      <c r="F1171" s="235"/>
      <c r="G1171" s="324"/>
      <c r="H1171" s="324"/>
      <c r="I1171" s="324"/>
      <c r="J1171" s="324"/>
      <c r="K1171" s="324"/>
      <c r="L1171" s="324"/>
      <c r="M1171" s="294"/>
      <c r="N1171" s="235"/>
      <c r="O1171" s="324"/>
      <c r="P1171" s="235"/>
      <c r="Q1171" s="324"/>
      <c r="R1171" s="324"/>
      <c r="S1171" s="324"/>
      <c r="T1171" s="324"/>
      <c r="U1171" s="324"/>
      <c r="V1171" s="377">
        <v>41080</v>
      </c>
      <c r="W1171" s="198">
        <v>56.5</v>
      </c>
      <c r="X1171" s="349">
        <f t="shared" si="48"/>
        <v>-7.3787423534343866E-3</v>
      </c>
      <c r="Y1171" s="198">
        <v>1355.6899410000001</v>
      </c>
      <c r="Z1171" s="349">
        <f t="shared" si="49"/>
        <v>-1.6863569667646683E-3</v>
      </c>
      <c r="AA1171" s="324"/>
      <c r="AB1171" s="324"/>
      <c r="AC1171" s="324"/>
      <c r="AD1171" s="324"/>
      <c r="AE1171" s="324"/>
      <c r="AF1171" s="324"/>
    </row>
    <row r="1172" spans="1:32">
      <c r="A1172" s="324"/>
      <c r="B1172" s="244"/>
      <c r="C1172" s="294"/>
      <c r="D1172" s="235"/>
      <c r="E1172" s="294"/>
      <c r="F1172" s="235"/>
      <c r="G1172" s="324"/>
      <c r="H1172" s="324"/>
      <c r="I1172" s="324"/>
      <c r="J1172" s="324"/>
      <c r="K1172" s="324"/>
      <c r="L1172" s="324"/>
      <c r="M1172" s="294"/>
      <c r="N1172" s="235"/>
      <c r="O1172" s="324"/>
      <c r="P1172" s="235"/>
      <c r="Q1172" s="324"/>
      <c r="R1172" s="324"/>
      <c r="S1172" s="324"/>
      <c r="T1172" s="324"/>
      <c r="U1172" s="324"/>
      <c r="V1172" s="377">
        <v>41079</v>
      </c>
      <c r="W1172" s="198">
        <v>56.919998</v>
      </c>
      <c r="X1172" s="349">
        <f t="shared" si="48"/>
        <v>6.364869052954969E-3</v>
      </c>
      <c r="Y1172" s="198">
        <v>1357.9799800000001</v>
      </c>
      <c r="Z1172" s="349">
        <f t="shared" si="49"/>
        <v>9.815695292423321E-3</v>
      </c>
      <c r="AA1172" s="324"/>
      <c r="AB1172" s="324"/>
      <c r="AC1172" s="324"/>
      <c r="AD1172" s="324"/>
      <c r="AE1172" s="324"/>
      <c r="AF1172" s="324"/>
    </row>
    <row r="1173" spans="1:32">
      <c r="A1173" s="324"/>
      <c r="B1173" s="244"/>
      <c r="C1173" s="294"/>
      <c r="D1173" s="235"/>
      <c r="E1173" s="294"/>
      <c r="F1173" s="235"/>
      <c r="G1173" s="324"/>
      <c r="H1173" s="324"/>
      <c r="I1173" s="324"/>
      <c r="J1173" s="324"/>
      <c r="K1173" s="324"/>
      <c r="L1173" s="324"/>
      <c r="M1173" s="294"/>
      <c r="N1173" s="235"/>
      <c r="O1173" s="324"/>
      <c r="P1173" s="235"/>
      <c r="Q1173" s="324"/>
      <c r="R1173" s="324"/>
      <c r="S1173" s="324"/>
      <c r="T1173" s="324"/>
      <c r="U1173" s="324"/>
      <c r="V1173" s="377">
        <v>41078</v>
      </c>
      <c r="W1173" s="198">
        <v>56.560001</v>
      </c>
      <c r="X1173" s="349">
        <f t="shared" si="48"/>
        <v>1.2391396268671695E-3</v>
      </c>
      <c r="Y1173" s="198">
        <v>1344.780029</v>
      </c>
      <c r="Z1173" s="349">
        <f t="shared" si="49"/>
        <v>1.4447462461062432E-3</v>
      </c>
      <c r="AA1173" s="324"/>
      <c r="AB1173" s="324"/>
      <c r="AC1173" s="324"/>
      <c r="AD1173" s="324"/>
      <c r="AE1173" s="324"/>
      <c r="AF1173" s="324"/>
    </row>
    <row r="1174" spans="1:32">
      <c r="A1174" s="324"/>
      <c r="B1174" s="244"/>
      <c r="C1174" s="294"/>
      <c r="D1174" s="235"/>
      <c r="E1174" s="294"/>
      <c r="F1174" s="235"/>
      <c r="G1174" s="324"/>
      <c r="H1174" s="324"/>
      <c r="I1174" s="324"/>
      <c r="J1174" s="324"/>
      <c r="K1174" s="324"/>
      <c r="L1174" s="324"/>
      <c r="M1174" s="294"/>
      <c r="N1174" s="235"/>
      <c r="O1174" s="324"/>
      <c r="P1174" s="235"/>
      <c r="Q1174" s="324"/>
      <c r="R1174" s="324"/>
      <c r="S1174" s="324"/>
      <c r="T1174" s="324"/>
      <c r="U1174" s="324"/>
      <c r="V1174" s="377">
        <v>41075</v>
      </c>
      <c r="W1174" s="198">
        <v>56.490001999999997</v>
      </c>
      <c r="X1174" s="349">
        <f t="shared" si="48"/>
        <v>4.321329480283298E-2</v>
      </c>
      <c r="Y1174" s="198">
        <v>1342.839966</v>
      </c>
      <c r="Z1174" s="349">
        <f t="shared" si="49"/>
        <v>1.033781524949795E-2</v>
      </c>
      <c r="AA1174" s="324"/>
      <c r="AB1174" s="324"/>
      <c r="AC1174" s="324"/>
      <c r="AD1174" s="324"/>
      <c r="AE1174" s="324"/>
      <c r="AF1174" s="324"/>
    </row>
    <row r="1175" spans="1:32">
      <c r="A1175" s="324"/>
      <c r="B1175" s="244"/>
      <c r="C1175" s="294"/>
      <c r="D1175" s="235"/>
      <c r="E1175" s="294"/>
      <c r="F1175" s="235"/>
      <c r="G1175" s="324"/>
      <c r="H1175" s="324"/>
      <c r="I1175" s="324"/>
      <c r="J1175" s="324"/>
      <c r="K1175" s="324"/>
      <c r="L1175" s="324"/>
      <c r="M1175" s="294"/>
      <c r="N1175" s="235"/>
      <c r="O1175" s="324"/>
      <c r="P1175" s="235"/>
      <c r="Q1175" s="324"/>
      <c r="R1175" s="324"/>
      <c r="S1175" s="324"/>
      <c r="T1175" s="324"/>
      <c r="U1175" s="324"/>
      <c r="V1175" s="377">
        <v>41074</v>
      </c>
      <c r="W1175" s="198">
        <v>54.150002000000001</v>
      </c>
      <c r="X1175" s="349">
        <f t="shared" si="48"/>
        <v>1.9774087373788607E-2</v>
      </c>
      <c r="Y1175" s="198">
        <v>1329.099976</v>
      </c>
      <c r="Z1175" s="349">
        <f t="shared" si="49"/>
        <v>1.0814653007062747E-2</v>
      </c>
      <c r="AA1175" s="324"/>
      <c r="AB1175" s="324"/>
      <c r="AC1175" s="324"/>
      <c r="AD1175" s="324"/>
      <c r="AE1175" s="324"/>
      <c r="AF1175" s="324"/>
    </row>
    <row r="1176" spans="1:32">
      <c r="A1176" s="324"/>
      <c r="B1176" s="244"/>
      <c r="C1176" s="294"/>
      <c r="D1176" s="235"/>
      <c r="E1176" s="294"/>
      <c r="F1176" s="235"/>
      <c r="G1176" s="324"/>
      <c r="H1176" s="324"/>
      <c r="I1176" s="324"/>
      <c r="J1176" s="324"/>
      <c r="K1176" s="324"/>
      <c r="L1176" s="324"/>
      <c r="M1176" s="294"/>
      <c r="N1176" s="235"/>
      <c r="O1176" s="324"/>
      <c r="P1176" s="235"/>
      <c r="Q1176" s="324"/>
      <c r="R1176" s="324"/>
      <c r="S1176" s="324"/>
      <c r="T1176" s="324"/>
      <c r="U1176" s="324"/>
      <c r="V1176" s="377">
        <v>41073</v>
      </c>
      <c r="W1176" s="198">
        <v>53.099997999999999</v>
      </c>
      <c r="X1176" s="349">
        <f t="shared" si="48"/>
        <v>-1.1541381021195507E-2</v>
      </c>
      <c r="Y1176" s="198">
        <v>1314.880005</v>
      </c>
      <c r="Z1176" s="349">
        <f t="shared" si="49"/>
        <v>-7.0232510842517248E-3</v>
      </c>
      <c r="AA1176" s="324"/>
      <c r="AB1176" s="324"/>
      <c r="AC1176" s="324"/>
      <c r="AD1176" s="324"/>
      <c r="AE1176" s="324"/>
      <c r="AF1176" s="324"/>
    </row>
    <row r="1177" spans="1:32">
      <c r="A1177" s="324"/>
      <c r="B1177" s="244"/>
      <c r="C1177" s="294"/>
      <c r="D1177" s="235"/>
      <c r="E1177" s="294"/>
      <c r="F1177" s="235"/>
      <c r="G1177" s="324"/>
      <c r="H1177" s="324"/>
      <c r="I1177" s="324"/>
      <c r="J1177" s="324"/>
      <c r="K1177" s="324"/>
      <c r="L1177" s="324"/>
      <c r="M1177" s="294"/>
      <c r="N1177" s="235"/>
      <c r="O1177" s="324"/>
      <c r="P1177" s="235"/>
      <c r="Q1177" s="324"/>
      <c r="R1177" s="324"/>
      <c r="S1177" s="324"/>
      <c r="T1177" s="324"/>
      <c r="U1177" s="324"/>
      <c r="V1177" s="377">
        <v>41072</v>
      </c>
      <c r="W1177" s="198">
        <v>53.720001000000003</v>
      </c>
      <c r="X1177" s="349">
        <f t="shared" si="48"/>
        <v>-9.2986795610938699E-4</v>
      </c>
      <c r="Y1177" s="198">
        <v>1324.1800539999999</v>
      </c>
      <c r="Z1177" s="349">
        <f t="shared" si="49"/>
        <v>1.1650737144736745E-2</v>
      </c>
      <c r="AA1177" s="324"/>
      <c r="AB1177" s="324"/>
      <c r="AC1177" s="324"/>
      <c r="AD1177" s="324"/>
      <c r="AE1177" s="324"/>
      <c r="AF1177" s="324"/>
    </row>
    <row r="1178" spans="1:32">
      <c r="A1178" s="324"/>
      <c r="B1178" s="244"/>
      <c r="C1178" s="294"/>
      <c r="D1178" s="235"/>
      <c r="E1178" s="294"/>
      <c r="F1178" s="235"/>
      <c r="G1178" s="324"/>
      <c r="H1178" s="324"/>
      <c r="I1178" s="324"/>
      <c r="J1178" s="324"/>
      <c r="K1178" s="324"/>
      <c r="L1178" s="324"/>
      <c r="M1178" s="294"/>
      <c r="N1178" s="235"/>
      <c r="O1178" s="324"/>
      <c r="P1178" s="235"/>
      <c r="Q1178" s="324"/>
      <c r="R1178" s="324"/>
      <c r="S1178" s="324"/>
      <c r="T1178" s="324"/>
      <c r="U1178" s="324"/>
      <c r="V1178" s="377">
        <v>41071</v>
      </c>
      <c r="W1178" s="198">
        <v>53.77</v>
      </c>
      <c r="X1178" s="349">
        <f t="shared" si="48"/>
        <v>-3.5688631122260839E-2</v>
      </c>
      <c r="Y1178" s="198">
        <v>1308.9300539999999</v>
      </c>
      <c r="Z1178" s="349">
        <f t="shared" si="49"/>
        <v>-1.262011343098246E-2</v>
      </c>
      <c r="AA1178" s="324"/>
      <c r="AB1178" s="324"/>
      <c r="AC1178" s="324"/>
      <c r="AD1178" s="324"/>
      <c r="AE1178" s="324"/>
      <c r="AF1178" s="324"/>
    </row>
    <row r="1179" spans="1:32">
      <c r="A1179" s="324"/>
      <c r="B1179" s="244"/>
      <c r="C1179" s="294"/>
      <c r="D1179" s="235"/>
      <c r="E1179" s="294"/>
      <c r="F1179" s="235"/>
      <c r="G1179" s="324"/>
      <c r="H1179" s="324"/>
      <c r="I1179" s="324"/>
      <c r="J1179" s="324"/>
      <c r="K1179" s="324"/>
      <c r="L1179" s="324"/>
      <c r="M1179" s="294"/>
      <c r="N1179" s="235"/>
      <c r="O1179" s="324"/>
      <c r="P1179" s="235"/>
      <c r="Q1179" s="324"/>
      <c r="R1179" s="324"/>
      <c r="S1179" s="324"/>
      <c r="T1179" s="324"/>
      <c r="U1179" s="324"/>
      <c r="V1179" s="377">
        <v>41068</v>
      </c>
      <c r="W1179" s="198">
        <v>55.759998000000003</v>
      </c>
      <c r="X1179" s="349">
        <f t="shared" si="48"/>
        <v>2.0684550234586263E-2</v>
      </c>
      <c r="Y1179" s="198">
        <v>1325.660034</v>
      </c>
      <c r="Z1179" s="349">
        <f t="shared" si="49"/>
        <v>8.1141636675119422E-3</v>
      </c>
      <c r="AA1179" s="324"/>
      <c r="AB1179" s="324"/>
      <c r="AC1179" s="324"/>
      <c r="AD1179" s="324"/>
      <c r="AE1179" s="324"/>
      <c r="AF1179" s="324"/>
    </row>
    <row r="1180" spans="1:32">
      <c r="A1180" s="324"/>
      <c r="B1180" s="244"/>
      <c r="C1180" s="294"/>
      <c r="D1180" s="235"/>
      <c r="E1180" s="294"/>
      <c r="F1180" s="235"/>
      <c r="G1180" s="324"/>
      <c r="H1180" s="324"/>
      <c r="I1180" s="324"/>
      <c r="J1180" s="324"/>
      <c r="K1180" s="324"/>
      <c r="L1180" s="324"/>
      <c r="M1180" s="294"/>
      <c r="N1180" s="235"/>
      <c r="O1180" s="324"/>
      <c r="P1180" s="235"/>
      <c r="Q1180" s="324"/>
      <c r="R1180" s="324"/>
      <c r="S1180" s="324"/>
      <c r="T1180" s="324"/>
      <c r="U1180" s="324"/>
      <c r="V1180" s="377">
        <v>41067</v>
      </c>
      <c r="W1180" s="198">
        <v>54.630001</v>
      </c>
      <c r="X1180" s="349">
        <f t="shared" si="48"/>
        <v>-1.1579500633254969E-2</v>
      </c>
      <c r="Y1180" s="198">
        <v>1314.98999</v>
      </c>
      <c r="Z1180" s="349">
        <f t="shared" si="49"/>
        <v>-1.0646475973297154E-4</v>
      </c>
      <c r="AA1180" s="324"/>
      <c r="AB1180" s="324"/>
      <c r="AC1180" s="324"/>
      <c r="AD1180" s="324"/>
      <c r="AE1180" s="324"/>
      <c r="AF1180" s="324"/>
    </row>
    <row r="1181" spans="1:32">
      <c r="A1181" s="324"/>
      <c r="B1181" s="244"/>
      <c r="C1181" s="294"/>
      <c r="D1181" s="235"/>
      <c r="E1181" s="294"/>
      <c r="F1181" s="235"/>
      <c r="G1181" s="324"/>
      <c r="H1181" s="324"/>
      <c r="I1181" s="324"/>
      <c r="J1181" s="324"/>
      <c r="K1181" s="324"/>
      <c r="L1181" s="324"/>
      <c r="M1181" s="294"/>
      <c r="N1181" s="235"/>
      <c r="O1181" s="324"/>
      <c r="P1181" s="235"/>
      <c r="Q1181" s="324"/>
      <c r="R1181" s="324"/>
      <c r="S1181" s="324"/>
      <c r="T1181" s="324"/>
      <c r="U1181" s="324"/>
      <c r="V1181" s="377">
        <v>41066</v>
      </c>
      <c r="W1181" s="198">
        <v>55.27</v>
      </c>
      <c r="X1181" s="349">
        <f t="shared" si="48"/>
        <v>4.3617844479188816E-2</v>
      </c>
      <c r="Y1181" s="198">
        <v>1315.130005</v>
      </c>
      <c r="Z1181" s="349">
        <f t="shared" si="49"/>
        <v>2.3049401011279613E-2</v>
      </c>
      <c r="AA1181" s="324"/>
      <c r="AB1181" s="324"/>
      <c r="AC1181" s="324"/>
      <c r="AD1181" s="324"/>
      <c r="AE1181" s="324"/>
      <c r="AF1181" s="324"/>
    </row>
    <row r="1182" spans="1:32">
      <c r="A1182" s="324"/>
      <c r="B1182" s="244"/>
      <c r="C1182" s="294"/>
      <c r="D1182" s="235"/>
      <c r="E1182" s="294"/>
      <c r="F1182" s="235"/>
      <c r="G1182" s="324"/>
      <c r="H1182" s="324"/>
      <c r="I1182" s="324"/>
      <c r="J1182" s="324"/>
      <c r="K1182" s="324"/>
      <c r="L1182" s="324"/>
      <c r="M1182" s="294"/>
      <c r="N1182" s="235"/>
      <c r="O1182" s="324"/>
      <c r="P1182" s="235"/>
      <c r="Q1182" s="324"/>
      <c r="R1182" s="324"/>
      <c r="S1182" s="324"/>
      <c r="T1182" s="324"/>
      <c r="U1182" s="324"/>
      <c r="V1182" s="377">
        <v>41065</v>
      </c>
      <c r="W1182" s="198">
        <v>52.959999000000003</v>
      </c>
      <c r="X1182" s="349">
        <f t="shared" si="48"/>
        <v>4.9128347860538879E-2</v>
      </c>
      <c r="Y1182" s="198">
        <v>1285.5</v>
      </c>
      <c r="Z1182" s="349">
        <f t="shared" si="49"/>
        <v>5.7268504363627848E-3</v>
      </c>
      <c r="AA1182" s="324"/>
      <c r="AB1182" s="324"/>
      <c r="AC1182" s="324"/>
      <c r="AD1182" s="324"/>
      <c r="AE1182" s="324"/>
      <c r="AF1182" s="324"/>
    </row>
    <row r="1183" spans="1:32">
      <c r="A1183" s="324"/>
      <c r="B1183" s="244"/>
      <c r="C1183" s="294"/>
      <c r="D1183" s="235"/>
      <c r="E1183" s="294"/>
      <c r="F1183" s="235"/>
      <c r="G1183" s="324"/>
      <c r="H1183" s="324"/>
      <c r="I1183" s="324"/>
      <c r="J1183" s="324"/>
      <c r="K1183" s="324"/>
      <c r="L1183" s="324"/>
      <c r="M1183" s="294"/>
      <c r="N1183" s="235"/>
      <c r="O1183" s="324"/>
      <c r="P1183" s="235"/>
      <c r="Q1183" s="324"/>
      <c r="R1183" s="324"/>
      <c r="S1183" s="324"/>
      <c r="T1183" s="324"/>
      <c r="U1183" s="324"/>
      <c r="V1183" s="377">
        <v>41064</v>
      </c>
      <c r="W1183" s="198">
        <v>50.48</v>
      </c>
      <c r="X1183" s="349">
        <f t="shared" si="48"/>
        <v>1.1623205946965642E-2</v>
      </c>
      <c r="Y1183" s="198">
        <v>1278.1800539999999</v>
      </c>
      <c r="Z1183" s="349">
        <f t="shared" si="49"/>
        <v>1.0955447069527224E-4</v>
      </c>
      <c r="AA1183" s="324"/>
      <c r="AB1183" s="324"/>
      <c r="AC1183" s="324"/>
      <c r="AD1183" s="324"/>
      <c r="AE1183" s="324"/>
      <c r="AF1183" s="324"/>
    </row>
    <row r="1184" spans="1:32">
      <c r="A1184" s="324"/>
      <c r="B1184" s="244"/>
      <c r="C1184" s="294"/>
      <c r="D1184" s="235"/>
      <c r="E1184" s="294"/>
      <c r="F1184" s="235"/>
      <c r="G1184" s="324"/>
      <c r="H1184" s="324"/>
      <c r="I1184" s="324"/>
      <c r="J1184" s="324"/>
      <c r="K1184" s="324"/>
      <c r="L1184" s="324"/>
      <c r="M1184" s="294"/>
      <c r="N1184" s="235"/>
      <c r="O1184" s="324"/>
      <c r="P1184" s="235"/>
      <c r="Q1184" s="324"/>
      <c r="R1184" s="324"/>
      <c r="S1184" s="324"/>
      <c r="T1184" s="324"/>
      <c r="U1184" s="324"/>
      <c r="V1184" s="377">
        <v>41061</v>
      </c>
      <c r="W1184" s="198">
        <v>49.900002000000001</v>
      </c>
      <c r="X1184" s="349">
        <f t="shared" si="48"/>
        <v>-2.8804962460004635E-2</v>
      </c>
      <c r="Y1184" s="198">
        <v>1278.040039</v>
      </c>
      <c r="Z1184" s="349">
        <f t="shared" si="49"/>
        <v>-2.4642584756720654E-2</v>
      </c>
      <c r="AA1184" s="324"/>
      <c r="AB1184" s="324"/>
      <c r="AC1184" s="324"/>
      <c r="AD1184" s="324"/>
      <c r="AE1184" s="324"/>
      <c r="AF1184" s="324"/>
    </row>
    <row r="1185" spans="1:32">
      <c r="A1185" s="324"/>
      <c r="B1185" s="244"/>
      <c r="C1185" s="294"/>
      <c r="D1185" s="235"/>
      <c r="E1185" s="294"/>
      <c r="F1185" s="235"/>
      <c r="G1185" s="324"/>
      <c r="H1185" s="324"/>
      <c r="I1185" s="324"/>
      <c r="J1185" s="324"/>
      <c r="K1185" s="324"/>
      <c r="L1185" s="324"/>
      <c r="M1185" s="294"/>
      <c r="N1185" s="235"/>
      <c r="O1185" s="324"/>
      <c r="P1185" s="235"/>
      <c r="Q1185" s="324"/>
      <c r="R1185" s="324"/>
      <c r="S1185" s="324"/>
      <c r="T1185" s="324"/>
      <c r="U1185" s="324"/>
      <c r="V1185" s="377">
        <v>41060</v>
      </c>
      <c r="W1185" s="198">
        <v>51.380001</v>
      </c>
      <c r="X1185" s="349">
        <f t="shared" si="48"/>
        <v>-2.9108869185112685E-3</v>
      </c>
      <c r="Y1185" s="198">
        <v>1310.329956</v>
      </c>
      <c r="Z1185" s="349">
        <f t="shared" si="49"/>
        <v>-2.2766653389425517E-3</v>
      </c>
      <c r="AA1185" s="324"/>
      <c r="AB1185" s="324"/>
      <c r="AC1185" s="324"/>
      <c r="AD1185" s="324"/>
      <c r="AE1185" s="324"/>
      <c r="AF1185" s="324"/>
    </row>
    <row r="1186" spans="1:32">
      <c r="A1186" s="324"/>
      <c r="B1186" s="244"/>
      <c r="C1186" s="294"/>
      <c r="D1186" s="235"/>
      <c r="E1186" s="294"/>
      <c r="F1186" s="235"/>
      <c r="G1186" s="324"/>
      <c r="H1186" s="324"/>
      <c r="I1186" s="324"/>
      <c r="J1186" s="324"/>
      <c r="K1186" s="324"/>
      <c r="L1186" s="324"/>
      <c r="M1186" s="294"/>
      <c r="N1186" s="235"/>
      <c r="O1186" s="324"/>
      <c r="P1186" s="235"/>
      <c r="Q1186" s="324"/>
      <c r="R1186" s="324"/>
      <c r="S1186" s="324"/>
      <c r="T1186" s="324"/>
      <c r="U1186" s="324"/>
      <c r="V1186" s="377">
        <v>41059</v>
      </c>
      <c r="W1186" s="198">
        <v>51.529998999999997</v>
      </c>
      <c r="X1186" s="349">
        <f t="shared" si="48"/>
        <v>-1.2835287110435134E-2</v>
      </c>
      <c r="Y1186" s="198">
        <v>1313.3199460000001</v>
      </c>
      <c r="Z1186" s="349">
        <f t="shared" si="49"/>
        <v>-1.4334892428261803E-2</v>
      </c>
      <c r="AA1186" s="324"/>
      <c r="AB1186" s="324"/>
      <c r="AC1186" s="324"/>
      <c r="AD1186" s="324"/>
      <c r="AE1186" s="324"/>
      <c r="AF1186" s="324"/>
    </row>
    <row r="1187" spans="1:32">
      <c r="A1187" s="324"/>
      <c r="B1187" s="244"/>
      <c r="C1187" s="294"/>
      <c r="D1187" s="235"/>
      <c r="E1187" s="294"/>
      <c r="F1187" s="235"/>
      <c r="G1187" s="324"/>
      <c r="H1187" s="324"/>
      <c r="I1187" s="324"/>
      <c r="J1187" s="324"/>
      <c r="K1187" s="324"/>
      <c r="L1187" s="324"/>
      <c r="M1187" s="294"/>
      <c r="N1187" s="235"/>
      <c r="O1187" s="324"/>
      <c r="P1187" s="235"/>
      <c r="Q1187" s="324"/>
      <c r="R1187" s="324"/>
      <c r="S1187" s="324"/>
      <c r="T1187" s="324"/>
      <c r="U1187" s="324"/>
      <c r="V1187" s="377">
        <v>41058</v>
      </c>
      <c r="W1187" s="198">
        <v>52.200001</v>
      </c>
      <c r="X1187" s="349">
        <f t="shared" si="48"/>
        <v>2.1117488961412967E-3</v>
      </c>
      <c r="Y1187" s="198">
        <v>1332.420044</v>
      </c>
      <c r="Z1187" s="349">
        <f t="shared" si="49"/>
        <v>1.1078977856053607E-2</v>
      </c>
      <c r="AA1187" s="324"/>
      <c r="AB1187" s="324"/>
      <c r="AC1187" s="324"/>
      <c r="AD1187" s="324"/>
      <c r="AE1187" s="324"/>
      <c r="AF1187" s="324"/>
    </row>
    <row r="1188" spans="1:32">
      <c r="A1188" s="324"/>
      <c r="B1188" s="244"/>
      <c r="C1188" s="294"/>
      <c r="D1188" s="235"/>
      <c r="E1188" s="294"/>
      <c r="F1188" s="235"/>
      <c r="G1188" s="324"/>
      <c r="H1188" s="324"/>
      <c r="I1188" s="324"/>
      <c r="J1188" s="324"/>
      <c r="K1188" s="324"/>
      <c r="L1188" s="324"/>
      <c r="M1188" s="294"/>
      <c r="N1188" s="235"/>
      <c r="O1188" s="324"/>
      <c r="P1188" s="235"/>
      <c r="Q1188" s="324"/>
      <c r="R1188" s="324"/>
      <c r="S1188" s="324"/>
      <c r="T1188" s="324"/>
      <c r="U1188" s="324"/>
      <c r="V1188" s="377">
        <v>41054</v>
      </c>
      <c r="W1188" s="198">
        <v>52.09</v>
      </c>
      <c r="X1188" s="349">
        <f t="shared" si="48"/>
        <v>-1.0072197074728173E-2</v>
      </c>
      <c r="Y1188" s="198">
        <v>1317.8199460000001</v>
      </c>
      <c r="Z1188" s="349">
        <f t="shared" si="49"/>
        <v>-2.1656327672530118E-3</v>
      </c>
      <c r="AA1188" s="324"/>
      <c r="AB1188" s="324"/>
      <c r="AC1188" s="324"/>
      <c r="AD1188" s="324"/>
      <c r="AE1188" s="324"/>
      <c r="AF1188" s="324"/>
    </row>
    <row r="1189" spans="1:32">
      <c r="A1189" s="324"/>
      <c r="B1189" s="244"/>
      <c r="C1189" s="294"/>
      <c r="D1189" s="235"/>
      <c r="E1189" s="294"/>
      <c r="F1189" s="235"/>
      <c r="G1189" s="324"/>
      <c r="H1189" s="324"/>
      <c r="I1189" s="324"/>
      <c r="J1189" s="324"/>
      <c r="K1189" s="324"/>
      <c r="L1189" s="324"/>
      <c r="M1189" s="294"/>
      <c r="N1189" s="235"/>
      <c r="O1189" s="324"/>
      <c r="P1189" s="235"/>
      <c r="Q1189" s="324"/>
      <c r="R1189" s="324"/>
      <c r="S1189" s="324"/>
      <c r="T1189" s="324"/>
      <c r="U1189" s="324"/>
      <c r="V1189" s="377">
        <v>41053</v>
      </c>
      <c r="W1189" s="198">
        <v>52.619999</v>
      </c>
      <c r="X1189" s="349">
        <f t="shared" si="48"/>
        <v>-3.3253738747014538E-2</v>
      </c>
      <c r="Y1189" s="198">
        <v>1320.6800539999999</v>
      </c>
      <c r="Z1189" s="349">
        <f t="shared" si="49"/>
        <v>1.3800320130266108E-3</v>
      </c>
      <c r="AA1189" s="324"/>
      <c r="AB1189" s="324"/>
      <c r="AC1189" s="324"/>
      <c r="AD1189" s="324"/>
      <c r="AE1189" s="324"/>
      <c r="AF1189" s="324"/>
    </row>
    <row r="1190" spans="1:32">
      <c r="A1190" s="324"/>
      <c r="B1190" s="244"/>
      <c r="C1190" s="294"/>
      <c r="D1190" s="235"/>
      <c r="E1190" s="294"/>
      <c r="F1190" s="235"/>
      <c r="G1190" s="324"/>
      <c r="H1190" s="324"/>
      <c r="I1190" s="324"/>
      <c r="J1190" s="324"/>
      <c r="K1190" s="324"/>
      <c r="L1190" s="324"/>
      <c r="M1190" s="294"/>
      <c r="N1190" s="235"/>
      <c r="O1190" s="324"/>
      <c r="P1190" s="235"/>
      <c r="Q1190" s="324"/>
      <c r="R1190" s="324"/>
      <c r="S1190" s="324"/>
      <c r="T1190" s="324"/>
      <c r="U1190" s="324"/>
      <c r="V1190" s="377">
        <v>41052</v>
      </c>
      <c r="W1190" s="198">
        <v>54.43</v>
      </c>
      <c r="X1190" s="349">
        <f t="shared" si="48"/>
        <v>-3.3558238636363646E-2</v>
      </c>
      <c r="Y1190" s="198">
        <v>1318.8599850000001</v>
      </c>
      <c r="Z1190" s="349">
        <f t="shared" si="49"/>
        <v>1.6937028561794243E-3</v>
      </c>
      <c r="AA1190" s="324"/>
      <c r="AB1190" s="324"/>
      <c r="AC1190" s="324"/>
      <c r="AD1190" s="324"/>
      <c r="AE1190" s="324"/>
      <c r="AF1190" s="324"/>
    </row>
    <row r="1191" spans="1:32">
      <c r="A1191" s="324"/>
      <c r="B1191" s="244"/>
      <c r="C1191" s="294"/>
      <c r="D1191" s="235"/>
      <c r="E1191" s="294"/>
      <c r="F1191" s="235"/>
      <c r="G1191" s="324"/>
      <c r="H1191" s="324"/>
      <c r="I1191" s="324"/>
      <c r="J1191" s="324"/>
      <c r="K1191" s="324"/>
      <c r="L1191" s="324"/>
      <c r="M1191" s="294"/>
      <c r="N1191" s="235"/>
      <c r="O1191" s="324"/>
      <c r="P1191" s="235"/>
      <c r="Q1191" s="324"/>
      <c r="R1191" s="324"/>
      <c r="S1191" s="324"/>
      <c r="T1191" s="324"/>
      <c r="U1191" s="324"/>
      <c r="V1191" s="377">
        <v>41051</v>
      </c>
      <c r="W1191" s="198">
        <v>56.32</v>
      </c>
      <c r="X1191" s="349">
        <f t="shared" si="48"/>
        <v>1.88133324676798E-2</v>
      </c>
      <c r="Y1191" s="198">
        <v>1316.630005</v>
      </c>
      <c r="Z1191" s="349">
        <f t="shared" si="49"/>
        <v>4.8633728589364544E-4</v>
      </c>
      <c r="AA1191" s="324"/>
      <c r="AB1191" s="324"/>
      <c r="AC1191" s="324"/>
      <c r="AD1191" s="324"/>
      <c r="AE1191" s="324"/>
      <c r="AF1191" s="324"/>
    </row>
    <row r="1192" spans="1:32">
      <c r="A1192" s="324"/>
      <c r="B1192" s="244"/>
      <c r="C1192" s="294"/>
      <c r="D1192" s="235"/>
      <c r="E1192" s="294"/>
      <c r="F1192" s="235"/>
      <c r="G1192" s="324"/>
      <c r="H1192" s="324"/>
      <c r="I1192" s="324"/>
      <c r="J1192" s="324"/>
      <c r="K1192" s="324"/>
      <c r="L1192" s="324"/>
      <c r="M1192" s="294"/>
      <c r="N1192" s="235"/>
      <c r="O1192" s="324"/>
      <c r="P1192" s="235"/>
      <c r="Q1192" s="324"/>
      <c r="R1192" s="324"/>
      <c r="S1192" s="324"/>
      <c r="T1192" s="324"/>
      <c r="U1192" s="324"/>
      <c r="V1192" s="377">
        <v>41050</v>
      </c>
      <c r="W1192" s="198">
        <v>55.279998999999997</v>
      </c>
      <c r="X1192" s="349">
        <f t="shared" si="48"/>
        <v>3.2691949050849045E-2</v>
      </c>
      <c r="Y1192" s="198">
        <v>1315.98999</v>
      </c>
      <c r="Z1192" s="349">
        <f t="shared" si="49"/>
        <v>1.6035900823829996E-2</v>
      </c>
      <c r="AA1192" s="324"/>
      <c r="AB1192" s="324"/>
      <c r="AC1192" s="324"/>
      <c r="AD1192" s="324"/>
      <c r="AE1192" s="324"/>
      <c r="AF1192" s="324"/>
    </row>
    <row r="1193" spans="1:32">
      <c r="A1193" s="324"/>
      <c r="B1193" s="244"/>
      <c r="C1193" s="294"/>
      <c r="D1193" s="235"/>
      <c r="E1193" s="294"/>
      <c r="F1193" s="235"/>
      <c r="G1193" s="324"/>
      <c r="H1193" s="324"/>
      <c r="I1193" s="324"/>
      <c r="J1193" s="324"/>
      <c r="K1193" s="324"/>
      <c r="L1193" s="324"/>
      <c r="M1193" s="294"/>
      <c r="N1193" s="235"/>
      <c r="O1193" s="324"/>
      <c r="P1193" s="235"/>
      <c r="Q1193" s="324"/>
      <c r="R1193" s="324"/>
      <c r="S1193" s="324"/>
      <c r="T1193" s="324"/>
      <c r="U1193" s="324"/>
      <c r="V1193" s="377">
        <v>41047</v>
      </c>
      <c r="W1193" s="198">
        <v>53.529998999999997</v>
      </c>
      <c r="X1193" s="349">
        <f t="shared" si="48"/>
        <v>-1.743761013215861E-2</v>
      </c>
      <c r="Y1193" s="198">
        <v>1295.219971</v>
      </c>
      <c r="Z1193" s="349">
        <f t="shared" si="49"/>
        <v>-7.3877765513670202E-3</v>
      </c>
      <c r="AA1193" s="324"/>
      <c r="AB1193" s="324"/>
      <c r="AC1193" s="324"/>
      <c r="AD1193" s="324"/>
      <c r="AE1193" s="324"/>
      <c r="AF1193" s="324"/>
    </row>
    <row r="1194" spans="1:32">
      <c r="A1194" s="324"/>
      <c r="B1194" s="244"/>
      <c r="C1194" s="294"/>
      <c r="D1194" s="235"/>
      <c r="E1194" s="294"/>
      <c r="F1194" s="235"/>
      <c r="G1194" s="324"/>
      <c r="H1194" s="324"/>
      <c r="I1194" s="324"/>
      <c r="J1194" s="324"/>
      <c r="K1194" s="324"/>
      <c r="L1194" s="324"/>
      <c r="M1194" s="294"/>
      <c r="N1194" s="235"/>
      <c r="O1194" s="324"/>
      <c r="P1194" s="235"/>
      <c r="Q1194" s="324"/>
      <c r="R1194" s="324"/>
      <c r="S1194" s="324"/>
      <c r="T1194" s="324"/>
      <c r="U1194" s="324"/>
      <c r="V1194" s="377">
        <v>41046</v>
      </c>
      <c r="W1194" s="198">
        <v>54.48</v>
      </c>
      <c r="X1194" s="349">
        <f t="shared" si="48"/>
        <v>-2.172740207806434E-2</v>
      </c>
      <c r="Y1194" s="198">
        <v>1304.8599850000001</v>
      </c>
      <c r="Z1194" s="349">
        <f t="shared" si="49"/>
        <v>-1.5051376254893167E-2</v>
      </c>
      <c r="AA1194" s="324"/>
      <c r="AB1194" s="324"/>
      <c r="AC1194" s="324"/>
      <c r="AD1194" s="324"/>
      <c r="AE1194" s="324"/>
      <c r="AF1194" s="324"/>
    </row>
    <row r="1195" spans="1:32">
      <c r="A1195" s="324"/>
      <c r="B1195" s="244"/>
      <c r="C1195" s="294"/>
      <c r="D1195" s="235"/>
      <c r="E1195" s="294"/>
      <c r="F1195" s="235"/>
      <c r="G1195" s="324"/>
      <c r="H1195" s="324"/>
      <c r="I1195" s="324"/>
      <c r="J1195" s="324"/>
      <c r="K1195" s="324"/>
      <c r="L1195" s="324"/>
      <c r="M1195" s="294"/>
      <c r="N1195" s="235"/>
      <c r="O1195" s="324"/>
      <c r="P1195" s="235"/>
      <c r="Q1195" s="324"/>
      <c r="R1195" s="324"/>
      <c r="S1195" s="324"/>
      <c r="T1195" s="324"/>
      <c r="U1195" s="324"/>
      <c r="V1195" s="377">
        <v>41045</v>
      </c>
      <c r="W1195" s="198">
        <v>55.689999</v>
      </c>
      <c r="X1195" s="349">
        <f t="shared" si="48"/>
        <v>-1.9887381203801513E-2</v>
      </c>
      <c r="Y1195" s="198">
        <v>1324.8000489999999</v>
      </c>
      <c r="Z1195" s="349">
        <f t="shared" si="49"/>
        <v>-4.4038182933808789E-3</v>
      </c>
      <c r="AA1195" s="324"/>
      <c r="AB1195" s="324"/>
      <c r="AC1195" s="324"/>
      <c r="AD1195" s="324"/>
      <c r="AE1195" s="324"/>
      <c r="AF1195" s="324"/>
    </row>
    <row r="1196" spans="1:32">
      <c r="A1196" s="324"/>
      <c r="B1196" s="244"/>
      <c r="C1196" s="294"/>
      <c r="D1196" s="235"/>
      <c r="E1196" s="294"/>
      <c r="F1196" s="235"/>
      <c r="G1196" s="324"/>
      <c r="H1196" s="324"/>
      <c r="I1196" s="324"/>
      <c r="J1196" s="324"/>
      <c r="K1196" s="324"/>
      <c r="L1196" s="324"/>
      <c r="M1196" s="294"/>
      <c r="N1196" s="235"/>
      <c r="O1196" s="324"/>
      <c r="P1196" s="235"/>
      <c r="Q1196" s="324"/>
      <c r="R1196" s="324"/>
      <c r="S1196" s="324"/>
      <c r="T1196" s="324"/>
      <c r="U1196" s="324"/>
      <c r="V1196" s="377">
        <v>41044</v>
      </c>
      <c r="W1196" s="198">
        <v>56.82</v>
      </c>
      <c r="X1196" s="349">
        <f t="shared" si="48"/>
        <v>1.6276158111250272E-2</v>
      </c>
      <c r="Y1196" s="198">
        <v>1330.660034</v>
      </c>
      <c r="Z1196" s="349">
        <f t="shared" si="49"/>
        <v>-5.7458378883700201E-3</v>
      </c>
      <c r="AA1196" s="324"/>
      <c r="AB1196" s="324"/>
      <c r="AC1196" s="324"/>
      <c r="AD1196" s="324"/>
      <c r="AE1196" s="324"/>
      <c r="AF1196" s="324"/>
    </row>
    <row r="1197" spans="1:32">
      <c r="A1197" s="324"/>
      <c r="B1197" s="244"/>
      <c r="C1197" s="294"/>
      <c r="D1197" s="235"/>
      <c r="E1197" s="294"/>
      <c r="F1197" s="235"/>
      <c r="G1197" s="324"/>
      <c r="H1197" s="324"/>
      <c r="I1197" s="324"/>
      <c r="J1197" s="324"/>
      <c r="K1197" s="324"/>
      <c r="L1197" s="324"/>
      <c r="M1197" s="294"/>
      <c r="N1197" s="235"/>
      <c r="O1197" s="324"/>
      <c r="P1197" s="235"/>
      <c r="Q1197" s="324"/>
      <c r="R1197" s="324"/>
      <c r="S1197" s="324"/>
      <c r="T1197" s="324"/>
      <c r="U1197" s="324"/>
      <c r="V1197" s="377">
        <v>41043</v>
      </c>
      <c r="W1197" s="198">
        <v>55.91</v>
      </c>
      <c r="X1197" s="349">
        <f t="shared" si="48"/>
        <v>-1.341094100620932E-2</v>
      </c>
      <c r="Y1197" s="198">
        <v>1338.349976</v>
      </c>
      <c r="Z1197" s="349">
        <f t="shared" si="49"/>
        <v>-1.1112863870212597E-2</v>
      </c>
      <c r="AA1197" s="324"/>
      <c r="AB1197" s="324"/>
      <c r="AC1197" s="324"/>
      <c r="AD1197" s="324"/>
      <c r="AE1197" s="324"/>
      <c r="AF1197" s="324"/>
    </row>
    <row r="1198" spans="1:32">
      <c r="A1198" s="324"/>
      <c r="B1198" s="244"/>
      <c r="C1198" s="294"/>
      <c r="D1198" s="235"/>
      <c r="E1198" s="294"/>
      <c r="F1198" s="235"/>
      <c r="G1198" s="324"/>
      <c r="H1198" s="324"/>
      <c r="I1198" s="324"/>
      <c r="J1198" s="324"/>
      <c r="K1198" s="324"/>
      <c r="L1198" s="324"/>
      <c r="M1198" s="294"/>
      <c r="N1198" s="235"/>
      <c r="O1198" s="324"/>
      <c r="P1198" s="235"/>
      <c r="Q1198" s="324"/>
      <c r="R1198" s="324"/>
      <c r="S1198" s="324"/>
      <c r="T1198" s="324"/>
      <c r="U1198" s="324"/>
      <c r="V1198" s="377">
        <v>41040</v>
      </c>
      <c r="W1198" s="198">
        <v>56.669998</v>
      </c>
      <c r="X1198" s="349">
        <f t="shared" si="48"/>
        <v>1.1241916287617615E-2</v>
      </c>
      <c r="Y1198" s="198">
        <v>1353.3900149999999</v>
      </c>
      <c r="Z1198" s="349">
        <f t="shared" si="49"/>
        <v>-3.3873408742873812E-3</v>
      </c>
      <c r="AA1198" s="324"/>
      <c r="AB1198" s="324"/>
      <c r="AC1198" s="324"/>
      <c r="AD1198" s="324"/>
      <c r="AE1198" s="324"/>
      <c r="AF1198" s="324"/>
    </row>
    <row r="1199" spans="1:32">
      <c r="A1199" s="324"/>
      <c r="B1199" s="244"/>
      <c r="C1199" s="294"/>
      <c r="D1199" s="235"/>
      <c r="E1199" s="294"/>
      <c r="F1199" s="235"/>
      <c r="G1199" s="324"/>
      <c r="H1199" s="324"/>
      <c r="I1199" s="324"/>
      <c r="J1199" s="324"/>
      <c r="K1199" s="324"/>
      <c r="L1199" s="324"/>
      <c r="M1199" s="294"/>
      <c r="N1199" s="235"/>
      <c r="O1199" s="324"/>
      <c r="P1199" s="235"/>
      <c r="Q1199" s="324"/>
      <c r="R1199" s="324"/>
      <c r="S1199" s="324"/>
      <c r="T1199" s="324"/>
      <c r="U1199" s="324"/>
      <c r="V1199" s="377">
        <v>41039</v>
      </c>
      <c r="W1199" s="198">
        <v>56.040000999999997</v>
      </c>
      <c r="X1199" s="349">
        <f t="shared" si="48"/>
        <v>-3.2124368493113398E-2</v>
      </c>
      <c r="Y1199" s="198">
        <v>1357.98999</v>
      </c>
      <c r="Z1199" s="349">
        <f t="shared" si="49"/>
        <v>2.5174106444552091E-3</v>
      </c>
      <c r="AA1199" s="324"/>
      <c r="AB1199" s="324"/>
      <c r="AC1199" s="324"/>
      <c r="AD1199" s="324"/>
      <c r="AE1199" s="324"/>
      <c r="AF1199" s="324"/>
    </row>
    <row r="1200" spans="1:32">
      <c r="A1200" s="324"/>
      <c r="B1200" s="244"/>
      <c r="C1200" s="294"/>
      <c r="D1200" s="235"/>
      <c r="E1200" s="294"/>
      <c r="F1200" s="235"/>
      <c r="G1200" s="324"/>
      <c r="H1200" s="324"/>
      <c r="I1200" s="324"/>
      <c r="J1200" s="324"/>
      <c r="K1200" s="324"/>
      <c r="L1200" s="324"/>
      <c r="M1200" s="294"/>
      <c r="N1200" s="235"/>
      <c r="O1200" s="324"/>
      <c r="P1200" s="235"/>
      <c r="Q1200" s="324"/>
      <c r="R1200" s="324"/>
      <c r="S1200" s="324"/>
      <c r="T1200" s="324"/>
      <c r="U1200" s="324"/>
      <c r="V1200" s="377">
        <v>41038</v>
      </c>
      <c r="W1200" s="198">
        <v>57.900002000000001</v>
      </c>
      <c r="X1200" s="349">
        <f t="shared" si="48"/>
        <v>7.3069241475296476E-3</v>
      </c>
      <c r="Y1200" s="198">
        <v>1354.579956</v>
      </c>
      <c r="Z1200" s="349">
        <f t="shared" si="49"/>
        <v>-6.7022667368416E-3</v>
      </c>
      <c r="AA1200" s="324"/>
      <c r="AB1200" s="324"/>
      <c r="AC1200" s="324"/>
      <c r="AD1200" s="324"/>
      <c r="AE1200" s="324"/>
      <c r="AF1200" s="324"/>
    </row>
    <row r="1201" spans="1:32">
      <c r="A1201" s="324"/>
      <c r="B1201" s="244"/>
      <c r="C1201" s="294"/>
      <c r="D1201" s="235"/>
      <c r="E1201" s="294"/>
      <c r="F1201" s="235"/>
      <c r="G1201" s="324"/>
      <c r="H1201" s="324"/>
      <c r="I1201" s="324"/>
      <c r="J1201" s="324"/>
      <c r="K1201" s="324"/>
      <c r="L1201" s="324"/>
      <c r="M1201" s="294"/>
      <c r="N1201" s="235"/>
      <c r="O1201" s="324"/>
      <c r="P1201" s="235"/>
      <c r="Q1201" s="324"/>
      <c r="R1201" s="324"/>
      <c r="S1201" s="324"/>
      <c r="T1201" s="324"/>
      <c r="U1201" s="324"/>
      <c r="V1201" s="377">
        <v>41037</v>
      </c>
      <c r="W1201" s="198">
        <v>57.48</v>
      </c>
      <c r="X1201" s="349">
        <f t="shared" si="48"/>
        <v>-1.9781702247300581E-2</v>
      </c>
      <c r="Y1201" s="198">
        <v>1363.719971</v>
      </c>
      <c r="Z1201" s="349">
        <f t="shared" si="49"/>
        <v>-4.2786731613061457E-3</v>
      </c>
      <c r="AA1201" s="324"/>
      <c r="AB1201" s="324"/>
      <c r="AC1201" s="324"/>
      <c r="AD1201" s="324"/>
      <c r="AE1201" s="324"/>
      <c r="AF1201" s="324"/>
    </row>
    <row r="1202" spans="1:32">
      <c r="A1202" s="324"/>
      <c r="B1202" s="244"/>
      <c r="C1202" s="294"/>
      <c r="D1202" s="235"/>
      <c r="E1202" s="294"/>
      <c r="F1202" s="235"/>
      <c r="G1202" s="324"/>
      <c r="H1202" s="324"/>
      <c r="I1202" s="324"/>
      <c r="J1202" s="324"/>
      <c r="K1202" s="324"/>
      <c r="L1202" s="324"/>
      <c r="M1202" s="294"/>
      <c r="N1202" s="235"/>
      <c r="O1202" s="324"/>
      <c r="P1202" s="235"/>
      <c r="Q1202" s="324"/>
      <c r="R1202" s="324"/>
      <c r="S1202" s="324"/>
      <c r="T1202" s="324"/>
      <c r="U1202" s="324"/>
      <c r="V1202" s="377">
        <v>41036</v>
      </c>
      <c r="W1202" s="198">
        <v>58.639999000000003</v>
      </c>
      <c r="X1202" s="349">
        <f t="shared" si="48"/>
        <v>-1.0221805618026991E-3</v>
      </c>
      <c r="Y1202" s="198">
        <v>1369.579956</v>
      </c>
      <c r="Z1202" s="349">
        <f t="shared" si="49"/>
        <v>3.5058067958071426E-4</v>
      </c>
      <c r="AA1202" s="324"/>
      <c r="AB1202" s="324"/>
      <c r="AC1202" s="324"/>
      <c r="AD1202" s="324"/>
      <c r="AE1202" s="324"/>
      <c r="AF1202" s="324"/>
    </row>
    <row r="1203" spans="1:32">
      <c r="A1203" s="324"/>
      <c r="B1203" s="244"/>
      <c r="C1203" s="294"/>
      <c r="D1203" s="235"/>
      <c r="E1203" s="294"/>
      <c r="F1203" s="235"/>
      <c r="G1203" s="324"/>
      <c r="H1203" s="324"/>
      <c r="I1203" s="324"/>
      <c r="J1203" s="324"/>
      <c r="K1203" s="324"/>
      <c r="L1203" s="324"/>
      <c r="M1203" s="294"/>
      <c r="N1203" s="235"/>
      <c r="O1203" s="324"/>
      <c r="P1203" s="235"/>
      <c r="Q1203" s="324"/>
      <c r="R1203" s="324"/>
      <c r="S1203" s="324"/>
      <c r="T1203" s="324"/>
      <c r="U1203" s="324"/>
      <c r="V1203" s="377">
        <v>41033</v>
      </c>
      <c r="W1203" s="198">
        <v>58.700001</v>
      </c>
      <c r="X1203" s="349">
        <f t="shared" si="48"/>
        <v>-3.4539441357556599E-2</v>
      </c>
      <c r="Y1203" s="198">
        <v>1369.099976</v>
      </c>
      <c r="Z1203" s="349">
        <f t="shared" si="49"/>
        <v>-1.6147208456598894E-2</v>
      </c>
      <c r="AA1203" s="324"/>
      <c r="AB1203" s="324"/>
      <c r="AC1203" s="324"/>
      <c r="AD1203" s="324"/>
      <c r="AE1203" s="324"/>
      <c r="AF1203" s="324"/>
    </row>
    <row r="1204" spans="1:32">
      <c r="A1204" s="324"/>
      <c r="B1204" s="244"/>
      <c r="C1204" s="294"/>
      <c r="D1204" s="235"/>
      <c r="E1204" s="294"/>
      <c r="F1204" s="235"/>
      <c r="G1204" s="324"/>
      <c r="H1204" s="324"/>
      <c r="I1204" s="324"/>
      <c r="J1204" s="324"/>
      <c r="K1204" s="324"/>
      <c r="L1204" s="324"/>
      <c r="M1204" s="294"/>
      <c r="N1204" s="235"/>
      <c r="O1204" s="324"/>
      <c r="P1204" s="235"/>
      <c r="Q1204" s="324"/>
      <c r="R1204" s="324"/>
      <c r="S1204" s="324"/>
      <c r="T1204" s="324"/>
      <c r="U1204" s="324"/>
      <c r="V1204" s="377">
        <v>41032</v>
      </c>
      <c r="W1204" s="198">
        <v>60.799999</v>
      </c>
      <c r="X1204" s="349">
        <f t="shared" si="48"/>
        <v>-1.8563389530857344E-2</v>
      </c>
      <c r="Y1204" s="198">
        <v>1391.5699460000001</v>
      </c>
      <c r="Z1204" s="349">
        <f t="shared" si="49"/>
        <v>-7.6588718244371412E-3</v>
      </c>
      <c r="AA1204" s="324"/>
      <c r="AB1204" s="324"/>
      <c r="AC1204" s="324"/>
      <c r="AD1204" s="324"/>
      <c r="AE1204" s="324"/>
      <c r="AF1204" s="324"/>
    </row>
    <row r="1205" spans="1:32">
      <c r="A1205" s="324"/>
      <c r="B1205" s="244"/>
      <c r="C1205" s="294"/>
      <c r="D1205" s="235"/>
      <c r="E1205" s="294"/>
      <c r="F1205" s="235"/>
      <c r="G1205" s="324"/>
      <c r="H1205" s="324"/>
      <c r="I1205" s="324"/>
      <c r="J1205" s="324"/>
      <c r="K1205" s="324"/>
      <c r="L1205" s="324"/>
      <c r="M1205" s="294"/>
      <c r="N1205" s="235"/>
      <c r="O1205" s="324"/>
      <c r="P1205" s="235"/>
      <c r="Q1205" s="324"/>
      <c r="R1205" s="324"/>
      <c r="S1205" s="324"/>
      <c r="T1205" s="324"/>
      <c r="U1205" s="324"/>
      <c r="V1205" s="377">
        <v>41031</v>
      </c>
      <c r="W1205" s="198">
        <v>61.950001</v>
      </c>
      <c r="X1205" s="349">
        <f t="shared" si="48"/>
        <v>2.5832124951682855E-2</v>
      </c>
      <c r="Y1205" s="198">
        <v>1402.3100589999999</v>
      </c>
      <c r="Z1205" s="349">
        <f t="shared" si="49"/>
        <v>-2.4966831705488524E-3</v>
      </c>
      <c r="AA1205" s="324"/>
      <c r="AB1205" s="324"/>
      <c r="AC1205" s="324"/>
      <c r="AD1205" s="324"/>
      <c r="AE1205" s="324"/>
      <c r="AF1205" s="324"/>
    </row>
    <row r="1206" spans="1:32">
      <c r="A1206" s="324"/>
      <c r="B1206" s="244"/>
      <c r="C1206" s="294"/>
      <c r="D1206" s="235"/>
      <c r="E1206" s="294"/>
      <c r="F1206" s="235"/>
      <c r="G1206" s="324"/>
      <c r="H1206" s="324"/>
      <c r="I1206" s="324"/>
      <c r="J1206" s="324"/>
      <c r="K1206" s="324"/>
      <c r="L1206" s="324"/>
      <c r="M1206" s="294"/>
      <c r="N1206" s="235"/>
      <c r="O1206" s="324"/>
      <c r="P1206" s="235"/>
      <c r="Q1206" s="324"/>
      <c r="R1206" s="324"/>
      <c r="S1206" s="324"/>
      <c r="T1206" s="324"/>
      <c r="U1206" s="324"/>
      <c r="V1206" s="377">
        <v>41030</v>
      </c>
      <c r="W1206" s="198">
        <v>60.389999000000003</v>
      </c>
      <c r="X1206" s="349">
        <f t="shared" si="48"/>
        <v>1.308501907255466E-2</v>
      </c>
      <c r="Y1206" s="198">
        <v>1405.8199460000001</v>
      </c>
      <c r="Z1206" s="349">
        <f t="shared" si="49"/>
        <v>5.6583841646564714E-3</v>
      </c>
      <c r="AA1206" s="324"/>
      <c r="AB1206" s="324"/>
      <c r="AC1206" s="324"/>
      <c r="AD1206" s="324"/>
      <c r="AE1206" s="324"/>
      <c r="AF1206" s="324"/>
    </row>
    <row r="1207" spans="1:32">
      <c r="A1207" s="324"/>
      <c r="B1207" s="244"/>
      <c r="C1207" s="294"/>
      <c r="D1207" s="235"/>
      <c r="E1207" s="294"/>
      <c r="F1207" s="235"/>
      <c r="G1207" s="324"/>
      <c r="H1207" s="324"/>
      <c r="I1207" s="324"/>
      <c r="J1207" s="324"/>
      <c r="K1207" s="324"/>
      <c r="L1207" s="324"/>
      <c r="M1207" s="294"/>
      <c r="N1207" s="235"/>
      <c r="O1207" s="324"/>
      <c r="P1207" s="235"/>
      <c r="Q1207" s="324"/>
      <c r="R1207" s="324"/>
      <c r="S1207" s="324"/>
      <c r="T1207" s="324"/>
      <c r="U1207" s="324"/>
      <c r="V1207" s="377">
        <v>41029</v>
      </c>
      <c r="W1207" s="198">
        <v>59.610000999999997</v>
      </c>
      <c r="X1207" s="349">
        <f t="shared" si="48"/>
        <v>-2.1342948612707247E-2</v>
      </c>
      <c r="Y1207" s="198">
        <v>1397.910034</v>
      </c>
      <c r="Z1207" s="349">
        <f t="shared" si="49"/>
        <v>-3.8835017801936988E-3</v>
      </c>
      <c r="AA1207" s="324"/>
      <c r="AB1207" s="324"/>
      <c r="AC1207" s="324"/>
      <c r="AD1207" s="324"/>
      <c r="AE1207" s="324"/>
      <c r="AF1207" s="324"/>
    </row>
    <row r="1208" spans="1:32">
      <c r="A1208" s="324"/>
      <c r="B1208" s="244"/>
      <c r="C1208" s="294"/>
      <c r="D1208" s="235"/>
      <c r="E1208" s="294"/>
      <c r="F1208" s="235"/>
      <c r="G1208" s="324"/>
      <c r="H1208" s="324"/>
      <c r="I1208" s="324"/>
      <c r="J1208" s="324"/>
      <c r="K1208" s="324"/>
      <c r="L1208" s="324"/>
      <c r="M1208" s="294"/>
      <c r="N1208" s="235"/>
      <c r="O1208" s="324"/>
      <c r="P1208" s="235"/>
      <c r="Q1208" s="324"/>
      <c r="R1208" s="324"/>
      <c r="S1208" s="324"/>
      <c r="T1208" s="324"/>
      <c r="U1208" s="324"/>
      <c r="V1208" s="377">
        <v>41026</v>
      </c>
      <c r="W1208" s="198">
        <v>60.91</v>
      </c>
      <c r="X1208" s="349">
        <f t="shared" si="48"/>
        <v>1.8732212431306072E-2</v>
      </c>
      <c r="Y1208" s="198">
        <v>1403.3599850000001</v>
      </c>
      <c r="Z1208" s="349">
        <f t="shared" si="49"/>
        <v>2.4143238105447384E-3</v>
      </c>
      <c r="AA1208" s="324"/>
      <c r="AB1208" s="324"/>
      <c r="AC1208" s="324"/>
      <c r="AD1208" s="324"/>
      <c r="AE1208" s="324"/>
      <c r="AF1208" s="324"/>
    </row>
    <row r="1209" spans="1:32">
      <c r="A1209" s="324"/>
      <c r="B1209" s="244"/>
      <c r="C1209" s="294"/>
      <c r="D1209" s="235"/>
      <c r="E1209" s="294"/>
      <c r="F1209" s="235"/>
      <c r="G1209" s="324"/>
      <c r="H1209" s="324"/>
      <c r="I1209" s="324"/>
      <c r="J1209" s="324"/>
      <c r="K1209" s="324"/>
      <c r="L1209" s="324"/>
      <c r="M1209" s="294"/>
      <c r="N1209" s="235"/>
      <c r="O1209" s="324"/>
      <c r="P1209" s="235"/>
      <c r="Q1209" s="324"/>
      <c r="R1209" s="324"/>
      <c r="S1209" s="324"/>
      <c r="T1209" s="324"/>
      <c r="U1209" s="324"/>
      <c r="V1209" s="377">
        <v>41025</v>
      </c>
      <c r="W1209" s="198">
        <v>59.790000999999997</v>
      </c>
      <c r="X1209" s="349">
        <f t="shared" si="48"/>
        <v>9.4546851257808484E-3</v>
      </c>
      <c r="Y1209" s="198">
        <v>1399.9799800000001</v>
      </c>
      <c r="Z1209" s="349">
        <f t="shared" si="49"/>
        <v>6.6801655251205183E-3</v>
      </c>
      <c r="AA1209" s="324"/>
      <c r="AB1209" s="324"/>
      <c r="AC1209" s="324"/>
      <c r="AD1209" s="324"/>
      <c r="AE1209" s="324"/>
      <c r="AF1209" s="324"/>
    </row>
    <row r="1210" spans="1:32">
      <c r="A1210" s="324"/>
      <c r="B1210" s="244"/>
      <c r="C1210" s="294"/>
      <c r="D1210" s="235"/>
      <c r="E1210" s="294"/>
      <c r="F1210" s="235"/>
      <c r="G1210" s="324"/>
      <c r="H1210" s="324"/>
      <c r="I1210" s="324"/>
      <c r="J1210" s="324"/>
      <c r="K1210" s="324"/>
      <c r="L1210" s="324"/>
      <c r="M1210" s="294"/>
      <c r="N1210" s="235"/>
      <c r="O1210" s="324"/>
      <c r="P1210" s="235"/>
      <c r="Q1210" s="324"/>
      <c r="R1210" s="324"/>
      <c r="S1210" s="324"/>
      <c r="T1210" s="324"/>
      <c r="U1210" s="324"/>
      <c r="V1210" s="377">
        <v>41024</v>
      </c>
      <c r="W1210" s="198">
        <v>59.23</v>
      </c>
      <c r="X1210" s="349">
        <f t="shared" si="48"/>
        <v>3.7121326613179351E-2</v>
      </c>
      <c r="Y1210" s="198">
        <v>1390.6899410000001</v>
      </c>
      <c r="Z1210" s="349">
        <f t="shared" si="49"/>
        <v>1.3644591642450798E-2</v>
      </c>
      <c r="AA1210" s="324"/>
      <c r="AB1210" s="324"/>
      <c r="AC1210" s="324"/>
      <c r="AD1210" s="324"/>
      <c r="AE1210" s="324"/>
      <c r="AF1210" s="324"/>
    </row>
    <row r="1211" spans="1:32">
      <c r="A1211" s="324"/>
      <c r="B1211" s="244"/>
      <c r="C1211" s="294"/>
      <c r="D1211" s="235"/>
      <c r="E1211" s="294"/>
      <c r="F1211" s="235"/>
      <c r="G1211" s="324"/>
      <c r="H1211" s="324"/>
      <c r="I1211" s="324"/>
      <c r="J1211" s="324"/>
      <c r="K1211" s="324"/>
      <c r="L1211" s="324"/>
      <c r="M1211" s="294"/>
      <c r="N1211" s="235"/>
      <c r="O1211" s="324"/>
      <c r="P1211" s="235"/>
      <c r="Q1211" s="324"/>
      <c r="R1211" s="324"/>
      <c r="S1211" s="324"/>
      <c r="T1211" s="324"/>
      <c r="U1211" s="324"/>
      <c r="V1211" s="377">
        <v>41023</v>
      </c>
      <c r="W1211" s="198">
        <v>57.110000999999997</v>
      </c>
      <c r="X1211" s="349">
        <f t="shared" si="48"/>
        <v>-2.9896348393007477E-2</v>
      </c>
      <c r="Y1211" s="198">
        <v>1371.969971</v>
      </c>
      <c r="Z1211" s="349">
        <f t="shared" si="49"/>
        <v>3.6797739601639456E-3</v>
      </c>
      <c r="AA1211" s="324"/>
      <c r="AB1211" s="324"/>
      <c r="AC1211" s="324"/>
      <c r="AD1211" s="324"/>
      <c r="AE1211" s="324"/>
      <c r="AF1211" s="324"/>
    </row>
    <row r="1212" spans="1:32">
      <c r="A1212" s="324"/>
      <c r="B1212" s="244"/>
      <c r="C1212" s="294"/>
      <c r="D1212" s="235"/>
      <c r="E1212" s="294"/>
      <c r="F1212" s="235"/>
      <c r="G1212" s="324"/>
      <c r="H1212" s="324"/>
      <c r="I1212" s="324"/>
      <c r="J1212" s="324"/>
      <c r="K1212" s="324"/>
      <c r="L1212" s="324"/>
      <c r="M1212" s="294"/>
      <c r="N1212" s="235"/>
      <c r="O1212" s="324"/>
      <c r="P1212" s="235"/>
      <c r="Q1212" s="324"/>
      <c r="R1212" s="324"/>
      <c r="S1212" s="324"/>
      <c r="T1212" s="324"/>
      <c r="U1212" s="324"/>
      <c r="V1212" s="377">
        <v>41022</v>
      </c>
      <c r="W1212" s="198">
        <v>58.869999</v>
      </c>
      <c r="X1212" s="349">
        <f t="shared" si="48"/>
        <v>-2.7745665198111724E-2</v>
      </c>
      <c r="Y1212" s="198">
        <v>1366.9399410000001</v>
      </c>
      <c r="Z1212" s="349">
        <f t="shared" si="49"/>
        <v>-8.4075702060748547E-3</v>
      </c>
      <c r="AA1212" s="324"/>
      <c r="AB1212" s="324"/>
      <c r="AC1212" s="324"/>
      <c r="AD1212" s="324"/>
      <c r="AE1212" s="324"/>
      <c r="AF1212" s="324"/>
    </row>
    <row r="1213" spans="1:32">
      <c r="A1213" s="324"/>
      <c r="B1213" s="244"/>
      <c r="C1213" s="294"/>
      <c r="D1213" s="235"/>
      <c r="E1213" s="294"/>
      <c r="F1213" s="235"/>
      <c r="G1213" s="324"/>
      <c r="H1213" s="324"/>
      <c r="I1213" s="324"/>
      <c r="J1213" s="324"/>
      <c r="K1213" s="324"/>
      <c r="L1213" s="324"/>
      <c r="M1213" s="294"/>
      <c r="N1213" s="235"/>
      <c r="O1213" s="324"/>
      <c r="P1213" s="235"/>
      <c r="Q1213" s="324"/>
      <c r="R1213" s="324"/>
      <c r="S1213" s="324"/>
      <c r="T1213" s="324"/>
      <c r="U1213" s="324"/>
      <c r="V1213" s="377">
        <v>41019</v>
      </c>
      <c r="W1213" s="198">
        <v>60.549999</v>
      </c>
      <c r="X1213" s="349">
        <f t="shared" si="48"/>
        <v>6.9848327459698378E-3</v>
      </c>
      <c r="Y1213" s="198">
        <v>1378.530029</v>
      </c>
      <c r="Z1213" s="349">
        <f t="shared" si="49"/>
        <v>1.1692654246815426E-3</v>
      </c>
      <c r="AA1213" s="324"/>
      <c r="AB1213" s="324"/>
      <c r="AC1213" s="324"/>
      <c r="AD1213" s="324"/>
      <c r="AE1213" s="324"/>
      <c r="AF1213" s="324"/>
    </row>
    <row r="1214" spans="1:32">
      <c r="A1214" s="324"/>
      <c r="B1214" s="244"/>
      <c r="C1214" s="294"/>
      <c r="D1214" s="235"/>
      <c r="E1214" s="294"/>
      <c r="F1214" s="235"/>
      <c r="G1214" s="324"/>
      <c r="H1214" s="324"/>
      <c r="I1214" s="324"/>
      <c r="J1214" s="324"/>
      <c r="K1214" s="324"/>
      <c r="L1214" s="324"/>
      <c r="M1214" s="294"/>
      <c r="N1214" s="235"/>
      <c r="O1214" s="324"/>
      <c r="P1214" s="235"/>
      <c r="Q1214" s="324"/>
      <c r="R1214" s="324"/>
      <c r="S1214" s="324"/>
      <c r="T1214" s="324"/>
      <c r="U1214" s="324"/>
      <c r="V1214" s="377">
        <v>41018</v>
      </c>
      <c r="W1214" s="198">
        <v>60.130001</v>
      </c>
      <c r="X1214" s="349">
        <f t="shared" si="48"/>
        <v>-1.3286497480261561E-3</v>
      </c>
      <c r="Y1214" s="198">
        <v>1376.920044</v>
      </c>
      <c r="Z1214" s="349">
        <f t="shared" si="49"/>
        <v>-5.9343971807788165E-3</v>
      </c>
      <c r="AA1214" s="324"/>
      <c r="AB1214" s="324"/>
      <c r="AC1214" s="324"/>
      <c r="AD1214" s="324"/>
      <c r="AE1214" s="324"/>
      <c r="AF1214" s="324"/>
    </row>
    <row r="1215" spans="1:32">
      <c r="A1215" s="324"/>
      <c r="B1215" s="244"/>
      <c r="C1215" s="294"/>
      <c r="D1215" s="235"/>
      <c r="E1215" s="294"/>
      <c r="F1215" s="235"/>
      <c r="G1215" s="324"/>
      <c r="H1215" s="324"/>
      <c r="I1215" s="324"/>
      <c r="J1215" s="324"/>
      <c r="K1215" s="324"/>
      <c r="L1215" s="324"/>
      <c r="M1215" s="294"/>
      <c r="N1215" s="235"/>
      <c r="O1215" s="324"/>
      <c r="P1215" s="235"/>
      <c r="Q1215" s="324"/>
      <c r="R1215" s="324"/>
      <c r="S1215" s="324"/>
      <c r="T1215" s="324"/>
      <c r="U1215" s="324"/>
      <c r="V1215" s="377">
        <v>41017</v>
      </c>
      <c r="W1215" s="198">
        <v>60.209999000000003</v>
      </c>
      <c r="X1215" s="349">
        <f t="shared" si="48"/>
        <v>4.5045045796547889E-3</v>
      </c>
      <c r="Y1215" s="198">
        <v>1385.1400149999999</v>
      </c>
      <c r="Z1215" s="349">
        <f t="shared" si="49"/>
        <v>-4.0552883147562113E-3</v>
      </c>
      <c r="AA1215" s="324"/>
      <c r="AB1215" s="324"/>
      <c r="AC1215" s="324"/>
      <c r="AD1215" s="324"/>
      <c r="AE1215" s="324"/>
      <c r="AF1215" s="324"/>
    </row>
    <row r="1216" spans="1:32">
      <c r="A1216" s="324"/>
      <c r="B1216" s="244"/>
      <c r="C1216" s="294"/>
      <c r="D1216" s="235"/>
      <c r="E1216" s="294"/>
      <c r="F1216" s="235"/>
      <c r="G1216" s="324"/>
      <c r="H1216" s="324"/>
      <c r="I1216" s="324"/>
      <c r="J1216" s="324"/>
      <c r="K1216" s="324"/>
      <c r="L1216" s="324"/>
      <c r="M1216" s="294"/>
      <c r="N1216" s="235"/>
      <c r="O1216" s="324"/>
      <c r="P1216" s="235"/>
      <c r="Q1216" s="324"/>
      <c r="R1216" s="324"/>
      <c r="S1216" s="324"/>
      <c r="T1216" s="324"/>
      <c r="U1216" s="324"/>
      <c r="V1216" s="377">
        <v>41016</v>
      </c>
      <c r="W1216" s="198">
        <v>59.939999</v>
      </c>
      <c r="X1216" s="349">
        <f t="shared" si="48"/>
        <v>-1.9980352647679389E-3</v>
      </c>
      <c r="Y1216" s="198">
        <v>1390.780029</v>
      </c>
      <c r="Z1216" s="349">
        <f t="shared" si="49"/>
        <v>1.5486673800010564E-2</v>
      </c>
      <c r="AA1216" s="324"/>
      <c r="AB1216" s="324"/>
      <c r="AC1216" s="324"/>
      <c r="AD1216" s="324"/>
      <c r="AE1216" s="324"/>
      <c r="AF1216" s="324"/>
    </row>
    <row r="1217" spans="1:32">
      <c r="A1217" s="324"/>
      <c r="B1217" s="244"/>
      <c r="C1217" s="294"/>
      <c r="D1217" s="235"/>
      <c r="E1217" s="294"/>
      <c r="F1217" s="235"/>
      <c r="G1217" s="324"/>
      <c r="H1217" s="324"/>
      <c r="I1217" s="324"/>
      <c r="J1217" s="324"/>
      <c r="K1217" s="324"/>
      <c r="L1217" s="324"/>
      <c r="M1217" s="294"/>
      <c r="N1217" s="235"/>
      <c r="O1217" s="324"/>
      <c r="P1217" s="235"/>
      <c r="Q1217" s="324"/>
      <c r="R1217" s="324"/>
      <c r="S1217" s="324"/>
      <c r="T1217" s="324"/>
      <c r="U1217" s="324"/>
      <c r="V1217" s="377">
        <v>41015</v>
      </c>
      <c r="W1217" s="198">
        <v>60.060001</v>
      </c>
      <c r="X1217" s="349">
        <f t="shared" si="48"/>
        <v>-2.3255813567178985E-3</v>
      </c>
      <c r="Y1217" s="198">
        <v>1369.5699460000001</v>
      </c>
      <c r="Z1217" s="349">
        <f t="shared" si="49"/>
        <v>-5.0360077281963456E-4</v>
      </c>
      <c r="AA1217" s="324"/>
      <c r="AB1217" s="324"/>
      <c r="AC1217" s="324"/>
      <c r="AD1217" s="324"/>
      <c r="AE1217" s="324"/>
      <c r="AF1217" s="324"/>
    </row>
    <row r="1218" spans="1:32">
      <c r="A1218" s="324"/>
      <c r="B1218" s="244"/>
      <c r="C1218" s="294"/>
      <c r="D1218" s="235"/>
      <c r="E1218" s="294"/>
      <c r="F1218" s="235"/>
      <c r="G1218" s="324"/>
      <c r="H1218" s="324"/>
      <c r="I1218" s="324"/>
      <c r="J1218" s="324"/>
      <c r="K1218" s="324"/>
      <c r="L1218" s="324"/>
      <c r="M1218" s="294"/>
      <c r="N1218" s="235"/>
      <c r="O1218" s="324"/>
      <c r="P1218" s="235"/>
      <c r="Q1218" s="324"/>
      <c r="R1218" s="324"/>
      <c r="S1218" s="324"/>
      <c r="T1218" s="324"/>
      <c r="U1218" s="324"/>
      <c r="V1218" s="377">
        <v>41012</v>
      </c>
      <c r="W1218" s="198">
        <v>60.200001</v>
      </c>
      <c r="X1218" s="349">
        <f t="shared" si="48"/>
        <v>-1.0031244696082187E-2</v>
      </c>
      <c r="Y1218" s="198">
        <v>1370.26001</v>
      </c>
      <c r="Z1218" s="349">
        <f t="shared" si="49"/>
        <v>-1.2475000665660207E-2</v>
      </c>
      <c r="AA1218" s="324"/>
      <c r="AB1218" s="324"/>
      <c r="AC1218" s="324"/>
      <c r="AD1218" s="324"/>
      <c r="AE1218" s="324"/>
      <c r="AF1218" s="324"/>
    </row>
    <row r="1219" spans="1:32">
      <c r="A1219" s="324"/>
      <c r="B1219" s="244"/>
      <c r="C1219" s="294"/>
      <c r="D1219" s="235"/>
      <c r="E1219" s="294"/>
      <c r="F1219" s="235"/>
      <c r="G1219" s="324"/>
      <c r="H1219" s="324"/>
      <c r="I1219" s="324"/>
      <c r="J1219" s="324"/>
      <c r="K1219" s="324"/>
      <c r="L1219" s="324"/>
      <c r="M1219" s="294"/>
      <c r="N1219" s="235"/>
      <c r="O1219" s="324"/>
      <c r="P1219" s="235"/>
      <c r="Q1219" s="324"/>
      <c r="R1219" s="324"/>
      <c r="S1219" s="324"/>
      <c r="T1219" s="324"/>
      <c r="U1219" s="324"/>
      <c r="V1219" s="377">
        <v>41011</v>
      </c>
      <c r="W1219" s="198">
        <v>60.810001</v>
      </c>
      <c r="X1219" s="349">
        <f t="shared" si="48"/>
        <v>2.1501797774261755E-2</v>
      </c>
      <c r="Y1219" s="198">
        <v>1387.5699460000001</v>
      </c>
      <c r="Z1219" s="349">
        <f t="shared" si="49"/>
        <v>1.3779387552802502E-2</v>
      </c>
      <c r="AA1219" s="324"/>
      <c r="AB1219" s="324"/>
      <c r="AC1219" s="324"/>
      <c r="AD1219" s="324"/>
      <c r="AE1219" s="324"/>
      <c r="AF1219" s="324"/>
    </row>
    <row r="1220" spans="1:32">
      <c r="A1220" s="324"/>
      <c r="B1220" s="244"/>
      <c r="C1220" s="294"/>
      <c r="D1220" s="235"/>
      <c r="E1220" s="294"/>
      <c r="F1220" s="235"/>
      <c r="G1220" s="324"/>
      <c r="H1220" s="324"/>
      <c r="I1220" s="324"/>
      <c r="J1220" s="324"/>
      <c r="K1220" s="324"/>
      <c r="L1220" s="324"/>
      <c r="M1220" s="294"/>
      <c r="N1220" s="235"/>
      <c r="O1220" s="324"/>
      <c r="P1220" s="235"/>
      <c r="Q1220" s="324"/>
      <c r="R1220" s="324"/>
      <c r="S1220" s="324"/>
      <c r="T1220" s="324"/>
      <c r="U1220" s="324"/>
      <c r="V1220" s="377">
        <v>41010</v>
      </c>
      <c r="W1220" s="198">
        <v>59.529998999999997</v>
      </c>
      <c r="X1220" s="349">
        <f t="shared" si="48"/>
        <v>1.6564173214409506E-2</v>
      </c>
      <c r="Y1220" s="198">
        <v>1368.709961</v>
      </c>
      <c r="Z1220" s="349">
        <f t="shared" si="49"/>
        <v>7.4488957325333782E-3</v>
      </c>
      <c r="AA1220" s="324"/>
      <c r="AB1220" s="324"/>
      <c r="AC1220" s="324"/>
      <c r="AD1220" s="324"/>
      <c r="AE1220" s="324"/>
      <c r="AF1220" s="324"/>
    </row>
    <row r="1221" spans="1:32">
      <c r="A1221" s="324"/>
      <c r="B1221" s="244"/>
      <c r="C1221" s="294"/>
      <c r="D1221" s="235"/>
      <c r="E1221" s="294"/>
      <c r="F1221" s="235"/>
      <c r="G1221" s="324"/>
      <c r="H1221" s="324"/>
      <c r="I1221" s="324"/>
      <c r="J1221" s="324"/>
      <c r="K1221" s="324"/>
      <c r="L1221" s="324"/>
      <c r="M1221" s="294"/>
      <c r="N1221" s="235"/>
      <c r="O1221" s="324"/>
      <c r="P1221" s="235"/>
      <c r="Q1221" s="324"/>
      <c r="R1221" s="324"/>
      <c r="S1221" s="324"/>
      <c r="T1221" s="324"/>
      <c r="U1221" s="324"/>
      <c r="V1221" s="377">
        <v>41009</v>
      </c>
      <c r="W1221" s="198">
        <v>58.560001</v>
      </c>
      <c r="X1221" s="349">
        <f t="shared" si="48"/>
        <v>-1.9588129917964103E-2</v>
      </c>
      <c r="Y1221" s="198">
        <v>1358.589966</v>
      </c>
      <c r="Z1221" s="349">
        <f t="shared" si="49"/>
        <v>-1.708145408550954E-2</v>
      </c>
      <c r="AA1221" s="324"/>
      <c r="AB1221" s="324"/>
      <c r="AC1221" s="324"/>
      <c r="AD1221" s="324"/>
      <c r="AE1221" s="324"/>
      <c r="AF1221" s="324"/>
    </row>
    <row r="1222" spans="1:32">
      <c r="A1222" s="324"/>
      <c r="B1222" s="244"/>
      <c r="C1222" s="294"/>
      <c r="D1222" s="235"/>
      <c r="E1222" s="294"/>
      <c r="F1222" s="235"/>
      <c r="G1222" s="324"/>
      <c r="H1222" s="324"/>
      <c r="I1222" s="324"/>
      <c r="J1222" s="324"/>
      <c r="K1222" s="324"/>
      <c r="L1222" s="324"/>
      <c r="M1222" s="294"/>
      <c r="N1222" s="235"/>
      <c r="O1222" s="324"/>
      <c r="P1222" s="235"/>
      <c r="Q1222" s="324"/>
      <c r="R1222" s="324"/>
      <c r="S1222" s="324"/>
      <c r="T1222" s="324"/>
      <c r="U1222" s="324"/>
      <c r="V1222" s="377">
        <v>41008</v>
      </c>
      <c r="W1222" s="198">
        <v>59.73</v>
      </c>
      <c r="X1222" s="349">
        <f t="shared" si="48"/>
        <v>-2.0016422969377889E-2</v>
      </c>
      <c r="Y1222" s="198">
        <v>1382.1999510000001</v>
      </c>
      <c r="Z1222" s="349">
        <f t="shared" si="49"/>
        <v>-1.135843835815642E-2</v>
      </c>
      <c r="AA1222" s="324"/>
      <c r="AB1222" s="324"/>
      <c r="AC1222" s="324"/>
      <c r="AD1222" s="324"/>
      <c r="AE1222" s="324"/>
      <c r="AF1222" s="324"/>
    </row>
    <row r="1223" spans="1:32">
      <c r="A1223" s="324"/>
      <c r="B1223" s="244"/>
      <c r="C1223" s="294"/>
      <c r="D1223" s="235"/>
      <c r="E1223" s="294"/>
      <c r="F1223" s="235"/>
      <c r="G1223" s="324"/>
      <c r="H1223" s="324"/>
      <c r="I1223" s="324"/>
      <c r="J1223" s="324"/>
      <c r="K1223" s="324"/>
      <c r="L1223" s="324"/>
      <c r="M1223" s="294"/>
      <c r="N1223" s="235"/>
      <c r="O1223" s="324"/>
      <c r="P1223" s="235"/>
      <c r="Q1223" s="324"/>
      <c r="R1223" s="324"/>
      <c r="S1223" s="324"/>
      <c r="T1223" s="324"/>
      <c r="U1223" s="324"/>
      <c r="V1223" s="377">
        <v>41004</v>
      </c>
      <c r="W1223" s="198">
        <v>60.950001</v>
      </c>
      <c r="X1223" s="349">
        <f t="shared" si="48"/>
        <v>4.6151806367291659E-3</v>
      </c>
      <c r="Y1223" s="198">
        <v>1398.079956</v>
      </c>
      <c r="Z1223" s="349">
        <f t="shared" si="49"/>
        <v>-6.2904230609350797E-4</v>
      </c>
      <c r="AA1223" s="324"/>
      <c r="AB1223" s="324"/>
      <c r="AC1223" s="324"/>
      <c r="AD1223" s="324"/>
      <c r="AE1223" s="324"/>
      <c r="AF1223" s="324"/>
    </row>
    <row r="1224" spans="1:32">
      <c r="A1224" s="324"/>
      <c r="B1224" s="244"/>
      <c r="C1224" s="294"/>
      <c r="D1224" s="235"/>
      <c r="E1224" s="294"/>
      <c r="F1224" s="235"/>
      <c r="G1224" s="324"/>
      <c r="H1224" s="324"/>
      <c r="I1224" s="324"/>
      <c r="J1224" s="324"/>
      <c r="K1224" s="324"/>
      <c r="L1224" s="324"/>
      <c r="M1224" s="294"/>
      <c r="N1224" s="235"/>
      <c r="O1224" s="324"/>
      <c r="P1224" s="235"/>
      <c r="Q1224" s="324"/>
      <c r="R1224" s="324"/>
      <c r="S1224" s="324"/>
      <c r="T1224" s="324"/>
      <c r="U1224" s="324"/>
      <c r="V1224" s="377">
        <v>41003</v>
      </c>
      <c r="W1224" s="198">
        <v>60.669998</v>
      </c>
      <c r="X1224" s="349">
        <f t="shared" si="48"/>
        <v>-1.7330806046945035E-2</v>
      </c>
      <c r="Y1224" s="198">
        <v>1398.959961</v>
      </c>
      <c r="Z1224" s="349">
        <f t="shared" si="49"/>
        <v>-1.020252440885494E-2</v>
      </c>
      <c r="AA1224" s="324"/>
      <c r="AB1224" s="324"/>
      <c r="AC1224" s="324"/>
      <c r="AD1224" s="324"/>
      <c r="AE1224" s="324"/>
      <c r="AF1224" s="324"/>
    </row>
    <row r="1225" spans="1:32">
      <c r="A1225" s="324"/>
      <c r="B1225" s="244"/>
      <c r="C1225" s="294"/>
      <c r="D1225" s="235"/>
      <c r="E1225" s="294"/>
      <c r="F1225" s="235"/>
      <c r="G1225" s="324"/>
      <c r="H1225" s="324"/>
      <c r="I1225" s="324"/>
      <c r="J1225" s="324"/>
      <c r="K1225" s="324"/>
      <c r="L1225" s="324"/>
      <c r="M1225" s="294"/>
      <c r="N1225" s="235"/>
      <c r="O1225" s="324"/>
      <c r="P1225" s="235"/>
      <c r="Q1225" s="324"/>
      <c r="R1225" s="324"/>
      <c r="S1225" s="324"/>
      <c r="T1225" s="324"/>
      <c r="U1225" s="324"/>
      <c r="V1225" s="377">
        <v>41002</v>
      </c>
      <c r="W1225" s="198">
        <v>61.740001999999997</v>
      </c>
      <c r="X1225" s="349">
        <f t="shared" ref="X1225:X1263" si="50">W1225/W1226-1</f>
        <v>1.5460575912180419E-2</v>
      </c>
      <c r="Y1225" s="198">
        <v>1413.380005</v>
      </c>
      <c r="Z1225" s="349">
        <f t="shared" ref="Z1225:Z1263" si="51">Y1225/Y1226-1</f>
        <v>-3.9886358696323843E-3</v>
      </c>
      <c r="AA1225" s="324"/>
      <c r="AB1225" s="324"/>
      <c r="AC1225" s="324"/>
      <c r="AD1225" s="324"/>
      <c r="AE1225" s="324"/>
      <c r="AF1225" s="324"/>
    </row>
    <row r="1226" spans="1:32">
      <c r="A1226" s="324"/>
      <c r="B1226" s="244"/>
      <c r="C1226" s="294"/>
      <c r="D1226" s="235"/>
      <c r="E1226" s="294"/>
      <c r="F1226" s="235"/>
      <c r="G1226" s="324"/>
      <c r="H1226" s="324"/>
      <c r="I1226" s="324"/>
      <c r="J1226" s="324"/>
      <c r="K1226" s="324"/>
      <c r="L1226" s="324"/>
      <c r="M1226" s="294"/>
      <c r="N1226" s="235"/>
      <c r="O1226" s="324"/>
      <c r="P1226" s="235"/>
      <c r="Q1226" s="324"/>
      <c r="R1226" s="324"/>
      <c r="S1226" s="324"/>
      <c r="T1226" s="324"/>
      <c r="U1226" s="324"/>
      <c r="V1226" s="377">
        <v>41001</v>
      </c>
      <c r="W1226" s="198">
        <v>60.799999</v>
      </c>
      <c r="X1226" s="349">
        <f t="shared" si="50"/>
        <v>1.5194523546410377E-2</v>
      </c>
      <c r="Y1226" s="198">
        <v>1419.040039</v>
      </c>
      <c r="Z1226" s="349">
        <f t="shared" si="51"/>
        <v>7.5046456208756052E-3</v>
      </c>
      <c r="AA1226" s="324"/>
      <c r="AB1226" s="324"/>
      <c r="AC1226" s="324"/>
      <c r="AD1226" s="324"/>
      <c r="AE1226" s="324"/>
      <c r="AF1226" s="324"/>
    </row>
    <row r="1227" spans="1:32">
      <c r="A1227" s="324"/>
      <c r="B1227" s="244"/>
      <c r="C1227" s="294"/>
      <c r="D1227" s="235"/>
      <c r="E1227" s="294"/>
      <c r="F1227" s="235"/>
      <c r="G1227" s="324"/>
      <c r="H1227" s="324"/>
      <c r="I1227" s="324"/>
      <c r="J1227" s="324"/>
      <c r="K1227" s="324"/>
      <c r="L1227" s="324"/>
      <c r="M1227" s="294"/>
      <c r="N1227" s="235"/>
      <c r="O1227" s="324"/>
      <c r="P1227" s="235"/>
      <c r="Q1227" s="324"/>
      <c r="R1227" s="324"/>
      <c r="S1227" s="324"/>
      <c r="T1227" s="324"/>
      <c r="U1227" s="324"/>
      <c r="V1227" s="377">
        <v>40998</v>
      </c>
      <c r="W1227" s="198">
        <v>59.889999000000003</v>
      </c>
      <c r="X1227" s="349">
        <f t="shared" si="50"/>
        <v>-2.5069200716262396E-2</v>
      </c>
      <c r="Y1227" s="198">
        <v>1408.469971</v>
      </c>
      <c r="Z1227" s="349">
        <f t="shared" si="51"/>
        <v>3.6984364437213646E-3</v>
      </c>
      <c r="AA1227" s="324"/>
      <c r="AB1227" s="324"/>
      <c r="AC1227" s="324"/>
      <c r="AD1227" s="324"/>
      <c r="AE1227" s="324"/>
      <c r="AF1227" s="324"/>
    </row>
    <row r="1228" spans="1:32">
      <c r="A1228" s="324"/>
      <c r="B1228" s="244"/>
      <c r="C1228" s="294"/>
      <c r="D1228" s="235"/>
      <c r="E1228" s="294"/>
      <c r="F1228" s="235"/>
      <c r="G1228" s="324"/>
      <c r="H1228" s="324"/>
      <c r="I1228" s="324"/>
      <c r="J1228" s="324"/>
      <c r="K1228" s="324"/>
      <c r="L1228" s="324"/>
      <c r="M1228" s="294"/>
      <c r="N1228" s="235"/>
      <c r="O1228" s="324"/>
      <c r="P1228" s="235"/>
      <c r="Q1228" s="324"/>
      <c r="R1228" s="324"/>
      <c r="S1228" s="324"/>
      <c r="T1228" s="324"/>
      <c r="U1228" s="324"/>
      <c r="V1228" s="377">
        <v>40997</v>
      </c>
      <c r="W1228" s="198">
        <v>61.43</v>
      </c>
      <c r="X1228" s="349">
        <f t="shared" si="50"/>
        <v>0.19536877204453718</v>
      </c>
      <c r="Y1228" s="198">
        <v>1403.280029</v>
      </c>
      <c r="Z1228" s="349">
        <f t="shared" si="51"/>
        <v>-1.6079300036219157E-3</v>
      </c>
      <c r="AA1228" s="324"/>
      <c r="AB1228" s="324"/>
      <c r="AC1228" s="324"/>
      <c r="AD1228" s="324"/>
      <c r="AE1228" s="324"/>
      <c r="AF1228" s="324"/>
    </row>
    <row r="1229" spans="1:32">
      <c r="A1229" s="324"/>
      <c r="B1229" s="244"/>
      <c r="C1229" s="294"/>
      <c r="D1229" s="235"/>
      <c r="E1229" s="294"/>
      <c r="F1229" s="235"/>
      <c r="G1229" s="324"/>
      <c r="H1229" s="324"/>
      <c r="I1229" s="324"/>
      <c r="J1229" s="324"/>
      <c r="K1229" s="324"/>
      <c r="L1229" s="324"/>
      <c r="M1229" s="294"/>
      <c r="N1229" s="235"/>
      <c r="O1229" s="324"/>
      <c r="P1229" s="235"/>
      <c r="Q1229" s="324"/>
      <c r="R1229" s="324"/>
      <c r="S1229" s="324"/>
      <c r="T1229" s="324"/>
      <c r="U1229" s="324"/>
      <c r="V1229" s="377">
        <v>40996</v>
      </c>
      <c r="W1229" s="198">
        <v>51.389999000000003</v>
      </c>
      <c r="X1229" s="349">
        <f t="shared" si="50"/>
        <v>-9.826647020167667E-3</v>
      </c>
      <c r="Y1229" s="198">
        <v>1405.540039</v>
      </c>
      <c r="Z1229" s="349">
        <f t="shared" si="51"/>
        <v>-4.9415094307830865E-3</v>
      </c>
      <c r="AA1229" s="324"/>
      <c r="AB1229" s="324"/>
      <c r="AC1229" s="324"/>
      <c r="AD1229" s="324"/>
      <c r="AE1229" s="324"/>
      <c r="AF1229" s="324"/>
    </row>
    <row r="1230" spans="1:32">
      <c r="A1230" s="324"/>
      <c r="B1230" s="244"/>
      <c r="C1230" s="294"/>
      <c r="D1230" s="235"/>
      <c r="E1230" s="294"/>
      <c r="F1230" s="235"/>
      <c r="G1230" s="324"/>
      <c r="H1230" s="324"/>
      <c r="I1230" s="324"/>
      <c r="J1230" s="324"/>
      <c r="K1230" s="324"/>
      <c r="L1230" s="324"/>
      <c r="M1230" s="294"/>
      <c r="N1230" s="235"/>
      <c r="O1230" s="324"/>
      <c r="P1230" s="235"/>
      <c r="Q1230" s="324"/>
      <c r="R1230" s="324"/>
      <c r="S1230" s="324"/>
      <c r="T1230" s="324"/>
      <c r="U1230" s="324"/>
      <c r="V1230" s="377">
        <v>40995</v>
      </c>
      <c r="W1230" s="198">
        <v>51.900002000000001</v>
      </c>
      <c r="X1230" s="349">
        <f t="shared" si="50"/>
        <v>-2.3150743023701459E-2</v>
      </c>
      <c r="Y1230" s="198">
        <v>1412.5200199999999</v>
      </c>
      <c r="Z1230" s="349">
        <f t="shared" si="51"/>
        <v>-2.8167750117064072E-3</v>
      </c>
      <c r="AA1230" s="324"/>
      <c r="AB1230" s="324"/>
      <c r="AC1230" s="324"/>
      <c r="AD1230" s="324"/>
      <c r="AE1230" s="324"/>
      <c r="AF1230" s="324"/>
    </row>
    <row r="1231" spans="1:32">
      <c r="A1231" s="324"/>
      <c r="B1231" s="244"/>
      <c r="C1231" s="294"/>
      <c r="D1231" s="235"/>
      <c r="E1231" s="294"/>
      <c r="F1231" s="235"/>
      <c r="G1231" s="324"/>
      <c r="H1231" s="324"/>
      <c r="I1231" s="324"/>
      <c r="J1231" s="324"/>
      <c r="K1231" s="324"/>
      <c r="L1231" s="324"/>
      <c r="M1231" s="294"/>
      <c r="N1231" s="235"/>
      <c r="O1231" s="324"/>
      <c r="P1231" s="235"/>
      <c r="Q1231" s="324"/>
      <c r="R1231" s="324"/>
      <c r="S1231" s="324"/>
      <c r="T1231" s="324"/>
      <c r="U1231" s="324"/>
      <c r="V1231" s="377">
        <v>40994</v>
      </c>
      <c r="W1231" s="198">
        <v>53.130001</v>
      </c>
      <c r="X1231" s="349">
        <f t="shared" si="50"/>
        <v>2.429153700195763E-2</v>
      </c>
      <c r="Y1231" s="198">
        <v>1416.51001</v>
      </c>
      <c r="Z1231" s="349">
        <f t="shared" si="51"/>
        <v>1.3885825173599375E-2</v>
      </c>
      <c r="AA1231" s="324"/>
      <c r="AB1231" s="324"/>
      <c r="AC1231" s="324"/>
      <c r="AD1231" s="324"/>
      <c r="AE1231" s="324"/>
      <c r="AF1231" s="324"/>
    </row>
    <row r="1232" spans="1:32">
      <c r="A1232" s="324"/>
      <c r="B1232" s="244"/>
      <c r="C1232" s="294"/>
      <c r="D1232" s="235"/>
      <c r="E1232" s="294"/>
      <c r="F1232" s="235"/>
      <c r="G1232" s="324"/>
      <c r="H1232" s="324"/>
      <c r="I1232" s="324"/>
      <c r="J1232" s="324"/>
      <c r="K1232" s="324"/>
      <c r="L1232" s="324"/>
      <c r="M1232" s="294"/>
      <c r="N1232" s="235"/>
      <c r="O1232" s="324"/>
      <c r="P1232" s="235"/>
      <c r="Q1232" s="324"/>
      <c r="R1232" s="324"/>
      <c r="S1232" s="324"/>
      <c r="T1232" s="324"/>
      <c r="U1232" s="324"/>
      <c r="V1232" s="377">
        <v>40991</v>
      </c>
      <c r="W1232" s="198">
        <v>51.869999</v>
      </c>
      <c r="X1232" s="349">
        <f t="shared" si="50"/>
        <v>6.4027550174088343E-3</v>
      </c>
      <c r="Y1232" s="198">
        <v>1397.1099850000001</v>
      </c>
      <c r="Z1232" s="349">
        <f t="shared" si="51"/>
        <v>3.1088584771774563E-3</v>
      </c>
      <c r="AA1232" s="324"/>
      <c r="AB1232" s="324"/>
      <c r="AC1232" s="324"/>
      <c r="AD1232" s="324"/>
      <c r="AE1232" s="324"/>
      <c r="AF1232" s="324"/>
    </row>
    <row r="1233" spans="1:32">
      <c r="A1233" s="324"/>
      <c r="B1233" s="244"/>
      <c r="C1233" s="294"/>
      <c r="D1233" s="235"/>
      <c r="E1233" s="294"/>
      <c r="F1233" s="235"/>
      <c r="G1233" s="324"/>
      <c r="H1233" s="324"/>
      <c r="I1233" s="324"/>
      <c r="J1233" s="324"/>
      <c r="K1233" s="324"/>
      <c r="L1233" s="324"/>
      <c r="M1233" s="294"/>
      <c r="N1233" s="235"/>
      <c r="O1233" s="324"/>
      <c r="P1233" s="235"/>
      <c r="Q1233" s="324"/>
      <c r="R1233" s="324"/>
      <c r="S1233" s="324"/>
      <c r="T1233" s="324"/>
      <c r="U1233" s="324"/>
      <c r="V1233" s="377">
        <v>40990</v>
      </c>
      <c r="W1233" s="198">
        <v>51.540000999999997</v>
      </c>
      <c r="X1233" s="349">
        <f t="shared" si="50"/>
        <v>-9.4176054087565797E-3</v>
      </c>
      <c r="Y1233" s="198">
        <v>1392.780029</v>
      </c>
      <c r="Z1233" s="349">
        <f t="shared" si="51"/>
        <v>-7.2065421322425882E-3</v>
      </c>
      <c r="AA1233" s="324"/>
      <c r="AB1233" s="324"/>
      <c r="AC1233" s="324"/>
      <c r="AD1233" s="324"/>
      <c r="AE1233" s="324"/>
      <c r="AF1233" s="324"/>
    </row>
    <row r="1234" spans="1:32">
      <c r="A1234" s="324"/>
      <c r="B1234" s="244"/>
      <c r="C1234" s="294"/>
      <c r="D1234" s="235"/>
      <c r="E1234" s="294"/>
      <c r="F1234" s="235"/>
      <c r="G1234" s="324"/>
      <c r="H1234" s="324"/>
      <c r="I1234" s="324"/>
      <c r="J1234" s="324"/>
      <c r="K1234" s="324"/>
      <c r="L1234" s="324"/>
      <c r="M1234" s="294"/>
      <c r="N1234" s="235"/>
      <c r="O1234" s="324"/>
      <c r="P1234" s="235"/>
      <c r="Q1234" s="324"/>
      <c r="R1234" s="324"/>
      <c r="S1234" s="324"/>
      <c r="T1234" s="324"/>
      <c r="U1234" s="324"/>
      <c r="V1234" s="377">
        <v>40989</v>
      </c>
      <c r="W1234" s="198">
        <v>52.029998999999997</v>
      </c>
      <c r="X1234" s="349">
        <f t="shared" si="50"/>
        <v>2.6435194839913079E-2</v>
      </c>
      <c r="Y1234" s="198">
        <v>1402.8900149999999</v>
      </c>
      <c r="Z1234" s="349">
        <f t="shared" si="51"/>
        <v>-1.8711971103763103E-3</v>
      </c>
      <c r="AA1234" s="324"/>
      <c r="AB1234" s="324"/>
      <c r="AC1234" s="324"/>
      <c r="AD1234" s="324"/>
      <c r="AE1234" s="324"/>
      <c r="AF1234" s="324"/>
    </row>
    <row r="1235" spans="1:32">
      <c r="A1235" s="324"/>
      <c r="B1235" s="244"/>
      <c r="C1235" s="294"/>
      <c r="D1235" s="235"/>
      <c r="E1235" s="294"/>
      <c r="F1235" s="235"/>
      <c r="G1235" s="324"/>
      <c r="H1235" s="324"/>
      <c r="I1235" s="324"/>
      <c r="J1235" s="324"/>
      <c r="K1235" s="324"/>
      <c r="L1235" s="324"/>
      <c r="M1235" s="294"/>
      <c r="N1235" s="235"/>
      <c r="O1235" s="324"/>
      <c r="P1235" s="235"/>
      <c r="Q1235" s="324"/>
      <c r="R1235" s="324"/>
      <c r="S1235" s="324"/>
      <c r="T1235" s="324"/>
      <c r="U1235" s="324"/>
      <c r="V1235" s="377">
        <v>40988</v>
      </c>
      <c r="W1235" s="198">
        <v>50.689999</v>
      </c>
      <c r="X1235" s="349">
        <f t="shared" si="50"/>
        <v>-6.6627475340533815E-3</v>
      </c>
      <c r="Y1235" s="198">
        <v>1405.5200199999999</v>
      </c>
      <c r="Z1235" s="349">
        <f t="shared" si="51"/>
        <v>-3.0005178223089235E-3</v>
      </c>
      <c r="AA1235" s="324"/>
      <c r="AB1235" s="324"/>
      <c r="AC1235" s="324"/>
      <c r="AD1235" s="324"/>
      <c r="AE1235" s="324"/>
      <c r="AF1235" s="324"/>
    </row>
    <row r="1236" spans="1:32">
      <c r="A1236" s="324"/>
      <c r="B1236" s="244"/>
      <c r="C1236" s="294"/>
      <c r="D1236" s="235"/>
      <c r="E1236" s="294"/>
      <c r="F1236" s="235"/>
      <c r="G1236" s="324"/>
      <c r="H1236" s="324"/>
      <c r="I1236" s="324"/>
      <c r="J1236" s="324"/>
      <c r="K1236" s="324"/>
      <c r="L1236" s="324"/>
      <c r="M1236" s="294"/>
      <c r="N1236" s="235"/>
      <c r="O1236" s="324"/>
      <c r="P1236" s="235"/>
      <c r="Q1236" s="324"/>
      <c r="R1236" s="324"/>
      <c r="S1236" s="324"/>
      <c r="T1236" s="324"/>
      <c r="U1236" s="324"/>
      <c r="V1236" s="377">
        <v>40987</v>
      </c>
      <c r="W1236" s="198">
        <v>51.029998999999997</v>
      </c>
      <c r="X1236" s="349">
        <f t="shared" si="50"/>
        <v>7.7014219530295858E-3</v>
      </c>
      <c r="Y1236" s="198">
        <v>1409.75</v>
      </c>
      <c r="Z1236" s="349">
        <f t="shared" si="51"/>
        <v>3.9738463470597729E-3</v>
      </c>
      <c r="AA1236" s="324"/>
      <c r="AB1236" s="324"/>
      <c r="AC1236" s="324"/>
      <c r="AD1236" s="324"/>
      <c r="AE1236" s="324"/>
      <c r="AF1236" s="324"/>
    </row>
    <row r="1237" spans="1:32">
      <c r="A1237" s="324"/>
      <c r="B1237" s="244"/>
      <c r="C1237" s="294"/>
      <c r="D1237" s="235"/>
      <c r="E1237" s="294"/>
      <c r="F1237" s="235"/>
      <c r="G1237" s="324"/>
      <c r="H1237" s="324"/>
      <c r="I1237" s="324"/>
      <c r="J1237" s="324"/>
      <c r="K1237" s="324"/>
      <c r="L1237" s="324"/>
      <c r="M1237" s="294"/>
      <c r="N1237" s="235"/>
      <c r="O1237" s="324"/>
      <c r="P1237" s="235"/>
      <c r="Q1237" s="324"/>
      <c r="R1237" s="324"/>
      <c r="S1237" s="324"/>
      <c r="T1237" s="324"/>
      <c r="U1237" s="324"/>
      <c r="V1237" s="377">
        <v>40984</v>
      </c>
      <c r="W1237" s="198">
        <v>50.639999000000003</v>
      </c>
      <c r="X1237" s="349">
        <f t="shared" si="50"/>
        <v>-1.7741178789669743E-3</v>
      </c>
      <c r="Y1237" s="198">
        <v>1404.170044</v>
      </c>
      <c r="Z1237" s="349">
        <f t="shared" si="51"/>
        <v>1.1193982795276725E-3</v>
      </c>
      <c r="AA1237" s="324"/>
      <c r="AB1237" s="324"/>
      <c r="AC1237" s="324"/>
      <c r="AD1237" s="324"/>
      <c r="AE1237" s="324"/>
      <c r="AF1237" s="324"/>
    </row>
    <row r="1238" spans="1:32">
      <c r="A1238" s="324"/>
      <c r="B1238" s="244"/>
      <c r="C1238" s="294"/>
      <c r="D1238" s="235"/>
      <c r="E1238" s="294"/>
      <c r="F1238" s="235"/>
      <c r="G1238" s="324"/>
      <c r="H1238" s="324"/>
      <c r="I1238" s="324"/>
      <c r="J1238" s="324"/>
      <c r="K1238" s="324"/>
      <c r="L1238" s="324"/>
      <c r="M1238" s="294"/>
      <c r="N1238" s="235"/>
      <c r="O1238" s="324"/>
      <c r="P1238" s="235"/>
      <c r="Q1238" s="324"/>
      <c r="R1238" s="324"/>
      <c r="S1238" s="324"/>
      <c r="T1238" s="324"/>
      <c r="U1238" s="324"/>
      <c r="V1238" s="377">
        <v>40983</v>
      </c>
      <c r="W1238" s="198">
        <v>50.73</v>
      </c>
      <c r="X1238" s="349">
        <f t="shared" si="50"/>
        <v>7.9475061415652526E-3</v>
      </c>
      <c r="Y1238" s="198">
        <v>1402.599976</v>
      </c>
      <c r="Z1238" s="349">
        <f t="shared" si="51"/>
        <v>5.9671994340815271E-3</v>
      </c>
      <c r="AA1238" s="324"/>
      <c r="AB1238" s="324"/>
      <c r="AC1238" s="324"/>
      <c r="AD1238" s="324"/>
      <c r="AE1238" s="324"/>
      <c r="AF1238" s="324"/>
    </row>
    <row r="1239" spans="1:32">
      <c r="A1239" s="324"/>
      <c r="B1239" s="244"/>
      <c r="C1239" s="294"/>
      <c r="D1239" s="235"/>
      <c r="E1239" s="294"/>
      <c r="F1239" s="235"/>
      <c r="G1239" s="324"/>
      <c r="H1239" s="324"/>
      <c r="I1239" s="324"/>
      <c r="J1239" s="324"/>
      <c r="K1239" s="324"/>
      <c r="L1239" s="324"/>
      <c r="M1239" s="294"/>
      <c r="N1239" s="235"/>
      <c r="O1239" s="324"/>
      <c r="P1239" s="235"/>
      <c r="Q1239" s="324"/>
      <c r="R1239" s="324"/>
      <c r="S1239" s="324"/>
      <c r="T1239" s="324"/>
      <c r="U1239" s="324"/>
      <c r="V1239" s="377">
        <v>40982</v>
      </c>
      <c r="W1239" s="198">
        <v>50.330002</v>
      </c>
      <c r="X1239" s="349">
        <f t="shared" si="50"/>
        <v>-1.4296885736449494E-2</v>
      </c>
      <c r="Y1239" s="198">
        <v>1394.280029</v>
      </c>
      <c r="Z1239" s="349">
        <f t="shared" si="51"/>
        <v>-1.1962620857601802E-3</v>
      </c>
      <c r="AA1239" s="324"/>
      <c r="AB1239" s="324"/>
      <c r="AC1239" s="324"/>
      <c r="AD1239" s="324"/>
      <c r="AE1239" s="324"/>
      <c r="AF1239" s="324"/>
    </row>
    <row r="1240" spans="1:32">
      <c r="A1240" s="324"/>
      <c r="B1240" s="244"/>
      <c r="C1240" s="294"/>
      <c r="D1240" s="235"/>
      <c r="E1240" s="294"/>
      <c r="F1240" s="235"/>
      <c r="G1240" s="324"/>
      <c r="H1240" s="324"/>
      <c r="I1240" s="324"/>
      <c r="J1240" s="324"/>
      <c r="K1240" s="324"/>
      <c r="L1240" s="324"/>
      <c r="M1240" s="294"/>
      <c r="N1240" s="235"/>
      <c r="O1240" s="324"/>
      <c r="P1240" s="235"/>
      <c r="Q1240" s="324"/>
      <c r="R1240" s="324"/>
      <c r="S1240" s="324"/>
      <c r="T1240" s="324"/>
      <c r="U1240" s="324"/>
      <c r="V1240" s="377">
        <v>40981</v>
      </c>
      <c r="W1240" s="198">
        <v>51.060001</v>
      </c>
      <c r="X1240" s="349">
        <f t="shared" si="50"/>
        <v>2.3557519111847558E-3</v>
      </c>
      <c r="Y1240" s="198">
        <v>1395.9499510000001</v>
      </c>
      <c r="Z1240" s="349">
        <f t="shared" si="51"/>
        <v>1.8131549071521702E-2</v>
      </c>
      <c r="AA1240" s="324"/>
      <c r="AB1240" s="324"/>
      <c r="AC1240" s="324"/>
      <c r="AD1240" s="324"/>
      <c r="AE1240" s="324"/>
      <c r="AF1240" s="324"/>
    </row>
    <row r="1241" spans="1:32">
      <c r="A1241" s="324"/>
      <c r="B1241" s="244"/>
      <c r="C1241" s="294"/>
      <c r="D1241" s="235"/>
      <c r="E1241" s="294"/>
      <c r="F1241" s="235"/>
      <c r="G1241" s="324"/>
      <c r="H1241" s="324"/>
      <c r="I1241" s="324"/>
      <c r="J1241" s="324"/>
      <c r="K1241" s="324"/>
      <c r="L1241" s="324"/>
      <c r="M1241" s="294"/>
      <c r="N1241" s="235"/>
      <c r="O1241" s="324"/>
      <c r="P1241" s="235"/>
      <c r="Q1241" s="324"/>
      <c r="R1241" s="324"/>
      <c r="S1241" s="324"/>
      <c r="T1241" s="324"/>
      <c r="U1241" s="324"/>
      <c r="V1241" s="377">
        <v>40980</v>
      </c>
      <c r="W1241" s="198">
        <v>50.939999</v>
      </c>
      <c r="X1241" s="349">
        <f t="shared" si="50"/>
        <v>7.3165710895788383E-3</v>
      </c>
      <c r="Y1241" s="198">
        <v>1371.089966</v>
      </c>
      <c r="Z1241" s="349">
        <f t="shared" si="51"/>
        <v>1.6046087579590917E-4</v>
      </c>
      <c r="AA1241" s="324"/>
      <c r="AB1241" s="324"/>
      <c r="AC1241" s="324"/>
      <c r="AD1241" s="324"/>
      <c r="AE1241" s="324"/>
      <c r="AF1241" s="324"/>
    </row>
    <row r="1242" spans="1:32">
      <c r="A1242" s="324"/>
      <c r="B1242" s="244"/>
      <c r="C1242" s="294"/>
      <c r="D1242" s="235"/>
      <c r="E1242" s="294"/>
      <c r="F1242" s="235"/>
      <c r="G1242" s="324"/>
      <c r="H1242" s="324"/>
      <c r="I1242" s="324"/>
      <c r="J1242" s="324"/>
      <c r="K1242" s="324"/>
      <c r="L1242" s="324"/>
      <c r="M1242" s="294"/>
      <c r="N1242" s="235"/>
      <c r="O1242" s="324"/>
      <c r="P1242" s="235"/>
      <c r="Q1242" s="324"/>
      <c r="R1242" s="324"/>
      <c r="S1242" s="324"/>
      <c r="T1242" s="324"/>
      <c r="U1242" s="324"/>
      <c r="V1242" s="377">
        <v>40977</v>
      </c>
      <c r="W1242" s="198">
        <v>50.57</v>
      </c>
      <c r="X1242" s="349">
        <f t="shared" si="50"/>
        <v>-1.9735149782322825E-3</v>
      </c>
      <c r="Y1242" s="198">
        <v>1370.869995</v>
      </c>
      <c r="Z1242" s="349">
        <f t="shared" si="51"/>
        <v>3.6312501383968243E-3</v>
      </c>
      <c r="AA1242" s="324"/>
      <c r="AB1242" s="324"/>
      <c r="AC1242" s="324"/>
      <c r="AD1242" s="324"/>
      <c r="AE1242" s="324"/>
      <c r="AF1242" s="324"/>
    </row>
    <row r="1243" spans="1:32">
      <c r="A1243" s="324"/>
      <c r="B1243" s="244"/>
      <c r="C1243" s="294"/>
      <c r="D1243" s="235"/>
      <c r="E1243" s="294"/>
      <c r="F1243" s="235"/>
      <c r="G1243" s="324"/>
      <c r="H1243" s="324"/>
      <c r="I1243" s="324"/>
      <c r="J1243" s="324"/>
      <c r="K1243" s="324"/>
      <c r="L1243" s="324"/>
      <c r="M1243" s="294"/>
      <c r="N1243" s="235"/>
      <c r="O1243" s="324"/>
      <c r="P1243" s="235"/>
      <c r="Q1243" s="324"/>
      <c r="R1243" s="324"/>
      <c r="S1243" s="324"/>
      <c r="T1243" s="324"/>
      <c r="U1243" s="324"/>
      <c r="V1243" s="377">
        <v>40976</v>
      </c>
      <c r="W1243" s="198">
        <v>50.669998</v>
      </c>
      <c r="X1243" s="349">
        <f t="shared" si="50"/>
        <v>2.1160802522386168E-2</v>
      </c>
      <c r="Y1243" s="198">
        <v>1365.910034</v>
      </c>
      <c r="Z1243" s="349">
        <f t="shared" si="51"/>
        <v>9.8179316967021979E-3</v>
      </c>
      <c r="AA1243" s="324"/>
      <c r="AB1243" s="324"/>
      <c r="AC1243" s="324"/>
      <c r="AD1243" s="324"/>
      <c r="AE1243" s="324"/>
      <c r="AF1243" s="324"/>
    </row>
    <row r="1244" spans="1:32">
      <c r="A1244" s="324"/>
      <c r="B1244" s="244"/>
      <c r="C1244" s="294"/>
      <c r="D1244" s="235"/>
      <c r="E1244" s="294"/>
      <c r="F1244" s="235"/>
      <c r="G1244" s="324"/>
      <c r="H1244" s="324"/>
      <c r="I1244" s="324"/>
      <c r="J1244" s="324"/>
      <c r="K1244" s="324"/>
      <c r="L1244" s="324"/>
      <c r="M1244" s="294"/>
      <c r="N1244" s="235"/>
      <c r="O1244" s="324"/>
      <c r="P1244" s="235"/>
      <c r="Q1244" s="324"/>
      <c r="R1244" s="324"/>
      <c r="S1244" s="324"/>
      <c r="T1244" s="324"/>
      <c r="U1244" s="324"/>
      <c r="V1244" s="377">
        <v>40975</v>
      </c>
      <c r="W1244" s="198">
        <v>49.619999</v>
      </c>
      <c r="X1244" s="349">
        <f t="shared" si="50"/>
        <v>1.8891128975541571E-2</v>
      </c>
      <c r="Y1244" s="198">
        <v>1352.630005</v>
      </c>
      <c r="Z1244" s="349">
        <f t="shared" si="51"/>
        <v>6.900622397205014E-3</v>
      </c>
      <c r="AA1244" s="324"/>
      <c r="AB1244" s="324"/>
      <c r="AC1244" s="324"/>
      <c r="AD1244" s="324"/>
      <c r="AE1244" s="324"/>
      <c r="AF1244" s="324"/>
    </row>
    <row r="1245" spans="1:32">
      <c r="A1245" s="324"/>
      <c r="B1245" s="244"/>
      <c r="C1245" s="294"/>
      <c r="D1245" s="235"/>
      <c r="E1245" s="294"/>
      <c r="F1245" s="235"/>
      <c r="G1245" s="324"/>
      <c r="H1245" s="324"/>
      <c r="I1245" s="324"/>
      <c r="J1245" s="324"/>
      <c r="K1245" s="324"/>
      <c r="L1245" s="324"/>
      <c r="M1245" s="294"/>
      <c r="N1245" s="235"/>
      <c r="O1245" s="324"/>
      <c r="P1245" s="235"/>
      <c r="Q1245" s="324"/>
      <c r="R1245" s="324"/>
      <c r="S1245" s="324"/>
      <c r="T1245" s="324"/>
      <c r="U1245" s="324"/>
      <c r="V1245" s="377">
        <v>40974</v>
      </c>
      <c r="W1245" s="198">
        <v>48.700001</v>
      </c>
      <c r="X1245" s="349">
        <f t="shared" si="50"/>
        <v>-1.217034507444914E-2</v>
      </c>
      <c r="Y1245" s="198">
        <v>1343.3599850000001</v>
      </c>
      <c r="Z1245" s="349">
        <f t="shared" si="51"/>
        <v>-1.5370160940745281E-2</v>
      </c>
      <c r="AA1245" s="324"/>
      <c r="AB1245" s="324"/>
      <c r="AC1245" s="324"/>
      <c r="AD1245" s="324"/>
      <c r="AE1245" s="324"/>
      <c r="AF1245" s="324"/>
    </row>
    <row r="1246" spans="1:32">
      <c r="A1246" s="324"/>
      <c r="B1246" s="244"/>
      <c r="C1246" s="294"/>
      <c r="D1246" s="235"/>
      <c r="E1246" s="294"/>
      <c r="F1246" s="235"/>
      <c r="G1246" s="324"/>
      <c r="H1246" s="324"/>
      <c r="I1246" s="324"/>
      <c r="J1246" s="324"/>
      <c r="K1246" s="324"/>
      <c r="L1246" s="324"/>
      <c r="M1246" s="294"/>
      <c r="N1246" s="235"/>
      <c r="O1246" s="324"/>
      <c r="P1246" s="235"/>
      <c r="Q1246" s="324"/>
      <c r="R1246" s="324"/>
      <c r="S1246" s="324"/>
      <c r="T1246" s="324"/>
      <c r="U1246" s="324"/>
      <c r="V1246" s="377">
        <v>40973</v>
      </c>
      <c r="W1246" s="198">
        <v>49.299999</v>
      </c>
      <c r="X1246" s="349">
        <f t="shared" si="50"/>
        <v>-1.8514851682261524E-2</v>
      </c>
      <c r="Y1246" s="198">
        <v>1364.329956</v>
      </c>
      <c r="Z1246" s="349">
        <f t="shared" si="51"/>
        <v>-3.8696939908233752E-3</v>
      </c>
      <c r="AA1246" s="324"/>
      <c r="AB1246" s="324"/>
      <c r="AC1246" s="324"/>
      <c r="AD1246" s="324"/>
      <c r="AE1246" s="324"/>
      <c r="AF1246" s="324"/>
    </row>
    <row r="1247" spans="1:32">
      <c r="A1247" s="324"/>
      <c r="B1247" s="244"/>
      <c r="C1247" s="294"/>
      <c r="D1247" s="235"/>
      <c r="E1247" s="294"/>
      <c r="F1247" s="235"/>
      <c r="G1247" s="324"/>
      <c r="H1247" s="324"/>
      <c r="I1247" s="324"/>
      <c r="J1247" s="324"/>
      <c r="K1247" s="324"/>
      <c r="L1247" s="324"/>
      <c r="M1247" s="294"/>
      <c r="N1247" s="235"/>
      <c r="O1247" s="324"/>
      <c r="P1247" s="235"/>
      <c r="Q1247" s="324"/>
      <c r="R1247" s="324"/>
      <c r="S1247" s="324"/>
      <c r="T1247" s="324"/>
      <c r="U1247" s="324"/>
      <c r="V1247" s="377">
        <v>40970</v>
      </c>
      <c r="W1247" s="198">
        <v>50.23</v>
      </c>
      <c r="X1247" s="349">
        <f t="shared" si="50"/>
        <v>-9.6609028063703306E-3</v>
      </c>
      <c r="Y1247" s="198">
        <v>1369.630005</v>
      </c>
      <c r="Z1247" s="349">
        <f t="shared" si="51"/>
        <v>-3.2457561807128776E-3</v>
      </c>
      <c r="AA1247" s="324"/>
      <c r="AB1247" s="324"/>
      <c r="AC1247" s="324"/>
      <c r="AD1247" s="324"/>
      <c r="AE1247" s="324"/>
      <c r="AF1247" s="324"/>
    </row>
    <row r="1248" spans="1:32">
      <c r="A1248" s="324"/>
      <c r="B1248" s="244"/>
      <c r="C1248" s="294"/>
      <c r="D1248" s="235"/>
      <c r="E1248" s="294"/>
      <c r="F1248" s="235"/>
      <c r="G1248" s="324"/>
      <c r="H1248" s="324"/>
      <c r="I1248" s="324"/>
      <c r="J1248" s="324"/>
      <c r="K1248" s="324"/>
      <c r="L1248" s="324"/>
      <c r="M1248" s="294"/>
      <c r="N1248" s="235"/>
      <c r="O1248" s="324"/>
      <c r="P1248" s="235"/>
      <c r="Q1248" s="324"/>
      <c r="R1248" s="324"/>
      <c r="S1248" s="324"/>
      <c r="T1248" s="324"/>
      <c r="U1248" s="324"/>
      <c r="V1248" s="377">
        <v>40969</v>
      </c>
      <c r="W1248" s="198">
        <v>50.720001000000003</v>
      </c>
      <c r="X1248" s="349">
        <f t="shared" si="50"/>
        <v>2.5475172371111521E-2</v>
      </c>
      <c r="Y1248" s="198">
        <v>1374.089966</v>
      </c>
      <c r="Z1248" s="349">
        <f t="shared" si="51"/>
        <v>6.1580397073004445E-3</v>
      </c>
      <c r="AA1248" s="324"/>
      <c r="AB1248" s="324"/>
      <c r="AC1248" s="324"/>
      <c r="AD1248" s="324"/>
      <c r="AE1248" s="324"/>
      <c r="AF1248" s="324"/>
    </row>
    <row r="1249" spans="1:32">
      <c r="A1249" s="324"/>
      <c r="B1249" s="244"/>
      <c r="C1249" s="294"/>
      <c r="D1249" s="235"/>
      <c r="E1249" s="294"/>
      <c r="F1249" s="235"/>
      <c r="G1249" s="324"/>
      <c r="H1249" s="324"/>
      <c r="I1249" s="324"/>
      <c r="J1249" s="324"/>
      <c r="K1249" s="324"/>
      <c r="L1249" s="324"/>
      <c r="M1249" s="294"/>
      <c r="N1249" s="235"/>
      <c r="O1249" s="324"/>
      <c r="P1249" s="235"/>
      <c r="Q1249" s="324"/>
      <c r="R1249" s="324"/>
      <c r="S1249" s="324"/>
      <c r="T1249" s="324"/>
      <c r="U1249" s="324"/>
      <c r="V1249" s="377">
        <v>40968</v>
      </c>
      <c r="W1249" s="198">
        <v>49.459999000000003</v>
      </c>
      <c r="X1249" s="349">
        <f t="shared" si="50"/>
        <v>-4.4283615136875287E-3</v>
      </c>
      <c r="Y1249" s="198">
        <v>1365.6800539999999</v>
      </c>
      <c r="Z1249" s="349">
        <f t="shared" si="51"/>
        <v>-4.7369876723190041E-3</v>
      </c>
      <c r="AA1249" s="324"/>
      <c r="AB1249" s="324"/>
      <c r="AC1249" s="324"/>
      <c r="AD1249" s="324"/>
      <c r="AE1249" s="324"/>
      <c r="AF1249" s="324"/>
    </row>
    <row r="1250" spans="1:32">
      <c r="A1250" s="324"/>
      <c r="B1250" s="244"/>
      <c r="C1250" s="294"/>
      <c r="D1250" s="235"/>
      <c r="E1250" s="294"/>
      <c r="F1250" s="235"/>
      <c r="G1250" s="324"/>
      <c r="H1250" s="324"/>
      <c r="I1250" s="324"/>
      <c r="J1250" s="324"/>
      <c r="K1250" s="324"/>
      <c r="L1250" s="324"/>
      <c r="M1250" s="294"/>
      <c r="N1250" s="235"/>
      <c r="O1250" s="324"/>
      <c r="P1250" s="235"/>
      <c r="Q1250" s="324"/>
      <c r="R1250" s="324"/>
      <c r="S1250" s="324"/>
      <c r="T1250" s="324"/>
      <c r="U1250" s="324"/>
      <c r="V1250" s="377">
        <v>40967</v>
      </c>
      <c r="W1250" s="198">
        <v>49.68</v>
      </c>
      <c r="X1250" s="349">
        <f t="shared" si="50"/>
        <v>2.0169018952440609E-3</v>
      </c>
      <c r="Y1250" s="198">
        <v>1372.1800539999999</v>
      </c>
      <c r="Z1250" s="349">
        <f t="shared" si="51"/>
        <v>3.3563334874597839E-3</v>
      </c>
      <c r="AA1250" s="324"/>
      <c r="AB1250" s="324"/>
      <c r="AC1250" s="324"/>
      <c r="AD1250" s="324"/>
      <c r="AE1250" s="324"/>
      <c r="AF1250" s="324"/>
    </row>
    <row r="1251" spans="1:32">
      <c r="A1251" s="324"/>
      <c r="B1251" s="244"/>
      <c r="C1251" s="294"/>
      <c r="D1251" s="235"/>
      <c r="E1251" s="294"/>
      <c r="F1251" s="235"/>
      <c r="G1251" s="324"/>
      <c r="H1251" s="324"/>
      <c r="I1251" s="324"/>
      <c r="J1251" s="324"/>
      <c r="K1251" s="324"/>
      <c r="L1251" s="324"/>
      <c r="M1251" s="294"/>
      <c r="N1251" s="235"/>
      <c r="O1251" s="324"/>
      <c r="P1251" s="235"/>
      <c r="Q1251" s="324"/>
      <c r="R1251" s="324"/>
      <c r="S1251" s="324"/>
      <c r="T1251" s="324"/>
      <c r="U1251" s="324"/>
      <c r="V1251" s="377">
        <v>40966</v>
      </c>
      <c r="W1251" s="198">
        <v>49.580002</v>
      </c>
      <c r="X1251" s="349">
        <f t="shared" si="50"/>
        <v>-8.598200703787362E-3</v>
      </c>
      <c r="Y1251" s="198">
        <v>1367.589966</v>
      </c>
      <c r="Z1251" s="349">
        <f t="shared" si="51"/>
        <v>1.3545594428994168E-3</v>
      </c>
      <c r="AA1251" s="324"/>
      <c r="AB1251" s="324"/>
      <c r="AC1251" s="324"/>
      <c r="AD1251" s="324"/>
      <c r="AE1251" s="324"/>
      <c r="AF1251" s="324"/>
    </row>
    <row r="1252" spans="1:32">
      <c r="A1252" s="324"/>
      <c r="B1252" s="244"/>
      <c r="C1252" s="294"/>
      <c r="D1252" s="235"/>
      <c r="E1252" s="294"/>
      <c r="F1252" s="235"/>
      <c r="G1252" s="324"/>
      <c r="H1252" s="324"/>
      <c r="I1252" s="324"/>
      <c r="J1252" s="324"/>
      <c r="K1252" s="324"/>
      <c r="L1252" s="324"/>
      <c r="M1252" s="294"/>
      <c r="N1252" s="235"/>
      <c r="O1252" s="324"/>
      <c r="P1252" s="235"/>
      <c r="Q1252" s="324"/>
      <c r="R1252" s="324"/>
      <c r="S1252" s="324"/>
      <c r="T1252" s="324"/>
      <c r="U1252" s="324"/>
      <c r="V1252" s="377">
        <v>40963</v>
      </c>
      <c r="W1252" s="198">
        <v>50.009998000000003</v>
      </c>
      <c r="X1252" s="349">
        <f t="shared" si="50"/>
        <v>2.269930377507956E-2</v>
      </c>
      <c r="Y1252" s="198">
        <v>1365.73999</v>
      </c>
      <c r="Z1252" s="349">
        <f t="shared" si="51"/>
        <v>1.6722375905544595E-3</v>
      </c>
      <c r="AA1252" s="324"/>
      <c r="AB1252" s="324"/>
      <c r="AC1252" s="324"/>
      <c r="AD1252" s="324"/>
      <c r="AE1252" s="324"/>
      <c r="AF1252" s="324"/>
    </row>
    <row r="1253" spans="1:32">
      <c r="A1253" s="324"/>
      <c r="B1253" s="244"/>
      <c r="C1253" s="294"/>
      <c r="D1253" s="235"/>
      <c r="E1253" s="294"/>
      <c r="F1253" s="235"/>
      <c r="G1253" s="324"/>
      <c r="H1253" s="324"/>
      <c r="I1253" s="324"/>
      <c r="J1253" s="324"/>
      <c r="K1253" s="324"/>
      <c r="L1253" s="324"/>
      <c r="M1253" s="294"/>
      <c r="N1253" s="235"/>
      <c r="O1253" s="324"/>
      <c r="P1253" s="235"/>
      <c r="Q1253" s="324"/>
      <c r="R1253" s="324"/>
      <c r="S1253" s="324"/>
      <c r="T1253" s="324"/>
      <c r="U1253" s="324"/>
      <c r="V1253" s="377">
        <v>40962</v>
      </c>
      <c r="W1253" s="198">
        <v>48.900002000000001</v>
      </c>
      <c r="X1253" s="349">
        <f t="shared" si="50"/>
        <v>4.3130623190195116E-3</v>
      </c>
      <c r="Y1253" s="198">
        <v>1363.459961</v>
      </c>
      <c r="Z1253" s="349">
        <f t="shared" si="51"/>
        <v>4.2720024562497017E-3</v>
      </c>
      <c r="AA1253" s="324"/>
      <c r="AB1253" s="324"/>
      <c r="AC1253" s="324"/>
      <c r="AD1253" s="324"/>
      <c r="AE1253" s="324"/>
      <c r="AF1253" s="324"/>
    </row>
    <row r="1254" spans="1:32">
      <c r="A1254" s="324"/>
      <c r="B1254" s="244"/>
      <c r="C1254" s="294"/>
      <c r="D1254" s="235"/>
      <c r="E1254" s="294"/>
      <c r="F1254" s="235"/>
      <c r="G1254" s="324"/>
      <c r="H1254" s="324"/>
      <c r="I1254" s="324"/>
      <c r="J1254" s="324"/>
      <c r="K1254" s="324"/>
      <c r="L1254" s="324"/>
      <c r="M1254" s="294"/>
      <c r="N1254" s="235"/>
      <c r="O1254" s="324"/>
      <c r="P1254" s="235"/>
      <c r="Q1254" s="324"/>
      <c r="R1254" s="324"/>
      <c r="S1254" s="324"/>
      <c r="T1254" s="324"/>
      <c r="U1254" s="324"/>
      <c r="V1254" s="377">
        <v>40961</v>
      </c>
      <c r="W1254" s="198">
        <v>48.689999</v>
      </c>
      <c r="X1254" s="349">
        <f t="shared" si="50"/>
        <v>8.7010358400663179E-3</v>
      </c>
      <c r="Y1254" s="198">
        <v>1357.660034</v>
      </c>
      <c r="Z1254" s="349">
        <f t="shared" si="51"/>
        <v>-3.3401069807622585E-3</v>
      </c>
      <c r="AA1254" s="324"/>
      <c r="AB1254" s="324"/>
      <c r="AC1254" s="324"/>
      <c r="AD1254" s="324"/>
      <c r="AE1254" s="324"/>
      <c r="AF1254" s="324"/>
    </row>
    <row r="1255" spans="1:32">
      <c r="A1255" s="324"/>
      <c r="B1255" s="244"/>
      <c r="C1255" s="294"/>
      <c r="D1255" s="235"/>
      <c r="E1255" s="294"/>
      <c r="F1255" s="235"/>
      <c r="G1255" s="324"/>
      <c r="H1255" s="324"/>
      <c r="I1255" s="324"/>
      <c r="J1255" s="324"/>
      <c r="K1255" s="324"/>
      <c r="L1255" s="324"/>
      <c r="M1255" s="294"/>
      <c r="N1255" s="235"/>
      <c r="O1255" s="324"/>
      <c r="P1255" s="235"/>
      <c r="Q1255" s="324"/>
      <c r="R1255" s="324"/>
      <c r="S1255" s="324"/>
      <c r="T1255" s="324"/>
      <c r="U1255" s="324"/>
      <c r="V1255" s="377">
        <v>40960</v>
      </c>
      <c r="W1255" s="198">
        <v>48.27</v>
      </c>
      <c r="X1255" s="349">
        <f t="shared" si="50"/>
        <v>-6.9944660153369309E-3</v>
      </c>
      <c r="Y1255" s="198">
        <v>1362.209961</v>
      </c>
      <c r="Z1255" s="349">
        <f t="shared" si="51"/>
        <v>7.1992316830993275E-4</v>
      </c>
      <c r="AA1255" s="324"/>
      <c r="AB1255" s="324"/>
      <c r="AC1255" s="324"/>
      <c r="AD1255" s="324"/>
      <c r="AE1255" s="324"/>
      <c r="AF1255" s="324"/>
    </row>
    <row r="1256" spans="1:32">
      <c r="A1256" s="324"/>
      <c r="B1256" s="244"/>
      <c r="C1256" s="294"/>
      <c r="D1256" s="235"/>
      <c r="E1256" s="294"/>
      <c r="F1256" s="235"/>
      <c r="G1256" s="324"/>
      <c r="H1256" s="324"/>
      <c r="I1256" s="324"/>
      <c r="J1256" s="324"/>
      <c r="K1256" s="324"/>
      <c r="L1256" s="324"/>
      <c r="M1256" s="294"/>
      <c r="N1256" s="235"/>
      <c r="O1256" s="324"/>
      <c r="P1256" s="235"/>
      <c r="Q1256" s="324"/>
      <c r="R1256" s="324"/>
      <c r="S1256" s="324"/>
      <c r="T1256" s="324"/>
      <c r="U1256" s="324"/>
      <c r="V1256" s="377">
        <v>40956</v>
      </c>
      <c r="W1256" s="198">
        <v>48.610000999999997</v>
      </c>
      <c r="X1256" s="349">
        <f t="shared" si="50"/>
        <v>-9.5762221036584938E-3</v>
      </c>
      <c r="Y1256" s="198">
        <v>1361.2299800000001</v>
      </c>
      <c r="Z1256" s="349">
        <f t="shared" si="51"/>
        <v>2.3489300082411013E-3</v>
      </c>
      <c r="AA1256" s="324"/>
      <c r="AB1256" s="324"/>
      <c r="AC1256" s="324"/>
      <c r="AD1256" s="324"/>
      <c r="AE1256" s="324"/>
      <c r="AF1256" s="324"/>
    </row>
    <row r="1257" spans="1:32">
      <c r="A1257" s="324"/>
      <c r="B1257" s="244"/>
      <c r="C1257" s="294"/>
      <c r="D1257" s="235"/>
      <c r="E1257" s="294"/>
      <c r="F1257" s="235"/>
      <c r="G1257" s="324"/>
      <c r="H1257" s="324"/>
      <c r="I1257" s="324"/>
      <c r="J1257" s="324"/>
      <c r="K1257" s="324"/>
      <c r="L1257" s="324"/>
      <c r="M1257" s="294"/>
      <c r="N1257" s="235"/>
      <c r="O1257" s="324"/>
      <c r="P1257" s="235"/>
      <c r="Q1257" s="324"/>
      <c r="R1257" s="324"/>
      <c r="S1257" s="324"/>
      <c r="T1257" s="324"/>
      <c r="U1257" s="324"/>
      <c r="V1257" s="377">
        <v>40955</v>
      </c>
      <c r="W1257" s="198">
        <v>49.080002</v>
      </c>
      <c r="X1257" s="349">
        <f t="shared" si="50"/>
        <v>1.9314640942278638E-2</v>
      </c>
      <c r="Y1257" s="198">
        <v>1358.040039</v>
      </c>
      <c r="Z1257" s="349">
        <f t="shared" si="51"/>
        <v>1.1025706111770894E-2</v>
      </c>
      <c r="AA1257" s="324"/>
      <c r="AB1257" s="324"/>
      <c r="AC1257" s="324"/>
      <c r="AD1257" s="324"/>
      <c r="AE1257" s="324"/>
      <c r="AF1257" s="324"/>
    </row>
    <row r="1258" spans="1:32">
      <c r="A1258" s="324"/>
      <c r="B1258" s="244"/>
      <c r="C1258" s="294"/>
      <c r="D1258" s="235"/>
      <c r="E1258" s="294"/>
      <c r="F1258" s="235"/>
      <c r="G1258" s="324"/>
      <c r="H1258" s="324"/>
      <c r="I1258" s="324"/>
      <c r="J1258" s="324"/>
      <c r="K1258" s="324"/>
      <c r="L1258" s="324"/>
      <c r="M1258" s="294"/>
      <c r="N1258" s="235"/>
      <c r="O1258" s="324"/>
      <c r="P1258" s="235"/>
      <c r="Q1258" s="324"/>
      <c r="R1258" s="324"/>
      <c r="S1258" s="324"/>
      <c r="T1258" s="324"/>
      <c r="U1258" s="324"/>
      <c r="V1258" s="377">
        <v>40954</v>
      </c>
      <c r="W1258" s="198">
        <v>48.150002000000001</v>
      </c>
      <c r="X1258" s="349">
        <f t="shared" si="50"/>
        <v>-1.35217985346896E-2</v>
      </c>
      <c r="Y1258" s="198">
        <v>1343.2299800000001</v>
      </c>
      <c r="Z1258" s="349">
        <f t="shared" si="51"/>
        <v>-5.3832062199185016E-3</v>
      </c>
      <c r="AA1258" s="324"/>
      <c r="AB1258" s="324"/>
      <c r="AC1258" s="324"/>
      <c r="AD1258" s="324"/>
      <c r="AE1258" s="324"/>
      <c r="AF1258" s="324"/>
    </row>
    <row r="1259" spans="1:32">
      <c r="A1259" s="324"/>
      <c r="B1259" s="244"/>
      <c r="C1259" s="294"/>
      <c r="D1259" s="235"/>
      <c r="E1259" s="294"/>
      <c r="F1259" s="235"/>
      <c r="G1259" s="324"/>
      <c r="H1259" s="324"/>
      <c r="I1259" s="324"/>
      <c r="J1259" s="324"/>
      <c r="K1259" s="324"/>
      <c r="L1259" s="324"/>
      <c r="M1259" s="294"/>
      <c r="N1259" s="235"/>
      <c r="O1259" s="324"/>
      <c r="P1259" s="235"/>
      <c r="Q1259" s="324"/>
      <c r="R1259" s="324"/>
      <c r="S1259" s="324"/>
      <c r="T1259" s="324"/>
      <c r="U1259" s="324"/>
      <c r="V1259" s="377">
        <v>40953</v>
      </c>
      <c r="W1259" s="198">
        <v>48.810001</v>
      </c>
      <c r="X1259" s="349">
        <f t="shared" si="50"/>
        <v>-6.1423013923023184E-4</v>
      </c>
      <c r="Y1259" s="198">
        <v>1350.5</v>
      </c>
      <c r="Z1259" s="349">
        <f t="shared" si="51"/>
        <v>-9.3952372164607389E-4</v>
      </c>
      <c r="AA1259" s="324"/>
      <c r="AB1259" s="324"/>
      <c r="AC1259" s="324"/>
      <c r="AD1259" s="324"/>
      <c r="AE1259" s="324"/>
      <c r="AF1259" s="324"/>
    </row>
    <row r="1260" spans="1:32">
      <c r="A1260" s="324"/>
      <c r="B1260" s="244"/>
      <c r="C1260" s="294"/>
      <c r="D1260" s="235"/>
      <c r="E1260" s="294"/>
      <c r="F1260" s="235"/>
      <c r="G1260" s="324"/>
      <c r="H1260" s="324"/>
      <c r="I1260" s="324"/>
      <c r="J1260" s="324"/>
      <c r="K1260" s="324"/>
      <c r="L1260" s="324"/>
      <c r="M1260" s="294"/>
      <c r="N1260" s="235"/>
      <c r="O1260" s="324"/>
      <c r="P1260" s="235"/>
      <c r="Q1260" s="324"/>
      <c r="R1260" s="324"/>
      <c r="S1260" s="324"/>
      <c r="T1260" s="324"/>
      <c r="U1260" s="324"/>
      <c r="V1260" s="377">
        <v>40952</v>
      </c>
      <c r="W1260" s="198">
        <v>48.84</v>
      </c>
      <c r="X1260" s="349">
        <f t="shared" si="50"/>
        <v>1.8136313985067432E-2</v>
      </c>
      <c r="Y1260" s="198">
        <v>1351.7700199999999</v>
      </c>
      <c r="Z1260" s="349">
        <f t="shared" si="51"/>
        <v>6.8000393984979368E-3</v>
      </c>
      <c r="AA1260" s="324"/>
      <c r="AB1260" s="324"/>
      <c r="AC1260" s="324"/>
      <c r="AD1260" s="324"/>
      <c r="AE1260" s="324"/>
      <c r="AF1260" s="324"/>
    </row>
    <row r="1261" spans="1:32">
      <c r="A1261" s="324"/>
      <c r="B1261" s="244"/>
      <c r="C1261" s="294"/>
      <c r="D1261" s="235"/>
      <c r="E1261" s="294"/>
      <c r="F1261" s="235"/>
      <c r="G1261" s="324"/>
      <c r="H1261" s="324"/>
      <c r="I1261" s="324"/>
      <c r="J1261" s="324"/>
      <c r="K1261" s="324"/>
      <c r="L1261" s="324"/>
      <c r="M1261" s="294"/>
      <c r="N1261" s="235"/>
      <c r="O1261" s="324"/>
      <c r="P1261" s="235"/>
      <c r="Q1261" s="324"/>
      <c r="R1261" s="324"/>
      <c r="S1261" s="324"/>
      <c r="T1261" s="324"/>
      <c r="U1261" s="324"/>
      <c r="V1261" s="377">
        <v>40949</v>
      </c>
      <c r="W1261" s="198">
        <v>47.970001000000003</v>
      </c>
      <c r="X1261" s="349">
        <f t="shared" si="50"/>
        <v>-1.6605125391658815E-2</v>
      </c>
      <c r="Y1261" s="198">
        <v>1342.6400149999999</v>
      </c>
      <c r="Z1261" s="349">
        <f t="shared" si="51"/>
        <v>-6.8863022577971833E-3</v>
      </c>
      <c r="AA1261" s="324"/>
      <c r="AB1261" s="324"/>
      <c r="AC1261" s="324"/>
      <c r="AD1261" s="324"/>
      <c r="AE1261" s="324"/>
      <c r="AF1261" s="324"/>
    </row>
    <row r="1262" spans="1:32">
      <c r="A1262" s="324"/>
      <c r="B1262" s="244"/>
      <c r="C1262" s="294"/>
      <c r="D1262" s="235"/>
      <c r="E1262" s="294"/>
      <c r="F1262" s="235"/>
      <c r="G1262" s="324"/>
      <c r="H1262" s="324"/>
      <c r="I1262" s="324"/>
      <c r="J1262" s="324"/>
      <c r="K1262" s="324"/>
      <c r="L1262" s="324"/>
      <c r="M1262" s="294"/>
      <c r="N1262" s="235"/>
      <c r="O1262" s="324"/>
      <c r="P1262" s="235"/>
      <c r="Q1262" s="324"/>
      <c r="R1262" s="324"/>
      <c r="S1262" s="324"/>
      <c r="T1262" s="324"/>
      <c r="U1262" s="324"/>
      <c r="V1262" s="377">
        <v>40948</v>
      </c>
      <c r="W1262" s="198">
        <v>48.779998999999997</v>
      </c>
      <c r="X1262" s="349">
        <f t="shared" si="50"/>
        <v>1.4559005218011345E-2</v>
      </c>
      <c r="Y1262" s="198">
        <v>1351.9499510000001</v>
      </c>
      <c r="Z1262" s="349">
        <f t="shared" si="51"/>
        <v>1.4741103865969496E-3</v>
      </c>
      <c r="AA1262" s="324"/>
      <c r="AB1262" s="324"/>
      <c r="AC1262" s="324"/>
      <c r="AD1262" s="324"/>
      <c r="AE1262" s="324"/>
      <c r="AF1262" s="324"/>
    </row>
    <row r="1263" spans="1:32">
      <c r="A1263" s="324"/>
      <c r="B1263" s="244"/>
      <c r="C1263" s="294"/>
      <c r="D1263" s="235"/>
      <c r="E1263" s="294"/>
      <c r="F1263" s="235"/>
      <c r="G1263" s="324"/>
      <c r="H1263" s="324"/>
      <c r="I1263" s="324"/>
      <c r="J1263" s="324"/>
      <c r="K1263" s="324"/>
      <c r="L1263" s="324"/>
      <c r="M1263" s="294"/>
      <c r="N1263" s="235"/>
      <c r="O1263" s="324"/>
      <c r="P1263" s="235"/>
      <c r="Q1263" s="324"/>
      <c r="R1263" s="324"/>
      <c r="S1263" s="324"/>
      <c r="T1263" s="324"/>
      <c r="U1263" s="324"/>
      <c r="V1263" s="377">
        <v>40947</v>
      </c>
      <c r="W1263" s="198">
        <v>48.080002</v>
      </c>
      <c r="X1263" s="349">
        <f t="shared" si="50"/>
        <v>1.4581129538893123E-3</v>
      </c>
      <c r="Y1263" s="198">
        <v>1349.959961</v>
      </c>
      <c r="Z1263" s="349">
        <f t="shared" si="51"/>
        <v>2.1602107524960612E-3</v>
      </c>
      <c r="AA1263" s="324"/>
      <c r="AB1263" s="324"/>
      <c r="AC1263" s="324"/>
      <c r="AD1263" s="324"/>
      <c r="AE1263" s="324"/>
      <c r="AF1263" s="324"/>
    </row>
    <row r="1264" spans="1:32">
      <c r="A1264" s="324"/>
      <c r="B1264" s="244"/>
      <c r="C1264" s="294"/>
      <c r="D1264" s="235"/>
      <c r="E1264" s="294"/>
      <c r="F1264" s="235"/>
      <c r="G1264" s="324"/>
      <c r="H1264" s="324"/>
      <c r="I1264" s="324"/>
      <c r="J1264" s="324"/>
      <c r="K1264" s="324"/>
      <c r="L1264" s="324"/>
      <c r="M1264" s="294"/>
      <c r="N1264" s="235"/>
      <c r="O1264" s="324"/>
      <c r="P1264" s="235"/>
      <c r="Q1264" s="324"/>
      <c r="R1264" s="324"/>
      <c r="S1264" s="324"/>
      <c r="T1264" s="324"/>
      <c r="U1264" s="324"/>
      <c r="V1264" s="377">
        <v>40946</v>
      </c>
      <c r="W1264" s="198">
        <v>48.009998000000003</v>
      </c>
      <c r="X1264" s="246"/>
      <c r="Y1264" s="198">
        <v>1347.0500489999999</v>
      </c>
      <c r="Z1264" s="325"/>
      <c r="AA1264" s="324"/>
      <c r="AB1264" s="324"/>
      <c r="AC1264" s="324"/>
      <c r="AD1264" s="324"/>
      <c r="AE1264" s="324"/>
      <c r="AF1264" s="324"/>
    </row>
    <row r="1265" spans="1:32">
      <c r="A1265" s="324"/>
      <c r="B1265" s="244"/>
      <c r="C1265" s="294"/>
      <c r="D1265" s="235"/>
      <c r="E1265" s="294"/>
      <c r="F1265" s="235"/>
      <c r="G1265" s="324"/>
      <c r="H1265" s="324"/>
      <c r="I1265" s="324"/>
      <c r="J1265" s="324"/>
      <c r="K1265" s="324"/>
      <c r="L1265" s="324"/>
      <c r="M1265" s="294"/>
      <c r="N1265" s="235"/>
      <c r="O1265" s="324"/>
      <c r="P1265" s="235"/>
      <c r="Q1265" s="324"/>
      <c r="R1265" s="324"/>
      <c r="S1265" s="324"/>
      <c r="T1265" s="324"/>
      <c r="U1265" s="324"/>
      <c r="V1265" s="324"/>
      <c r="W1265" s="324"/>
      <c r="X1265" s="324"/>
      <c r="Y1265" s="366"/>
      <c r="Z1265" s="246"/>
      <c r="AA1265" s="324"/>
      <c r="AB1265" s="324"/>
      <c r="AC1265" s="324"/>
      <c r="AD1265" s="324"/>
      <c r="AE1265" s="324"/>
      <c r="AF1265" s="324"/>
    </row>
  </sheetData>
  <mergeCells count="12">
    <mergeCell ref="V4:AD4"/>
    <mergeCell ref="M6:N6"/>
    <mergeCell ref="O6:P6"/>
    <mergeCell ref="R14:S14"/>
    <mergeCell ref="AB14:AC14"/>
    <mergeCell ref="W6:X6"/>
    <mergeCell ref="Y6:Z6"/>
    <mergeCell ref="H14:I14"/>
    <mergeCell ref="C6:D6"/>
    <mergeCell ref="E6:F6"/>
    <mergeCell ref="B4:J4"/>
    <mergeCell ref="L4:T4"/>
  </mergeCells>
  <pageMargins left="0.7" right="0.7" top="0.75" bottom="0.75" header="0.3" footer="0.3"/>
  <pageSetup fitToHeight="0"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1:N23"/>
  <sheetViews>
    <sheetView showGridLines="0" workbookViewId="0">
      <selection activeCell="J33" sqref="I32:J33"/>
    </sheetView>
  </sheetViews>
  <sheetFormatPr defaultRowHeight="15"/>
  <cols>
    <col min="1" max="1" width="1.7109375" style="1" customWidth="1"/>
    <col min="2" max="2" width="20.85546875" style="1" bestFit="1" customWidth="1"/>
    <col min="3" max="3" width="8.7109375" style="1" bestFit="1" customWidth="1"/>
    <col min="4" max="4" width="9.140625" style="1"/>
    <col min="5" max="5" width="12.85546875" style="1" bestFit="1" customWidth="1"/>
    <col min="6" max="6" width="26.7109375" style="1" bestFit="1" customWidth="1"/>
    <col min="7" max="7" width="7.7109375" style="1" bestFit="1" customWidth="1"/>
    <col min="8" max="8" width="11.7109375" style="1" bestFit="1" customWidth="1"/>
    <col min="9" max="16384" width="9.140625" style="1"/>
  </cols>
  <sheetData>
    <row r="1" spans="2:14" ht="23.25">
      <c r="B1" s="268" t="str">
        <f>Valuation!B1</f>
        <v>RHT</v>
      </c>
      <c r="C1" s="450"/>
      <c r="D1" s="450"/>
      <c r="E1" s="450"/>
      <c r="F1" s="450"/>
      <c r="G1" s="450"/>
      <c r="H1" s="450"/>
      <c r="I1" s="450"/>
      <c r="J1" s="450"/>
      <c r="K1" s="450"/>
      <c r="L1" s="450"/>
      <c r="M1" s="450"/>
      <c r="N1" s="324"/>
    </row>
    <row r="2" spans="2:14">
      <c r="B2" s="269" t="str">
        <f>Valuation!B2</f>
        <v>Red Hat .Inc</v>
      </c>
      <c r="C2" s="324"/>
      <c r="D2" s="450"/>
      <c r="E2" s="324"/>
      <c r="F2" s="324"/>
      <c r="G2" s="324"/>
      <c r="H2" s="324"/>
      <c r="I2" s="324"/>
      <c r="J2" s="324"/>
      <c r="K2" s="324"/>
      <c r="L2" s="324"/>
      <c r="M2" s="324"/>
      <c r="N2" s="324"/>
    </row>
    <row r="3" spans="2:14" ht="3" customHeight="1">
      <c r="B3" s="242"/>
      <c r="C3" s="242"/>
      <c r="D3" s="242"/>
      <c r="E3" s="242"/>
      <c r="F3" s="242"/>
      <c r="G3" s="242"/>
      <c r="H3" s="242"/>
      <c r="I3" s="324"/>
      <c r="J3" s="324"/>
      <c r="K3" s="324"/>
      <c r="L3" s="324"/>
      <c r="M3" s="324"/>
      <c r="N3" s="324"/>
    </row>
    <row r="4" spans="2:14">
      <c r="B4" s="198" t="s">
        <v>36</v>
      </c>
      <c r="C4" s="324"/>
      <c r="D4" s="450"/>
      <c r="E4" s="324"/>
      <c r="F4" s="324"/>
      <c r="G4" s="324"/>
      <c r="H4" s="324"/>
      <c r="I4" s="324"/>
      <c r="J4" s="324"/>
      <c r="K4" s="324"/>
      <c r="L4" s="324"/>
      <c r="M4" s="324"/>
      <c r="N4" s="324"/>
    </row>
    <row r="5" spans="2:14">
      <c r="B5" s="324"/>
      <c r="C5" s="324"/>
      <c r="D5" s="324"/>
      <c r="E5" s="324"/>
      <c r="F5" s="324"/>
      <c r="G5" s="324"/>
      <c r="H5" s="324"/>
      <c r="I5" s="324"/>
      <c r="J5" s="324"/>
      <c r="K5" s="324"/>
      <c r="L5" s="324"/>
      <c r="M5" s="324"/>
      <c r="N5" s="324"/>
    </row>
    <row r="6" spans="2:14">
      <c r="B6" s="507" t="str">
        <f>B1&amp;" "&amp;"Metrics"</f>
        <v>RHT Metrics</v>
      </c>
      <c r="C6" s="488"/>
      <c r="D6" s="324"/>
      <c r="E6" s="508" t="s">
        <v>77</v>
      </c>
      <c r="F6" s="509"/>
      <c r="G6" s="509"/>
      <c r="H6" s="509"/>
      <c r="I6" s="248"/>
      <c r="J6" s="324"/>
      <c r="K6" s="324"/>
      <c r="L6" s="324"/>
      <c r="M6" s="324"/>
      <c r="N6" s="324"/>
    </row>
    <row r="7" spans="2:14">
      <c r="B7" s="119" t="s">
        <v>68</v>
      </c>
      <c r="C7" s="335">
        <f>DuPont!F25</f>
        <v>0.91587378467451863</v>
      </c>
      <c r="D7" s="324"/>
      <c r="E7" s="169" t="s">
        <v>75</v>
      </c>
      <c r="F7" s="169" t="s">
        <v>76</v>
      </c>
      <c r="G7" s="169" t="s">
        <v>11</v>
      </c>
      <c r="H7" s="169" t="s">
        <v>68</v>
      </c>
      <c r="I7" s="248"/>
      <c r="J7" s="324"/>
      <c r="K7" s="324"/>
      <c r="L7" s="324"/>
      <c r="M7" s="324"/>
      <c r="N7" s="324"/>
    </row>
    <row r="8" spans="2:14">
      <c r="B8" s="119" t="s">
        <v>69</v>
      </c>
      <c r="C8" s="340">
        <f>DCF!N51</f>
        <v>0.35</v>
      </c>
      <c r="D8" s="324"/>
      <c r="E8" s="119" t="s">
        <v>352</v>
      </c>
      <c r="F8" s="126" t="s">
        <v>358</v>
      </c>
      <c r="G8" s="376">
        <v>1.8</v>
      </c>
      <c r="H8" s="376">
        <v>0</v>
      </c>
      <c r="I8" s="248"/>
      <c r="J8" s="324"/>
      <c r="K8" s="324"/>
      <c r="L8" s="324"/>
      <c r="M8" s="324"/>
      <c r="N8" s="324"/>
    </row>
    <row r="9" spans="2:14">
      <c r="B9" s="119" t="s">
        <v>70</v>
      </c>
      <c r="C9" s="335">
        <f>Valuation!C12</f>
        <v>82.6</v>
      </c>
      <c r="D9" s="324"/>
      <c r="E9" s="119" t="s">
        <v>351</v>
      </c>
      <c r="F9" s="126" t="s">
        <v>360</v>
      </c>
      <c r="G9" s="376">
        <v>1.77</v>
      </c>
      <c r="H9" s="376">
        <v>0</v>
      </c>
      <c r="I9" s="248"/>
      <c r="J9" s="324"/>
      <c r="K9" s="324"/>
      <c r="L9" s="324"/>
      <c r="M9" s="324"/>
      <c r="N9" s="324"/>
    </row>
    <row r="10" spans="2:14">
      <c r="B10" s="119" t="s">
        <v>71</v>
      </c>
      <c r="C10" s="340">
        <f>DCF!J49</f>
        <v>2.9700000000000001E-2</v>
      </c>
      <c r="D10" s="324"/>
      <c r="E10" s="119" t="s">
        <v>350</v>
      </c>
      <c r="F10" s="126" t="s">
        <v>361</v>
      </c>
      <c r="G10" s="376">
        <v>0.78</v>
      </c>
      <c r="H10" s="376">
        <v>0.19</v>
      </c>
      <c r="I10" s="248"/>
      <c r="J10" s="324"/>
      <c r="K10" s="324"/>
      <c r="L10" s="324"/>
      <c r="M10" s="324"/>
      <c r="N10" s="324"/>
    </row>
    <row r="11" spans="2:14">
      <c r="B11" s="119" t="s">
        <v>72</v>
      </c>
      <c r="C11" s="340">
        <f>DCF!J48</f>
        <v>0.06</v>
      </c>
      <c r="D11" s="324"/>
      <c r="E11" s="119" t="s">
        <v>353</v>
      </c>
      <c r="F11" s="126" t="s">
        <v>359</v>
      </c>
      <c r="G11" s="376">
        <v>2.61</v>
      </c>
      <c r="H11" s="376">
        <v>0.45</v>
      </c>
      <c r="I11" s="248"/>
      <c r="J11" s="324"/>
      <c r="K11" s="324"/>
      <c r="L11" s="324"/>
      <c r="M11" s="324"/>
      <c r="N11" s="324"/>
    </row>
    <row r="12" spans="2:14">
      <c r="B12" s="324"/>
      <c r="C12" s="324"/>
      <c r="D12" s="324"/>
      <c r="E12" s="119" t="s">
        <v>355</v>
      </c>
      <c r="F12" s="126" t="s">
        <v>357</v>
      </c>
      <c r="G12" s="376">
        <v>1.42</v>
      </c>
      <c r="H12" s="376">
        <v>0.52</v>
      </c>
      <c r="I12" s="248"/>
      <c r="J12" s="324"/>
      <c r="K12" s="324"/>
      <c r="L12" s="324"/>
      <c r="M12" s="324"/>
      <c r="N12" s="324"/>
    </row>
    <row r="13" spans="2:14">
      <c r="B13" s="170" t="s">
        <v>73</v>
      </c>
      <c r="C13" s="338">
        <f>G14/(1+(1-C8)*H14)</f>
        <v>1.1066529812447512</v>
      </c>
      <c r="D13" s="324"/>
      <c r="E13" s="119" t="s">
        <v>354</v>
      </c>
      <c r="F13" s="126" t="s">
        <v>356</v>
      </c>
      <c r="G13" s="376">
        <v>1.1200000000000001</v>
      </c>
      <c r="H13" s="376">
        <v>0.93</v>
      </c>
      <c r="I13" s="324"/>
      <c r="J13" s="324"/>
      <c r="K13" s="324"/>
      <c r="L13" s="324"/>
      <c r="M13" s="324"/>
      <c r="N13" s="324"/>
    </row>
    <row r="14" spans="2:14">
      <c r="B14" s="170" t="s">
        <v>74</v>
      </c>
      <c r="C14" s="348">
        <f>C13*(1+(1-C8)*C7)</f>
        <v>1.7654633765098315</v>
      </c>
      <c r="D14" s="324"/>
      <c r="E14" s="249"/>
      <c r="F14" s="163" t="s">
        <v>56</v>
      </c>
      <c r="G14" s="334">
        <f>AVERAGE(G10:G13)</f>
        <v>1.4824999999999999</v>
      </c>
      <c r="H14" s="334">
        <f>AVERAGE(H10:H13)</f>
        <v>0.52250000000000008</v>
      </c>
      <c r="I14" s="324"/>
      <c r="J14" s="324"/>
      <c r="K14" s="324"/>
      <c r="L14" s="324"/>
      <c r="M14" s="324"/>
      <c r="N14" s="324"/>
    </row>
    <row r="15" spans="2:14">
      <c r="B15" s="324"/>
      <c r="C15" s="324"/>
      <c r="D15" s="324"/>
      <c r="E15" s="324"/>
      <c r="F15" s="324"/>
      <c r="G15" s="324"/>
      <c r="H15" s="324"/>
      <c r="I15" s="324"/>
      <c r="J15" s="324"/>
      <c r="K15" s="324"/>
      <c r="L15" s="324"/>
      <c r="M15" s="324"/>
      <c r="N15" s="324"/>
    </row>
    <row r="16" spans="2:14">
      <c r="B16" s="324"/>
      <c r="C16" s="324"/>
      <c r="D16" s="324"/>
      <c r="E16" s="324"/>
      <c r="F16" s="324"/>
      <c r="G16" s="324"/>
      <c r="H16" s="324"/>
      <c r="I16" s="324"/>
      <c r="J16" s="324"/>
      <c r="K16" s="324"/>
      <c r="L16" s="324"/>
      <c r="M16" s="324"/>
      <c r="N16" s="324"/>
    </row>
    <row r="17" spans="2:14">
      <c r="B17" s="324"/>
      <c r="C17" s="324"/>
      <c r="D17" s="324"/>
      <c r="E17" s="324"/>
      <c r="F17" s="324"/>
      <c r="G17" s="324"/>
      <c r="H17" s="324"/>
      <c r="I17" s="324"/>
      <c r="J17" s="324"/>
      <c r="K17" s="324"/>
      <c r="L17" s="324"/>
      <c r="M17" s="324"/>
      <c r="N17" s="324"/>
    </row>
    <row r="18" spans="2:14">
      <c r="B18" s="324"/>
      <c r="C18" s="324"/>
      <c r="D18" s="324"/>
      <c r="E18" s="247"/>
      <c r="F18" s="324"/>
      <c r="G18" s="324"/>
      <c r="H18" s="324"/>
      <c r="I18" s="324"/>
      <c r="J18" s="324"/>
      <c r="K18" s="324"/>
      <c r="L18" s="324"/>
      <c r="M18" s="324"/>
      <c r="N18" s="324"/>
    </row>
    <row r="19" spans="2:14">
      <c r="B19" s="324"/>
      <c r="C19" s="324"/>
      <c r="D19" s="324"/>
      <c r="E19" s="247"/>
      <c r="F19" s="324"/>
      <c r="G19" s="324"/>
      <c r="H19" s="324"/>
      <c r="I19" s="324"/>
      <c r="J19" s="324"/>
      <c r="K19" s="324"/>
      <c r="L19" s="324"/>
      <c r="M19" s="324"/>
      <c r="N19" s="324"/>
    </row>
    <row r="20" spans="2:14">
      <c r="B20" s="324"/>
      <c r="C20" s="324"/>
      <c r="D20" s="324"/>
      <c r="E20" s="247"/>
      <c r="F20" s="324"/>
      <c r="G20" s="324"/>
      <c r="H20" s="324"/>
      <c r="I20" s="324"/>
      <c r="J20" s="324"/>
      <c r="K20" s="324"/>
      <c r="L20" s="324"/>
      <c r="M20" s="324"/>
      <c r="N20" s="324"/>
    </row>
    <row r="21" spans="2:14">
      <c r="B21" s="324"/>
      <c r="C21" s="324"/>
      <c r="D21" s="324"/>
      <c r="E21" s="247"/>
      <c r="F21" s="324"/>
      <c r="G21" s="324"/>
      <c r="H21" s="324"/>
      <c r="I21" s="324"/>
      <c r="J21" s="324"/>
      <c r="K21" s="324"/>
      <c r="L21" s="324"/>
      <c r="M21" s="324"/>
      <c r="N21" s="324"/>
    </row>
    <row r="22" spans="2:14">
      <c r="B22" s="324"/>
      <c r="C22" s="324"/>
      <c r="D22" s="324"/>
      <c r="E22" s="247"/>
      <c r="F22" s="324"/>
      <c r="G22" s="324"/>
      <c r="H22" s="324"/>
      <c r="I22" s="324"/>
      <c r="J22" s="324"/>
      <c r="K22" s="324"/>
      <c r="L22" s="324"/>
      <c r="M22" s="324"/>
      <c r="N22" s="324"/>
    </row>
    <row r="23" spans="2:14">
      <c r="B23" s="324"/>
      <c r="C23" s="324"/>
      <c r="D23" s="324"/>
      <c r="E23" s="5"/>
      <c r="F23" s="324"/>
      <c r="G23" s="324"/>
      <c r="H23" s="324"/>
      <c r="I23" s="324"/>
      <c r="J23" s="324"/>
      <c r="K23" s="324"/>
      <c r="L23" s="324"/>
      <c r="M23" s="324"/>
      <c r="N23" s="324"/>
    </row>
  </sheetData>
  <mergeCells count="2">
    <mergeCell ref="B6:C6"/>
    <mergeCell ref="E6:H6"/>
  </mergeCells>
  <conditionalFormatting sqref="B7:C11">
    <cfRule type="expression" dxfId="8" priority="8">
      <formula>MOD(ROW(),2)=0</formula>
    </cfRule>
  </conditionalFormatting>
  <conditionalFormatting sqref="E14:H14 E12:F13">
    <cfRule type="expression" dxfId="7" priority="7">
      <formula>MOD(ROW(),2)=0</formula>
    </cfRule>
  </conditionalFormatting>
  <conditionalFormatting sqref="E11:F11">
    <cfRule type="expression" dxfId="6" priority="4">
      <formula>MOD(ROW(),2)=0</formula>
    </cfRule>
  </conditionalFormatting>
  <conditionalFormatting sqref="E10:F10">
    <cfRule type="expression" dxfId="5" priority="3">
      <formula>MOD(ROW(),2)=0</formula>
    </cfRule>
  </conditionalFormatting>
  <conditionalFormatting sqref="E8:F8">
    <cfRule type="expression" dxfId="4" priority="2">
      <formula>MOD(ROW(),2)=0</formula>
    </cfRule>
  </conditionalFormatting>
  <conditionalFormatting sqref="E9:F9">
    <cfRule type="expression" dxfId="3" priority="1">
      <formula>MOD(ROW(),2)=0</formula>
    </cfRule>
  </conditionalFormatting>
  <pageMargins left="0.7" right="0.7" top="0.75" bottom="0.75" header="0.3" footer="0.3"/>
  <pageSetup fitToHeight="0"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T19"/>
  <sheetViews>
    <sheetView showGridLines="0" workbookViewId="0">
      <selection activeCell="I41" sqref="I41"/>
    </sheetView>
  </sheetViews>
  <sheetFormatPr defaultRowHeight="15"/>
  <cols>
    <col min="1" max="1" width="1.7109375" style="1" customWidth="1"/>
    <col min="2" max="2" width="28.140625" style="1" bestFit="1" customWidth="1"/>
    <col min="3" max="3" width="9.5703125" style="1" bestFit="1" customWidth="1"/>
    <col min="4" max="4" width="10.7109375" style="1" bestFit="1" customWidth="1"/>
    <col min="5" max="6" width="9.85546875" style="1" bestFit="1" customWidth="1"/>
    <col min="7" max="7" width="11.85546875" style="1" bestFit="1" customWidth="1"/>
    <col min="8" max="10" width="9.140625" style="1"/>
    <col min="11" max="11" width="42.85546875" style="1" bestFit="1" customWidth="1"/>
    <col min="12" max="12" width="9.5703125" style="1" bestFit="1" customWidth="1"/>
    <col min="13" max="15" width="9.28515625" style="1" bestFit="1" customWidth="1"/>
    <col min="16" max="16" width="9.5703125" style="1" bestFit="1" customWidth="1"/>
    <col min="17" max="17" width="9.28515625" style="1" bestFit="1" customWidth="1"/>
    <col min="18" max="18" width="9.5703125" style="1" bestFit="1" customWidth="1"/>
    <col min="19" max="16384" width="9.140625" style="1"/>
  </cols>
  <sheetData>
    <row r="1" spans="2:20" ht="23.25">
      <c r="B1" s="268" t="str">
        <f>Valuation!B1</f>
        <v>RHT</v>
      </c>
      <c r="C1" s="450"/>
      <c r="D1" s="450"/>
      <c r="E1" s="450"/>
      <c r="F1" s="450"/>
      <c r="G1" s="450"/>
      <c r="H1" s="450"/>
      <c r="I1" s="450"/>
      <c r="J1" s="450"/>
      <c r="K1" s="450"/>
      <c r="L1" s="450"/>
      <c r="M1" s="324"/>
      <c r="N1" s="324"/>
      <c r="O1" s="324"/>
      <c r="P1" s="324"/>
      <c r="Q1" s="324"/>
      <c r="R1" s="324"/>
      <c r="S1" s="324"/>
      <c r="T1" s="324"/>
    </row>
    <row r="2" spans="2:20">
      <c r="B2" s="269" t="str">
        <f>Valuation!B2</f>
        <v>Red Hat .Inc</v>
      </c>
      <c r="C2" s="324"/>
      <c r="D2" s="450"/>
      <c r="E2" s="324"/>
      <c r="F2" s="324"/>
      <c r="G2" s="324"/>
      <c r="H2" s="324"/>
      <c r="I2" s="324"/>
      <c r="J2" s="324"/>
      <c r="K2" s="324"/>
      <c r="L2" s="324"/>
      <c r="M2" s="324"/>
      <c r="N2" s="324"/>
      <c r="O2" s="324"/>
      <c r="P2" s="324"/>
      <c r="Q2" s="324"/>
      <c r="R2" s="324"/>
      <c r="S2" s="324"/>
      <c r="T2" s="324"/>
    </row>
    <row r="3" spans="2:20" ht="3" customHeight="1">
      <c r="B3" s="242"/>
      <c r="C3" s="242"/>
      <c r="D3" s="242"/>
      <c r="E3" s="242"/>
      <c r="F3" s="242"/>
      <c r="G3" s="242"/>
      <c r="H3" s="324"/>
      <c r="I3" s="324"/>
      <c r="J3" s="324"/>
      <c r="K3" s="324"/>
      <c r="L3" s="324"/>
      <c r="M3" s="324"/>
      <c r="N3" s="324"/>
      <c r="O3" s="324"/>
      <c r="P3" s="324"/>
      <c r="Q3" s="324"/>
      <c r="R3" s="324"/>
      <c r="S3" s="324"/>
      <c r="T3" s="324"/>
    </row>
    <row r="4" spans="2:20">
      <c r="B4" s="449" t="s">
        <v>16</v>
      </c>
      <c r="C4" s="450"/>
      <c r="D4" s="450"/>
      <c r="E4" s="324"/>
      <c r="F4" s="324"/>
      <c r="G4" s="324"/>
      <c r="H4" s="324"/>
      <c r="I4" s="324"/>
      <c r="J4" s="324"/>
      <c r="K4" s="324"/>
      <c r="L4" s="324"/>
      <c r="M4" s="324"/>
      <c r="N4" s="324"/>
      <c r="O4" s="324"/>
      <c r="P4" s="324"/>
      <c r="Q4" s="324"/>
      <c r="R4" s="324"/>
      <c r="S4" s="324"/>
      <c r="T4" s="324"/>
    </row>
    <row r="5" spans="2:20">
      <c r="B5" s="324"/>
      <c r="C5" s="324"/>
      <c r="D5" s="324"/>
      <c r="E5" s="324"/>
      <c r="F5" s="324"/>
      <c r="G5" s="324"/>
      <c r="H5" s="324"/>
      <c r="I5" s="324"/>
      <c r="J5" s="324"/>
      <c r="K5" s="324"/>
      <c r="L5" s="324"/>
      <c r="M5" s="324"/>
      <c r="N5" s="324"/>
      <c r="O5" s="324"/>
      <c r="P5" s="324"/>
      <c r="Q5" s="324"/>
      <c r="R5" s="324"/>
      <c r="S5" s="74"/>
      <c r="T5" s="74"/>
    </row>
    <row r="6" spans="2:20" ht="30">
      <c r="B6" s="264"/>
      <c r="C6" s="171" t="s">
        <v>83</v>
      </c>
      <c r="D6" s="171" t="s">
        <v>84</v>
      </c>
      <c r="E6" s="171" t="s">
        <v>85</v>
      </c>
      <c r="F6" s="171" t="s">
        <v>86</v>
      </c>
      <c r="G6" s="171" t="s">
        <v>87</v>
      </c>
      <c r="H6" s="324"/>
      <c r="I6" s="324"/>
      <c r="J6" s="324"/>
      <c r="K6" s="324"/>
      <c r="L6" s="74"/>
      <c r="M6" s="75"/>
      <c r="N6" s="74"/>
      <c r="O6" s="74"/>
      <c r="P6" s="74"/>
      <c r="Q6" s="74"/>
      <c r="R6" s="74"/>
      <c r="S6" s="294"/>
      <c r="T6" s="324"/>
    </row>
    <row r="7" spans="2:20">
      <c r="B7" s="119" t="s">
        <v>88</v>
      </c>
      <c r="C7" s="262">
        <f>SUM(D7:G7)</f>
        <v>181226</v>
      </c>
      <c r="D7" s="375">
        <v>31381</v>
      </c>
      <c r="E7" s="375">
        <v>42278</v>
      </c>
      <c r="F7" s="375">
        <v>34531</v>
      </c>
      <c r="G7" s="375">
        <v>73036</v>
      </c>
      <c r="H7" s="324"/>
      <c r="I7" s="324"/>
      <c r="J7" s="324"/>
      <c r="K7" s="324"/>
      <c r="L7" s="294"/>
      <c r="M7" s="294"/>
      <c r="N7" s="294"/>
      <c r="O7" s="294"/>
      <c r="P7" s="294"/>
      <c r="Q7" s="294"/>
      <c r="R7" s="294"/>
      <c r="S7" s="294"/>
      <c r="T7" s="324"/>
    </row>
    <row r="8" spans="2:20">
      <c r="B8" s="119" t="s">
        <v>144</v>
      </c>
      <c r="C8" s="262">
        <f>SUM(D8:G8)</f>
        <v>8050</v>
      </c>
      <c r="D8" s="375">
        <v>2013</v>
      </c>
      <c r="E8" s="375">
        <v>4025</v>
      </c>
      <c r="F8" s="375">
        <v>2012</v>
      </c>
      <c r="G8" s="261"/>
      <c r="H8" s="324"/>
      <c r="I8" s="324"/>
      <c r="J8" s="324"/>
      <c r="K8" s="324"/>
      <c r="L8" s="72"/>
      <c r="M8" s="324"/>
      <c r="N8" s="324"/>
      <c r="O8" s="324"/>
      <c r="P8" s="324"/>
      <c r="Q8" s="324"/>
      <c r="R8" s="324"/>
      <c r="S8" s="324"/>
      <c r="T8" s="324"/>
    </row>
    <row r="9" spans="2:20">
      <c r="B9" s="119" t="s">
        <v>145</v>
      </c>
      <c r="C9" s="262">
        <f>SUM(D9:G9)</f>
        <v>805000</v>
      </c>
      <c r="D9" s="261"/>
      <c r="E9" s="261"/>
      <c r="F9" s="375">
        <v>805000</v>
      </c>
      <c r="G9" s="261"/>
      <c r="H9" s="324"/>
      <c r="I9" s="324"/>
      <c r="J9" s="324"/>
      <c r="K9" s="324"/>
      <c r="L9" s="324"/>
      <c r="M9" s="324"/>
      <c r="N9" s="324"/>
      <c r="O9" s="324"/>
      <c r="P9" s="324"/>
      <c r="Q9" s="324"/>
      <c r="R9" s="324"/>
      <c r="S9" s="324"/>
      <c r="T9" s="324"/>
    </row>
    <row r="10" spans="2:20">
      <c r="B10" s="119" t="s">
        <v>146</v>
      </c>
      <c r="C10" s="262">
        <f>SUM(D10:G10)</f>
        <v>3000</v>
      </c>
      <c r="D10" s="375">
        <v>3000</v>
      </c>
      <c r="E10" s="261"/>
      <c r="F10" s="261"/>
      <c r="G10" s="261"/>
      <c r="H10" s="324"/>
      <c r="I10" s="324"/>
      <c r="J10" s="324"/>
      <c r="K10" s="324"/>
      <c r="L10" s="324"/>
      <c r="M10" s="324"/>
      <c r="N10" s="324"/>
      <c r="O10" s="324"/>
      <c r="P10" s="324"/>
      <c r="Q10" s="324"/>
      <c r="R10" s="324"/>
      <c r="S10" s="324"/>
      <c r="T10" s="324"/>
    </row>
    <row r="11" spans="2:20">
      <c r="B11" s="119" t="s">
        <v>89</v>
      </c>
      <c r="C11" s="262">
        <f>SUM(C7:C10)</f>
        <v>997276</v>
      </c>
      <c r="D11" s="262">
        <f>SUM(D7:D10)</f>
        <v>36394</v>
      </c>
      <c r="E11" s="262">
        <f>SUM(E7:E10)</f>
        <v>46303</v>
      </c>
      <c r="F11" s="262">
        <f>SUM(F7:F10)</f>
        <v>841543</v>
      </c>
      <c r="G11" s="262">
        <f>SUM(G7:G10)</f>
        <v>73036</v>
      </c>
      <c r="H11" s="324"/>
      <c r="I11" s="324"/>
      <c r="J11" s="324"/>
      <c r="K11" s="324"/>
      <c r="L11" s="73"/>
      <c r="M11" s="73"/>
      <c r="N11" s="73"/>
      <c r="O11" s="73"/>
      <c r="P11" s="73"/>
      <c r="Q11" s="73"/>
      <c r="R11" s="73"/>
      <c r="S11" s="324"/>
      <c r="T11" s="324"/>
    </row>
    <row r="12" spans="2:20">
      <c r="B12" s="259"/>
      <c r="C12" s="261"/>
      <c r="D12" s="261"/>
      <c r="E12" s="261"/>
      <c r="F12" s="261"/>
      <c r="G12" s="261"/>
      <c r="H12" s="324"/>
      <c r="I12" s="324"/>
      <c r="J12" s="324"/>
      <c r="K12" s="324"/>
      <c r="L12" s="324"/>
      <c r="M12" s="324"/>
      <c r="N12" s="324"/>
      <c r="O12" s="324"/>
      <c r="P12" s="324"/>
      <c r="Q12" s="324"/>
      <c r="R12" s="324"/>
      <c r="S12" s="324"/>
      <c r="T12" s="324"/>
    </row>
    <row r="13" spans="2:20">
      <c r="B13" s="305" t="str">
        <f>B7</f>
        <v>Operating leases</v>
      </c>
      <c r="C13" s="261"/>
      <c r="D13" s="263">
        <f>D7</f>
        <v>31381</v>
      </c>
      <c r="E13" s="263">
        <f>E7</f>
        <v>42278</v>
      </c>
      <c r="F13" s="263">
        <f>F7</f>
        <v>34531</v>
      </c>
      <c r="G13" s="263">
        <f>G7</f>
        <v>73036</v>
      </c>
      <c r="H13" s="324"/>
      <c r="I13" s="324"/>
      <c r="J13" s="324"/>
      <c r="K13" s="324"/>
      <c r="L13" s="324"/>
      <c r="M13" s="324"/>
      <c r="N13" s="324"/>
      <c r="O13" s="324"/>
      <c r="P13" s="324"/>
      <c r="Q13" s="324"/>
      <c r="R13" s="324"/>
      <c r="S13" s="324"/>
      <c r="T13" s="324"/>
    </row>
    <row r="14" spans="2:20">
      <c r="B14" s="259"/>
      <c r="C14" s="259"/>
      <c r="D14" s="259"/>
      <c r="E14" s="259"/>
      <c r="F14" s="259"/>
      <c r="G14" s="259"/>
      <c r="H14" s="324"/>
      <c r="I14" s="324"/>
      <c r="J14" s="324"/>
      <c r="K14" s="324"/>
      <c r="L14" s="324"/>
      <c r="M14" s="324"/>
      <c r="N14" s="324"/>
      <c r="O14" s="324"/>
      <c r="P14" s="324"/>
      <c r="Q14" s="324"/>
      <c r="R14" s="324"/>
      <c r="S14" s="324"/>
      <c r="T14" s="324"/>
    </row>
    <row r="15" spans="2:20">
      <c r="B15" s="119" t="s">
        <v>18</v>
      </c>
      <c r="C15" s="261"/>
      <c r="D15" s="376">
        <v>0</v>
      </c>
      <c r="E15" s="376">
        <v>2</v>
      </c>
      <c r="F15" s="376">
        <v>4</v>
      </c>
      <c r="G15" s="376">
        <v>6</v>
      </c>
      <c r="H15" s="324"/>
      <c r="I15" s="324"/>
      <c r="J15" s="324"/>
      <c r="K15" s="324"/>
      <c r="L15" s="324"/>
      <c r="M15" s="324"/>
      <c r="N15" s="324"/>
      <c r="O15" s="324"/>
      <c r="P15" s="324"/>
      <c r="Q15" s="324"/>
      <c r="R15" s="324"/>
      <c r="S15" s="324"/>
      <c r="T15" s="324"/>
    </row>
    <row r="16" spans="2:20">
      <c r="B16" s="172" t="s">
        <v>90</v>
      </c>
      <c r="C16" s="347">
        <f>DCF!J54</f>
        <v>4.3749999999999997E-2</v>
      </c>
      <c r="D16" s="253">
        <f>D13/((1+$C$16)^D15)</f>
        <v>31381</v>
      </c>
      <c r="E16" s="253">
        <f>E13/((1+$C$16)^E15)</f>
        <v>38808.017497938257</v>
      </c>
      <c r="F16" s="253">
        <f>F13/((1+$C$16)^F15)</f>
        <v>29095.324250061611</v>
      </c>
      <c r="G16" s="253">
        <f>G13/((1+$C$16)^G15)</f>
        <v>56488.240693783504</v>
      </c>
      <c r="H16" s="324"/>
      <c r="I16" s="324"/>
      <c r="J16" s="324"/>
      <c r="K16" s="324"/>
      <c r="L16" s="324"/>
      <c r="M16" s="254"/>
      <c r="N16" s="254"/>
      <c r="O16" s="254"/>
      <c r="P16" s="254"/>
      <c r="Q16" s="254"/>
      <c r="R16" s="254"/>
      <c r="S16" s="324"/>
      <c r="T16" s="324"/>
    </row>
    <row r="17" spans="2:20">
      <c r="B17" s="173" t="s">
        <v>91</v>
      </c>
      <c r="C17" s="266">
        <f>SUM(D16:G16)</f>
        <v>155772.58244178336</v>
      </c>
      <c r="D17" s="254"/>
      <c r="E17" s="254"/>
      <c r="F17" s="254"/>
      <c r="G17" s="254"/>
      <c r="H17" s="324"/>
      <c r="I17" s="324"/>
      <c r="J17" s="324"/>
      <c r="K17" s="324"/>
      <c r="L17" s="324"/>
      <c r="M17" s="73"/>
      <c r="N17" s="324"/>
      <c r="O17" s="324"/>
      <c r="P17" s="324"/>
      <c r="Q17" s="324"/>
      <c r="R17" s="324"/>
      <c r="S17" s="324"/>
      <c r="T17" s="324"/>
    </row>
    <row r="18" spans="2:20">
      <c r="B18" s="232"/>
      <c r="C18" s="254"/>
      <c r="D18" s="254"/>
      <c r="E18" s="254"/>
      <c r="F18" s="254"/>
      <c r="G18" s="254"/>
      <c r="H18" s="324"/>
      <c r="I18" s="324"/>
      <c r="J18" s="324"/>
      <c r="K18" s="324"/>
      <c r="L18" s="324"/>
      <c r="M18" s="324"/>
      <c r="N18" s="324"/>
      <c r="O18" s="324"/>
      <c r="P18" s="324"/>
      <c r="Q18" s="324"/>
      <c r="R18" s="324"/>
      <c r="S18" s="324"/>
      <c r="T18" s="324"/>
    </row>
    <row r="19" spans="2:20">
      <c r="B19" s="232"/>
      <c r="C19" s="232"/>
      <c r="D19" s="232"/>
      <c r="E19" s="232"/>
      <c r="F19" s="232"/>
      <c r="G19" s="232"/>
      <c r="H19" s="324"/>
      <c r="I19" s="324"/>
      <c r="J19" s="324"/>
      <c r="K19" s="324"/>
      <c r="L19" s="324"/>
      <c r="M19" s="324"/>
      <c r="N19" s="324"/>
      <c r="O19" s="324"/>
      <c r="P19" s="324"/>
      <c r="Q19" s="324"/>
      <c r="R19" s="324"/>
      <c r="S19" s="324"/>
      <c r="T19" s="324"/>
    </row>
  </sheetData>
  <conditionalFormatting sqref="B7:G15">
    <cfRule type="expression" dxfId="2" priority="1">
      <formula>MOD(ROW(),2)=0</formula>
    </cfRule>
  </conditionalFormatting>
  <pageMargins left="0.7" right="0.7" top="0.75" bottom="0.75" header="0.3" footer="0.3"/>
  <pageSetup fitToHeight="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R135"/>
  <sheetViews>
    <sheetView showGridLines="0" zoomScaleNormal="100" workbookViewId="0">
      <pane ySplit="7" topLeftCell="A41" activePane="bottomLeft" state="frozen"/>
      <selection pane="bottomLeft" activeCell="I54" sqref="I54"/>
    </sheetView>
  </sheetViews>
  <sheetFormatPr defaultRowHeight="15"/>
  <cols>
    <col min="1" max="1" width="1.7109375" style="1" customWidth="1"/>
    <col min="2" max="2" width="53.85546875" style="1" bestFit="1" customWidth="1"/>
    <col min="3" max="8" width="12.42578125" style="1" bestFit="1" customWidth="1"/>
    <col min="9" max="9" width="9.42578125" style="1" bestFit="1" customWidth="1"/>
    <col min="10" max="10" width="8.42578125" style="1" bestFit="1" customWidth="1"/>
    <col min="11" max="11" width="53.42578125" style="1" bestFit="1" customWidth="1"/>
    <col min="12" max="12" width="10.5703125" style="1" bestFit="1" customWidth="1"/>
    <col min="13" max="13" width="13.7109375" style="1" bestFit="1" customWidth="1"/>
    <col min="14" max="14" width="13.7109375" style="1" customWidth="1"/>
    <col min="15" max="15" width="13.7109375" style="1" bestFit="1" customWidth="1"/>
    <col min="16" max="16" width="13" style="1" bestFit="1" customWidth="1"/>
    <col min="17" max="16384" width="9.140625" style="1"/>
  </cols>
  <sheetData>
    <row r="1" spans="1:18" ht="23.25">
      <c r="A1" s="324"/>
      <c r="B1" s="268" t="str">
        <f>Valuation!B1</f>
        <v>RHT</v>
      </c>
      <c r="C1" s="510"/>
      <c r="D1" s="510"/>
      <c r="E1" s="510"/>
      <c r="F1" s="510"/>
      <c r="G1" s="510"/>
      <c r="H1" s="510"/>
      <c r="I1" s="450"/>
      <c r="J1" s="450"/>
      <c r="K1" s="450"/>
      <c r="L1" s="324"/>
      <c r="M1" s="324"/>
      <c r="N1" s="324"/>
      <c r="O1" s="324"/>
      <c r="P1" s="324"/>
      <c r="Q1" s="324"/>
      <c r="R1" s="324"/>
    </row>
    <row r="2" spans="1:18">
      <c r="A2" s="324"/>
      <c r="B2" s="269" t="str">
        <f>Valuation!B2</f>
        <v>Red Hat .Inc</v>
      </c>
      <c r="C2" s="511"/>
      <c r="D2" s="511"/>
      <c r="E2" s="511"/>
      <c r="F2" s="511"/>
      <c r="G2" s="511"/>
      <c r="H2" s="511"/>
      <c r="I2" s="324"/>
      <c r="J2" s="324"/>
      <c r="K2" s="324"/>
      <c r="L2" s="324"/>
      <c r="M2" s="324"/>
      <c r="N2" s="324"/>
      <c r="O2" s="324"/>
      <c r="P2" s="324"/>
      <c r="Q2" s="324"/>
      <c r="R2" s="324"/>
    </row>
    <row r="3" spans="1:18" ht="3" customHeight="1">
      <c r="A3" s="324"/>
      <c r="B3" s="242"/>
      <c r="C3" s="242"/>
      <c r="D3" s="242"/>
      <c r="E3" s="242"/>
      <c r="F3" s="242"/>
      <c r="G3" s="242"/>
      <c r="H3" s="242"/>
      <c r="I3" s="242"/>
      <c r="J3" s="242"/>
      <c r="K3" s="242"/>
      <c r="L3" s="324"/>
      <c r="M3" s="324"/>
      <c r="N3" s="324"/>
      <c r="O3" s="324"/>
      <c r="P3" s="324"/>
      <c r="Q3" s="324"/>
      <c r="R3" s="324"/>
    </row>
    <row r="4" spans="1:18">
      <c r="A4" s="324"/>
      <c r="B4" s="512" t="s">
        <v>93</v>
      </c>
      <c r="C4" s="513"/>
      <c r="D4" s="450"/>
      <c r="E4" s="324"/>
      <c r="F4" s="324"/>
      <c r="G4" s="324"/>
      <c r="H4" s="324"/>
      <c r="I4" s="324"/>
      <c r="J4" s="324"/>
      <c r="K4" s="324"/>
      <c r="L4" s="324"/>
      <c r="M4" s="324"/>
      <c r="N4" s="324"/>
      <c r="O4" s="324"/>
      <c r="P4" s="324"/>
      <c r="Q4" s="324"/>
      <c r="R4" s="324"/>
    </row>
    <row r="5" spans="1:18">
      <c r="A5" s="324"/>
      <c r="B5" s="450"/>
      <c r="C5" s="450"/>
      <c r="D5" s="450"/>
      <c r="E5" s="324"/>
      <c r="F5" s="324"/>
      <c r="G5" s="324"/>
      <c r="H5" s="324"/>
      <c r="I5" s="324"/>
      <c r="J5" s="324"/>
      <c r="K5" s="324"/>
      <c r="L5" s="324"/>
      <c r="M5" s="324"/>
      <c r="N5" s="324"/>
      <c r="O5" s="324"/>
      <c r="P5" s="324"/>
      <c r="Q5" s="324"/>
      <c r="R5" s="324"/>
    </row>
    <row r="6" spans="1:18">
      <c r="A6" s="324"/>
      <c r="B6" s="172" t="s">
        <v>181</v>
      </c>
      <c r="C6" s="324"/>
      <c r="D6" s="262">
        <f>D7-$C$7</f>
        <v>1</v>
      </c>
      <c r="E6" s="262">
        <f>E7-$C$7</f>
        <v>2</v>
      </c>
      <c r="F6" s="262">
        <f>F7-$C$7</f>
        <v>3</v>
      </c>
      <c r="G6" s="262">
        <f>G7-$C$7</f>
        <v>4</v>
      </c>
      <c r="H6" s="300">
        <f>G6+1</f>
        <v>5</v>
      </c>
      <c r="I6" s="324"/>
      <c r="J6" s="324"/>
      <c r="K6" s="324"/>
      <c r="L6" s="324"/>
      <c r="M6" s="324"/>
      <c r="N6" s="324"/>
      <c r="O6" s="324"/>
      <c r="P6" s="324"/>
      <c r="Q6" s="324"/>
      <c r="R6" s="324"/>
    </row>
    <row r="7" spans="1:18">
      <c r="A7" s="324"/>
      <c r="B7" s="174" t="s">
        <v>17</v>
      </c>
      <c r="C7" s="275">
        <f>CF!C6</f>
        <v>2012</v>
      </c>
      <c r="D7" s="276">
        <f>C7+1</f>
        <v>2013</v>
      </c>
      <c r="E7" s="276">
        <f>D7+1</f>
        <v>2014</v>
      </c>
      <c r="F7" s="276">
        <f>E7+1</f>
        <v>2015</v>
      </c>
      <c r="G7" s="276">
        <f>F7+1</f>
        <v>2016</v>
      </c>
      <c r="H7" s="175" t="s">
        <v>65</v>
      </c>
      <c r="I7" s="174" t="s">
        <v>57</v>
      </c>
      <c r="J7" s="232"/>
      <c r="K7" s="324"/>
      <c r="L7" s="232"/>
      <c r="M7" s="324"/>
      <c r="N7" s="324"/>
      <c r="O7" s="324"/>
      <c r="P7" s="324"/>
      <c r="Q7" s="324"/>
      <c r="R7" s="324"/>
    </row>
    <row r="8" spans="1:18" s="57" customFormat="1">
      <c r="A8" s="248"/>
      <c r="B8" s="259"/>
      <c r="C8" s="301"/>
      <c r="D8" s="301"/>
      <c r="E8" s="301"/>
      <c r="F8" s="301"/>
      <c r="G8" s="301"/>
      <c r="H8" s="65"/>
      <c r="I8" s="259"/>
      <c r="J8" s="259"/>
      <c r="K8" s="248"/>
      <c r="L8" s="259"/>
      <c r="M8" s="248"/>
      <c r="N8" s="248"/>
      <c r="O8" s="248"/>
      <c r="P8" s="248"/>
      <c r="Q8" s="248"/>
      <c r="R8" s="248"/>
    </row>
    <row r="9" spans="1:18">
      <c r="A9" s="324"/>
      <c r="B9" s="362" t="str">
        <f>IS!B7</f>
        <v>Revenue</v>
      </c>
      <c r="C9" s="362">
        <f>IS!C7</f>
        <v>1133103</v>
      </c>
      <c r="D9" s="362">
        <f>IS!D7</f>
        <v>1328817</v>
      </c>
      <c r="E9" s="362">
        <f>IS!E7</f>
        <v>1534615</v>
      </c>
      <c r="F9" s="362">
        <f>IS!F7</f>
        <v>1789489</v>
      </c>
      <c r="G9" s="362">
        <f>IS!G7</f>
        <v>2052230</v>
      </c>
      <c r="H9" s="197"/>
      <c r="I9" s="361"/>
      <c r="J9" s="232"/>
      <c r="K9" s="324"/>
      <c r="L9" s="324"/>
      <c r="M9" s="324"/>
      <c r="N9" s="324"/>
      <c r="O9" s="324"/>
      <c r="P9" s="324"/>
      <c r="Q9" s="324"/>
      <c r="R9" s="324"/>
    </row>
    <row r="10" spans="1:18">
      <c r="A10" s="324"/>
      <c r="B10" s="208" t="s">
        <v>19</v>
      </c>
      <c r="C10" s="290"/>
      <c r="D10" s="341">
        <f>D9/C9-1</f>
        <v>0.1727239271275427</v>
      </c>
      <c r="E10" s="341">
        <f>E9/D9-1</f>
        <v>0.15487309388726955</v>
      </c>
      <c r="F10" s="341">
        <f>F9/E9-1</f>
        <v>0.16608334989557649</v>
      </c>
      <c r="G10" s="341">
        <f>G9/F9-1</f>
        <v>0.14682459629536693</v>
      </c>
      <c r="H10" s="342">
        <f>AVERAGE(C10:G10)</f>
        <v>0.16012624180143892</v>
      </c>
      <c r="I10" s="341">
        <f>MEDIAN(C10:G10)</f>
        <v>0.16047822189142302</v>
      </c>
      <c r="J10" s="324"/>
      <c r="K10" s="324"/>
      <c r="L10" s="324"/>
      <c r="M10" s="324"/>
      <c r="N10" s="324"/>
      <c r="O10" s="324"/>
      <c r="P10" s="324"/>
      <c r="Q10" s="324"/>
      <c r="R10" s="324"/>
    </row>
    <row r="11" spans="1:18">
      <c r="A11" s="324"/>
      <c r="B11" s="209" t="s">
        <v>20</v>
      </c>
      <c r="C11" s="291"/>
      <c r="D11" s="328">
        <f>(D9/$C9)^(1/D$6)-1</f>
        <v>0.1727239271275427</v>
      </c>
      <c r="E11" s="328">
        <f>(E9/$C9)^(1/E$6)-1</f>
        <v>0.16376428455139247</v>
      </c>
      <c r="F11" s="328">
        <f>(F9/$C9)^(1/F$6)-1</f>
        <v>0.16453679342650895</v>
      </c>
      <c r="G11" s="328">
        <f>(G9/$C9)^(1/G$6)-1</f>
        <v>0.16008326179066179</v>
      </c>
      <c r="H11" s="195">
        <f>AVERAGE(C11:G11)</f>
        <v>0.16527706672402648</v>
      </c>
      <c r="I11" s="328">
        <f>MEDIAN(C11:G11)</f>
        <v>0.16415053898895071</v>
      </c>
      <c r="J11" s="324"/>
      <c r="K11" s="324"/>
      <c r="L11" s="324"/>
      <c r="M11" s="324"/>
      <c r="N11" s="324"/>
      <c r="O11" s="324"/>
      <c r="P11" s="324"/>
      <c r="Q11" s="324"/>
      <c r="R11" s="324"/>
    </row>
    <row r="12" spans="1:18" s="57" customFormat="1">
      <c r="A12" s="248"/>
      <c r="B12" s="302"/>
      <c r="C12" s="291"/>
      <c r="D12" s="291"/>
      <c r="E12" s="291"/>
      <c r="F12" s="291"/>
      <c r="G12" s="291"/>
      <c r="H12" s="192"/>
      <c r="I12" s="291"/>
      <c r="J12" s="248"/>
      <c r="K12" s="248"/>
      <c r="L12" s="248"/>
      <c r="M12" s="248"/>
      <c r="N12" s="248"/>
      <c r="O12" s="248"/>
      <c r="P12" s="248"/>
      <c r="Q12" s="248"/>
      <c r="R12" s="248"/>
    </row>
    <row r="13" spans="1:18" s="190" customFormat="1">
      <c r="A13" s="324"/>
      <c r="B13" s="363" t="str">
        <f>IS!B8</f>
        <v>Cost of revenue</v>
      </c>
      <c r="C13" s="363">
        <f>IS!C8</f>
        <v>178548</v>
      </c>
      <c r="D13" s="363">
        <f>IS!D8</f>
        <v>200600</v>
      </c>
      <c r="E13" s="363">
        <f>IS!E8</f>
        <v>232600</v>
      </c>
      <c r="F13" s="363">
        <f>IS!F8</f>
        <v>273199</v>
      </c>
      <c r="G13" s="363">
        <f>IS!G8</f>
        <v>309629</v>
      </c>
      <c r="H13" s="197"/>
      <c r="I13" s="355"/>
      <c r="J13" s="324"/>
      <c r="K13" s="324"/>
      <c r="L13" s="324"/>
      <c r="M13" s="324"/>
      <c r="N13" s="324"/>
      <c r="O13" s="324"/>
      <c r="P13" s="324"/>
      <c r="Q13" s="324"/>
      <c r="R13" s="324"/>
    </row>
    <row r="14" spans="1:18" s="190" customFormat="1">
      <c r="A14" s="324"/>
      <c r="B14" s="208" t="s">
        <v>92</v>
      </c>
      <c r="C14" s="341">
        <f>C13/C$9</f>
        <v>0.1575743776161567</v>
      </c>
      <c r="D14" s="341">
        <f>D13/D$9</f>
        <v>0.1509613438118266</v>
      </c>
      <c r="E14" s="341">
        <f>E13/E$9</f>
        <v>0.15156896029297251</v>
      </c>
      <c r="F14" s="341">
        <f>F13/F$9</f>
        <v>0.15266872274710824</v>
      </c>
      <c r="G14" s="341">
        <f>G13/G$9</f>
        <v>0.15087441466112472</v>
      </c>
      <c r="H14" s="342">
        <f>AVERAGE(C14:G14)</f>
        <v>0.15272956382583774</v>
      </c>
      <c r="I14" s="341">
        <f>MEDIAN(C14:G14)</f>
        <v>0.15156896029297251</v>
      </c>
      <c r="J14" s="324"/>
      <c r="K14" s="324"/>
      <c r="L14" s="324"/>
      <c r="M14" s="324"/>
      <c r="N14" s="324"/>
      <c r="O14" s="324"/>
      <c r="P14" s="324"/>
      <c r="Q14" s="324"/>
      <c r="R14" s="324"/>
    </row>
    <row r="15" spans="1:18" s="190" customFormat="1">
      <c r="A15" s="324"/>
      <c r="B15" s="209" t="s">
        <v>94</v>
      </c>
      <c r="C15" s="343"/>
      <c r="D15" s="328">
        <f>D13/C13-1</f>
        <v>0.12350740417142725</v>
      </c>
      <c r="E15" s="328">
        <f>E13/D13-1</f>
        <v>0.15952143569292132</v>
      </c>
      <c r="F15" s="328">
        <f>F13/E13-1</f>
        <v>0.17454428202923467</v>
      </c>
      <c r="G15" s="328">
        <f>G13/F13-1</f>
        <v>0.13334602249642202</v>
      </c>
      <c r="H15" s="195">
        <f>AVERAGE(C15:G15)</f>
        <v>0.14772978609750131</v>
      </c>
      <c r="I15" s="328">
        <f>MEDIAN(C15:G15)</f>
        <v>0.14643372909467167</v>
      </c>
      <c r="J15" s="324"/>
      <c r="K15" s="324"/>
      <c r="L15" s="324"/>
      <c r="M15" s="324"/>
      <c r="N15" s="324"/>
      <c r="O15" s="324"/>
      <c r="P15" s="324"/>
      <c r="Q15" s="324"/>
      <c r="R15" s="324"/>
    </row>
    <row r="16" spans="1:18" s="190" customFormat="1">
      <c r="A16" s="324"/>
      <c r="B16" s="208" t="s">
        <v>20</v>
      </c>
      <c r="C16" s="344"/>
      <c r="D16" s="341">
        <f>(D13/$C13)^(1/D$6)-1</f>
        <v>0.12350740417142725</v>
      </c>
      <c r="E16" s="341">
        <f>(E13/$C13)^(1/E$6)-1</f>
        <v>0.14137238371027738</v>
      </c>
      <c r="F16" s="341">
        <f>(F13/$C13)^(1/F$6)-1</f>
        <v>0.15232425986571152</v>
      </c>
      <c r="G16" s="341">
        <f>(G13/$C13)^(1/G$6)-1</f>
        <v>0.14755011303190657</v>
      </c>
      <c r="H16" s="342">
        <f>AVERAGE(C16:G16)</f>
        <v>0.14118854019483068</v>
      </c>
      <c r="I16" s="341">
        <f>MEDIAN(C16:G16)</f>
        <v>0.14446124837109198</v>
      </c>
      <c r="J16" s="324"/>
      <c r="K16" s="324"/>
      <c r="L16" s="324"/>
      <c r="M16" s="324"/>
      <c r="N16" s="324"/>
      <c r="O16" s="324"/>
      <c r="P16" s="324"/>
      <c r="Q16" s="324"/>
      <c r="R16" s="324"/>
    </row>
    <row r="17" spans="1:18" s="190" customFormat="1">
      <c r="A17" s="324"/>
      <c r="B17" s="302"/>
      <c r="C17" s="291"/>
      <c r="D17" s="291"/>
      <c r="E17" s="291"/>
      <c r="F17" s="291"/>
      <c r="G17" s="291"/>
      <c r="H17" s="192"/>
      <c r="I17" s="291"/>
      <c r="J17" s="324"/>
      <c r="K17" s="324"/>
      <c r="L17" s="324"/>
      <c r="M17" s="324"/>
      <c r="N17" s="324"/>
      <c r="O17" s="324"/>
      <c r="P17" s="324"/>
      <c r="Q17" s="324"/>
      <c r="R17" s="324"/>
    </row>
    <row r="18" spans="1:18" s="190" customFormat="1">
      <c r="A18" s="324"/>
      <c r="B18" s="363" t="str">
        <f>DCF!B11</f>
        <v>Gross profit</v>
      </c>
      <c r="C18" s="363">
        <f>DCF!C11</f>
        <v>954555</v>
      </c>
      <c r="D18" s="363">
        <f>DCF!D11</f>
        <v>1128217</v>
      </c>
      <c r="E18" s="363">
        <f>DCF!E11</f>
        <v>1302015</v>
      </c>
      <c r="F18" s="363">
        <f>DCF!F11</f>
        <v>1516290</v>
      </c>
      <c r="G18" s="363">
        <f>DCF!G11</f>
        <v>1742601</v>
      </c>
      <c r="H18" s="197"/>
      <c r="I18" s="355"/>
      <c r="J18" s="324"/>
      <c r="K18" s="324"/>
      <c r="L18" s="324"/>
      <c r="M18" s="324"/>
      <c r="N18" s="324"/>
      <c r="O18" s="324"/>
      <c r="P18" s="324"/>
      <c r="Q18" s="324"/>
      <c r="R18" s="324"/>
    </row>
    <row r="19" spans="1:18" s="190" customFormat="1">
      <c r="A19" s="324"/>
      <c r="B19" s="208" t="s">
        <v>92</v>
      </c>
      <c r="C19" s="341">
        <f>C18/C$9</f>
        <v>0.84242562238384333</v>
      </c>
      <c r="D19" s="341">
        <f>D18/D$9</f>
        <v>0.84903865618817342</v>
      </c>
      <c r="E19" s="341">
        <f>E18/E$9</f>
        <v>0.84843103970702749</v>
      </c>
      <c r="F19" s="341">
        <f>F18/F$9</f>
        <v>0.8473312772528917</v>
      </c>
      <c r="G19" s="341">
        <f>G18/G$9</f>
        <v>0.84912558533887528</v>
      </c>
      <c r="H19" s="342">
        <f>AVERAGE(C19:G19)</f>
        <v>0.84727043617416231</v>
      </c>
      <c r="I19" s="341">
        <f>MEDIAN(C19:G19)</f>
        <v>0.84843103970702749</v>
      </c>
      <c r="J19" s="324"/>
      <c r="K19" s="324"/>
      <c r="L19" s="324"/>
      <c r="M19" s="324"/>
      <c r="N19" s="324"/>
      <c r="O19" s="324"/>
      <c r="P19" s="324"/>
      <c r="Q19" s="324"/>
      <c r="R19" s="324"/>
    </row>
    <row r="20" spans="1:18" s="190" customFormat="1">
      <c r="A20" s="324"/>
      <c r="B20" s="209" t="s">
        <v>94</v>
      </c>
      <c r="C20" s="343"/>
      <c r="D20" s="328">
        <f>D18/C18-1</f>
        <v>0.18192979974962165</v>
      </c>
      <c r="E20" s="328">
        <f>E18/D18-1</f>
        <v>0.15404660628230205</v>
      </c>
      <c r="F20" s="328">
        <f>F18/E18-1</f>
        <v>0.16457183672999154</v>
      </c>
      <c r="G20" s="328">
        <f>G18/F18-1</f>
        <v>0.14925311121223506</v>
      </c>
      <c r="H20" s="195">
        <f>AVERAGE(C20:G20)</f>
        <v>0.16245033849353757</v>
      </c>
      <c r="I20" s="328">
        <f>MEDIAN(C20:G20)</f>
        <v>0.15930922150614679</v>
      </c>
      <c r="J20" s="324"/>
      <c r="K20" s="324"/>
      <c r="L20" s="324"/>
      <c r="M20" s="324"/>
      <c r="N20" s="324"/>
      <c r="O20" s="324"/>
      <c r="P20" s="324"/>
      <c r="Q20" s="324"/>
      <c r="R20" s="324"/>
    </row>
    <row r="21" spans="1:18" s="190" customFormat="1">
      <c r="A21" s="324"/>
      <c r="B21" s="208" t="s">
        <v>20</v>
      </c>
      <c r="C21" s="344"/>
      <c r="D21" s="341">
        <f>(D18/$C18)^(1/D$6)-1</f>
        <v>0.18192979974962165</v>
      </c>
      <c r="E21" s="341">
        <f>(E18/$C18)^(1/E$6)-1</f>
        <v>0.16790499368098066</v>
      </c>
      <c r="F21" s="341">
        <f>(F18/$C18)^(1/F$6)-1</f>
        <v>0.16679288271774806</v>
      </c>
      <c r="G21" s="341">
        <f>(G18/$C18)^(1/G$6)-1</f>
        <v>0.16238300213380286</v>
      </c>
      <c r="H21" s="342">
        <f>AVERAGE(C21:G21)</f>
        <v>0.16975266957053831</v>
      </c>
      <c r="I21" s="341">
        <f>MEDIAN(C21:G21)</f>
        <v>0.16734893819936436</v>
      </c>
      <c r="J21" s="324"/>
      <c r="K21" s="324"/>
      <c r="L21" s="324"/>
      <c r="M21" s="324"/>
      <c r="N21" s="324"/>
      <c r="O21" s="324"/>
      <c r="P21" s="324"/>
      <c r="Q21" s="324"/>
      <c r="R21" s="324"/>
    </row>
    <row r="22" spans="1:18" s="190" customFormat="1">
      <c r="A22" s="324"/>
      <c r="B22" s="302"/>
      <c r="C22" s="291"/>
      <c r="D22" s="291"/>
      <c r="E22" s="291"/>
      <c r="F22" s="291"/>
      <c r="G22" s="291"/>
      <c r="H22" s="192"/>
      <c r="I22" s="291"/>
      <c r="J22" s="324"/>
      <c r="K22" s="324"/>
      <c r="L22" s="324"/>
      <c r="M22" s="324"/>
      <c r="N22" s="324"/>
      <c r="O22" s="324"/>
      <c r="P22" s="324"/>
      <c r="Q22" s="324"/>
      <c r="R22" s="324"/>
    </row>
    <row r="23" spans="1:18" s="190" customFormat="1">
      <c r="A23" s="324"/>
      <c r="B23" s="363" t="str">
        <f>IS!B12</f>
        <v>Sales, General and administrative</v>
      </c>
      <c r="C23" s="363">
        <f>IS!C12</f>
        <v>545980</v>
      </c>
      <c r="D23" s="363">
        <f>IS!D12</f>
        <v>664029</v>
      </c>
      <c r="E23" s="363">
        <f>IS!E12</f>
        <v>752463</v>
      </c>
      <c r="F23" s="363">
        <f>IS!F12</f>
        <v>898440</v>
      </c>
      <c r="G23" s="363">
        <f>IS!G12</f>
        <v>1041231</v>
      </c>
      <c r="H23" s="197"/>
      <c r="I23" s="355"/>
      <c r="J23" s="324"/>
      <c r="K23" s="324"/>
      <c r="L23" s="324"/>
      <c r="M23" s="324"/>
      <c r="N23" s="324"/>
      <c r="O23" s="324"/>
      <c r="P23" s="324"/>
      <c r="Q23" s="324"/>
      <c r="R23" s="324"/>
    </row>
    <row r="24" spans="1:18" s="190" customFormat="1">
      <c r="A24" s="324"/>
      <c r="B24" s="208" t="s">
        <v>92</v>
      </c>
      <c r="C24" s="341">
        <f>C23/C$9</f>
        <v>0.4818449867311268</v>
      </c>
      <c r="D24" s="341">
        <f>D23/D$9</f>
        <v>0.49971440762723535</v>
      </c>
      <c r="E24" s="341">
        <f>E23/E$9</f>
        <v>0.49032688980623806</v>
      </c>
      <c r="F24" s="341">
        <f>F23/F$9</f>
        <v>0.50206511467798909</v>
      </c>
      <c r="G24" s="341">
        <f>G23/G$9</f>
        <v>0.50736564615077262</v>
      </c>
      <c r="H24" s="342">
        <f>AVERAGE(C24:G24)</f>
        <v>0.49626340899867244</v>
      </c>
      <c r="I24" s="341">
        <f>MEDIAN(C24:G24)</f>
        <v>0.49971440762723535</v>
      </c>
      <c r="J24" s="324"/>
      <c r="K24" s="324"/>
      <c r="L24" s="324"/>
      <c r="M24" s="324"/>
      <c r="N24" s="324"/>
      <c r="O24" s="324"/>
      <c r="P24" s="324"/>
      <c r="Q24" s="324"/>
      <c r="R24" s="324"/>
    </row>
    <row r="25" spans="1:18" s="190" customFormat="1">
      <c r="A25" s="324"/>
      <c r="B25" s="209" t="s">
        <v>94</v>
      </c>
      <c r="C25" s="343"/>
      <c r="D25" s="328">
        <f>D23/C23-1</f>
        <v>0.21621487966592179</v>
      </c>
      <c r="E25" s="328">
        <f>E23/D23-1</f>
        <v>0.13317791843428517</v>
      </c>
      <c r="F25" s="328">
        <f>F23/E23-1</f>
        <v>0.19399890758748262</v>
      </c>
      <c r="G25" s="328">
        <f>G23/F23-1</f>
        <v>0.15893214905836794</v>
      </c>
      <c r="H25" s="195">
        <f>AVERAGE(C25:G25)</f>
        <v>0.17558096368651438</v>
      </c>
      <c r="I25" s="328">
        <f>MEDIAN(C25:G25)</f>
        <v>0.17646552832292528</v>
      </c>
      <c r="J25" s="324"/>
      <c r="K25" s="324"/>
      <c r="L25" s="324"/>
      <c r="M25" s="324"/>
      <c r="N25" s="324"/>
      <c r="O25" s="324"/>
      <c r="P25" s="324"/>
      <c r="Q25" s="324"/>
      <c r="R25" s="324"/>
    </row>
    <row r="26" spans="1:18" s="190" customFormat="1">
      <c r="A26" s="324"/>
      <c r="B26" s="208" t="s">
        <v>20</v>
      </c>
      <c r="C26" s="344"/>
      <c r="D26" s="341">
        <f>(D23/$C23)^(1/D$6)-1</f>
        <v>0.21621487966592179</v>
      </c>
      <c r="E26" s="341">
        <f>(E23/$C23)^(1/E$6)-1</f>
        <v>0.1739624549825407</v>
      </c>
      <c r="F26" s="341">
        <f>(F23/$C23)^(1/F$6)-1</f>
        <v>0.18060363212930253</v>
      </c>
      <c r="G26" s="341">
        <f>(G23/$C23)^(1/G$6)-1</f>
        <v>0.17514806243985714</v>
      </c>
      <c r="H26" s="342">
        <f>AVERAGE(C26:G26)</f>
        <v>0.18648225730440554</v>
      </c>
      <c r="I26" s="341">
        <f>MEDIAN(C26:G26)</f>
        <v>0.17787584728457984</v>
      </c>
      <c r="J26" s="324"/>
      <c r="K26" s="324"/>
      <c r="L26" s="324"/>
      <c r="M26" s="324"/>
      <c r="N26" s="324"/>
      <c r="O26" s="324"/>
      <c r="P26" s="324"/>
      <c r="Q26" s="324"/>
      <c r="R26" s="324"/>
    </row>
    <row r="27" spans="1:18" s="190" customFormat="1">
      <c r="A27" s="324"/>
      <c r="B27" s="302"/>
      <c r="C27" s="291"/>
      <c r="D27" s="291"/>
      <c r="E27" s="291"/>
      <c r="F27" s="291"/>
      <c r="G27" s="291"/>
      <c r="H27" s="192"/>
      <c r="I27" s="291"/>
      <c r="J27" s="324"/>
      <c r="K27" s="324"/>
      <c r="L27" s="324"/>
      <c r="M27" s="324"/>
      <c r="N27" s="324"/>
      <c r="O27" s="324"/>
      <c r="P27" s="324"/>
      <c r="Q27" s="324"/>
      <c r="R27" s="324"/>
    </row>
    <row r="28" spans="1:18" s="190" customFormat="1">
      <c r="A28" s="324"/>
      <c r="B28" s="363" t="str">
        <f>IS!B11</f>
        <v>Research and development</v>
      </c>
      <c r="C28" s="363">
        <f>IS!C11</f>
        <v>208662</v>
      </c>
      <c r="D28" s="363">
        <f>IS!D11</f>
        <v>263150</v>
      </c>
      <c r="E28" s="363">
        <f>IS!E11</f>
        <v>317263</v>
      </c>
      <c r="F28" s="363">
        <f>IS!F11</f>
        <v>367856</v>
      </c>
      <c r="G28" s="363">
        <f>IS!G11</f>
        <v>413322</v>
      </c>
      <c r="H28" s="197"/>
      <c r="I28" s="355"/>
      <c r="J28" s="324"/>
      <c r="K28" s="324"/>
      <c r="L28" s="324"/>
      <c r="M28" s="324"/>
      <c r="N28" s="324"/>
      <c r="O28" s="324"/>
      <c r="P28" s="324"/>
      <c r="Q28" s="324"/>
      <c r="R28" s="324"/>
    </row>
    <row r="29" spans="1:18" s="190" customFormat="1">
      <c r="A29" s="324"/>
      <c r="B29" s="208" t="s">
        <v>92</v>
      </c>
      <c r="C29" s="341">
        <f>C28/C$9</f>
        <v>0.18415095538534448</v>
      </c>
      <c r="D29" s="341">
        <f>D28/D$9</f>
        <v>0.19803328825564392</v>
      </c>
      <c r="E29" s="341">
        <f>E28/E$9</f>
        <v>0.20673784630021211</v>
      </c>
      <c r="F29" s="341">
        <f>F28/F$9</f>
        <v>0.2055648288422002</v>
      </c>
      <c r="G29" s="341">
        <f>G28/G$9</f>
        <v>0.20140140237692655</v>
      </c>
      <c r="H29" s="342">
        <f>AVERAGE(C29:G29)</f>
        <v>0.19917766423206545</v>
      </c>
      <c r="I29" s="341">
        <f>MEDIAN(C29:G29)</f>
        <v>0.20140140237692655</v>
      </c>
      <c r="J29" s="324"/>
      <c r="K29" s="324"/>
      <c r="L29" s="324"/>
      <c r="M29" s="324"/>
      <c r="N29" s="324"/>
      <c r="O29" s="324"/>
      <c r="P29" s="324"/>
      <c r="Q29" s="324"/>
      <c r="R29" s="324"/>
    </row>
    <row r="30" spans="1:18" s="190" customFormat="1">
      <c r="A30" s="324"/>
      <c r="B30" s="209" t="s">
        <v>94</v>
      </c>
      <c r="C30" s="343"/>
      <c r="D30" s="328">
        <f>D28/C28-1</f>
        <v>0.26113044061688284</v>
      </c>
      <c r="E30" s="328">
        <f>E28/D28-1</f>
        <v>0.20563556906707192</v>
      </c>
      <c r="F30" s="328">
        <f>F28/E28-1</f>
        <v>0.15946706675534172</v>
      </c>
      <c r="G30" s="328">
        <f>G28/F28-1</f>
        <v>0.12359727719542435</v>
      </c>
      <c r="H30" s="195">
        <f>AVERAGE(C30:G30)</f>
        <v>0.18745758840868021</v>
      </c>
      <c r="I30" s="328">
        <f>MEDIAN(C30:G30)</f>
        <v>0.18255131791120682</v>
      </c>
      <c r="J30" s="324"/>
      <c r="K30" s="324"/>
      <c r="L30" s="324"/>
      <c r="M30" s="324"/>
      <c r="N30" s="324"/>
      <c r="O30" s="324"/>
      <c r="P30" s="324"/>
      <c r="Q30" s="324"/>
      <c r="R30" s="324"/>
    </row>
    <row r="31" spans="1:18" s="190" customFormat="1">
      <c r="A31" s="324"/>
      <c r="B31" s="208" t="s">
        <v>20</v>
      </c>
      <c r="C31" s="344"/>
      <c r="D31" s="341">
        <f>(D28/$C28)^(1/D$6)-1</f>
        <v>0.26113044061688284</v>
      </c>
      <c r="E31" s="341">
        <f>(E28/$C28)^(1/E$6)-1</f>
        <v>0.23307084810279366</v>
      </c>
      <c r="F31" s="341">
        <f>(F28/$C28)^(1/F$6)-1</f>
        <v>0.20803122347444059</v>
      </c>
      <c r="G31" s="341">
        <f>(G28/$C28)^(1/G$6)-1</f>
        <v>0.18634577827128962</v>
      </c>
      <c r="H31" s="342">
        <f>AVERAGE(C31:G31)</f>
        <v>0.22214457261635168</v>
      </c>
      <c r="I31" s="341">
        <f>MEDIAN(C31:G31)</f>
        <v>0.22055103578861712</v>
      </c>
      <c r="J31" s="324"/>
      <c r="K31" s="324"/>
      <c r="L31" s="324"/>
      <c r="M31" s="324"/>
      <c r="N31" s="324"/>
      <c r="O31" s="324"/>
      <c r="P31" s="324"/>
      <c r="Q31" s="324"/>
      <c r="R31" s="324"/>
    </row>
    <row r="32" spans="1:18" s="190" customFormat="1">
      <c r="A32" s="324"/>
      <c r="B32" s="302"/>
      <c r="C32" s="291"/>
      <c r="D32" s="291"/>
      <c r="E32" s="291"/>
      <c r="F32" s="291"/>
      <c r="G32" s="291"/>
      <c r="H32" s="192"/>
      <c r="I32" s="291"/>
      <c r="J32" s="324"/>
      <c r="K32" s="324"/>
      <c r="L32" s="324"/>
      <c r="M32" s="324"/>
      <c r="N32" s="324"/>
      <c r="O32" s="324"/>
      <c r="P32" s="324"/>
      <c r="Q32" s="324"/>
      <c r="R32" s="324"/>
    </row>
    <row r="33" spans="1:18" s="190" customFormat="1">
      <c r="A33" s="324"/>
      <c r="B33" s="363" t="str">
        <f>IS!B13</f>
        <v>Total operating expenses</v>
      </c>
      <c r="C33" s="363">
        <f>IS!C13</f>
        <v>754642</v>
      </c>
      <c r="D33" s="363">
        <f>IS!D13</f>
        <v>927179</v>
      </c>
      <c r="E33" s="363">
        <f>IS!E13</f>
        <v>1069726</v>
      </c>
      <c r="F33" s="363">
        <f>IS!F13</f>
        <v>1266296</v>
      </c>
      <c r="G33" s="363">
        <f>IS!G13</f>
        <v>1454553</v>
      </c>
      <c r="H33" s="197"/>
      <c r="I33" s="355"/>
      <c r="J33" s="324"/>
      <c r="K33" s="324"/>
      <c r="L33" s="324"/>
      <c r="M33" s="324"/>
      <c r="N33" s="324"/>
      <c r="O33" s="324"/>
      <c r="P33" s="324"/>
      <c r="Q33" s="324"/>
      <c r="R33" s="324"/>
    </row>
    <row r="34" spans="1:18" s="190" customFormat="1">
      <c r="A34" s="324"/>
      <c r="B34" s="208" t="s">
        <v>92</v>
      </c>
      <c r="C34" s="341">
        <f>C33/C$9</f>
        <v>0.66599594211647128</v>
      </c>
      <c r="D34" s="341">
        <f>D33/D$9</f>
        <v>0.69774769588287933</v>
      </c>
      <c r="E34" s="341">
        <f>E33/E$9</f>
        <v>0.69706473610645014</v>
      </c>
      <c r="F34" s="341">
        <f>F33/F$9</f>
        <v>0.70762994352018926</v>
      </c>
      <c r="G34" s="341">
        <f>G33/G$9</f>
        <v>0.70876704852769912</v>
      </c>
      <c r="H34" s="342">
        <f>AVERAGE(C34:G34)</f>
        <v>0.69544107323073789</v>
      </c>
      <c r="I34" s="341">
        <f>MEDIAN(C34:G34)</f>
        <v>0.69774769588287933</v>
      </c>
      <c r="J34" s="324"/>
      <c r="K34" s="324"/>
      <c r="L34" s="324"/>
      <c r="M34" s="324"/>
      <c r="N34" s="324"/>
      <c r="O34" s="324"/>
      <c r="P34" s="324"/>
      <c r="Q34" s="324"/>
      <c r="R34" s="324"/>
    </row>
    <row r="35" spans="1:18" s="190" customFormat="1">
      <c r="A35" s="324"/>
      <c r="B35" s="209" t="s">
        <v>94</v>
      </c>
      <c r="C35" s="343"/>
      <c r="D35" s="328">
        <f>D33/C33-1</f>
        <v>0.22863423981172537</v>
      </c>
      <c r="E35" s="328">
        <f>E33/D33-1</f>
        <v>0.15374269693338616</v>
      </c>
      <c r="F35" s="328">
        <f>F33/E33-1</f>
        <v>0.18375733599071165</v>
      </c>
      <c r="G35" s="328">
        <f>G33/F33-1</f>
        <v>0.14866745215968469</v>
      </c>
      <c r="H35" s="195">
        <f>AVERAGE(C35:G35)</f>
        <v>0.17870043122387697</v>
      </c>
      <c r="I35" s="328">
        <f>MEDIAN(C35:G35)</f>
        <v>0.1687500164620489</v>
      </c>
      <c r="J35" s="324"/>
      <c r="K35" s="198" t="s">
        <v>372</v>
      </c>
      <c r="L35" s="324"/>
      <c r="M35" s="324"/>
      <c r="N35" s="324"/>
      <c r="O35" s="324"/>
      <c r="P35" s="324"/>
      <c r="Q35" s="324"/>
      <c r="R35" s="324"/>
    </row>
    <row r="36" spans="1:18" s="190" customFormat="1">
      <c r="A36" s="324"/>
      <c r="B36" s="208" t="s">
        <v>20</v>
      </c>
      <c r="C36" s="344"/>
      <c r="D36" s="341">
        <f>(D33/$C33)^(1/D$6)-1</f>
        <v>0.22863423981172537</v>
      </c>
      <c r="E36" s="341">
        <f>(E33/$C33)^(1/E$6)-1</f>
        <v>0.1905997570069804</v>
      </c>
      <c r="F36" s="341">
        <f>(F33/$C33)^(1/F$6)-1</f>
        <v>0.18831456670342117</v>
      </c>
      <c r="G36" s="341">
        <f>(G33/$C33)^(1/G$6)-1</f>
        <v>0.17827630590753096</v>
      </c>
      <c r="H36" s="342">
        <f>AVERAGE(C36:G36)</f>
        <v>0.19645621735741448</v>
      </c>
      <c r="I36" s="341">
        <f>MEDIAN(C36:G36)</f>
        <v>0.18945716185520078</v>
      </c>
      <c r="J36" s="324"/>
      <c r="K36" s="324"/>
      <c r="L36" s="324"/>
      <c r="M36" s="324"/>
      <c r="N36" s="324"/>
      <c r="O36" s="324"/>
      <c r="P36" s="324"/>
      <c r="Q36" s="324"/>
      <c r="R36" s="324"/>
    </row>
    <row r="37" spans="1:18" s="190" customFormat="1">
      <c r="A37" s="324"/>
      <c r="B37" s="302"/>
      <c r="C37" s="291"/>
      <c r="D37" s="291"/>
      <c r="E37" s="291"/>
      <c r="F37" s="291"/>
      <c r="G37" s="291"/>
      <c r="H37" s="192"/>
      <c r="I37" s="291"/>
      <c r="J37" s="324"/>
      <c r="K37" s="324"/>
      <c r="L37" s="324"/>
      <c r="M37" s="324"/>
      <c r="N37" s="324"/>
      <c r="O37" s="324"/>
      <c r="P37" s="324"/>
      <c r="Q37" s="324"/>
      <c r="R37" s="324"/>
    </row>
    <row r="38" spans="1:18" s="190" customFormat="1">
      <c r="A38" s="324"/>
      <c r="B38" s="363" t="str">
        <f>CF!B8</f>
        <v>Depreciation &amp; amortization</v>
      </c>
      <c r="C38" s="363">
        <f>CF!C8</f>
        <v>51372</v>
      </c>
      <c r="D38" s="363">
        <f>CF!D8</f>
        <v>62341</v>
      </c>
      <c r="E38" s="363">
        <f>CF!E8</f>
        <v>74405</v>
      </c>
      <c r="F38" s="363">
        <f>CF!F8</f>
        <v>76263</v>
      </c>
      <c r="G38" s="363">
        <f>CF!G8</f>
        <v>76088</v>
      </c>
      <c r="H38" s="197"/>
      <c r="I38" s="355"/>
      <c r="J38" s="324"/>
      <c r="K38" s="324"/>
      <c r="L38" s="324"/>
      <c r="M38" s="324"/>
      <c r="N38" s="324"/>
      <c r="O38" s="324"/>
      <c r="P38" s="324"/>
      <c r="Q38" s="324"/>
      <c r="R38" s="324"/>
    </row>
    <row r="39" spans="1:18" s="190" customFormat="1">
      <c r="A39" s="324"/>
      <c r="B39" s="208" t="s">
        <v>92</v>
      </c>
      <c r="C39" s="341">
        <f>C38/C$9</f>
        <v>4.5337449463994005E-2</v>
      </c>
      <c r="D39" s="341">
        <f>D38/D$9</f>
        <v>4.6914661687802006E-2</v>
      </c>
      <c r="E39" s="341">
        <f>E38/E$9</f>
        <v>4.8484473304379272E-2</v>
      </c>
      <c r="F39" s="341">
        <f>F38/F$9</f>
        <v>4.2617194070486045E-2</v>
      </c>
      <c r="G39" s="341">
        <f>G38/G$9</f>
        <v>3.7075766361470204E-2</v>
      </c>
      <c r="H39" s="342">
        <f>AVERAGE(C39:G39)</f>
        <v>4.4085908977626306E-2</v>
      </c>
      <c r="I39" s="341">
        <f>MEDIAN(C39:G39)</f>
        <v>4.5337449463994005E-2</v>
      </c>
      <c r="J39" s="324"/>
      <c r="K39" s="324"/>
      <c r="L39" s="324"/>
      <c r="M39" s="324"/>
      <c r="N39" s="324"/>
      <c r="O39" s="324"/>
      <c r="P39" s="324"/>
      <c r="Q39" s="324"/>
      <c r="R39" s="324"/>
    </row>
    <row r="40" spans="1:18" s="190" customFormat="1">
      <c r="A40" s="324"/>
      <c r="B40" s="209" t="s">
        <v>94</v>
      </c>
      <c r="C40" s="343"/>
      <c r="D40" s="328">
        <f>D38/C38-1</f>
        <v>0.21352098419372423</v>
      </c>
      <c r="E40" s="328">
        <f>E38/D38-1</f>
        <v>0.19351630548114396</v>
      </c>
      <c r="F40" s="328">
        <f>F38/E38-1</f>
        <v>2.4971440091391628E-2</v>
      </c>
      <c r="G40" s="328">
        <f>G38/F38-1</f>
        <v>-2.2946907412506601E-3</v>
      </c>
      <c r="H40" s="195">
        <f>AVERAGE(C40:G40)</f>
        <v>0.10742850975625229</v>
      </c>
      <c r="I40" s="328">
        <f>MEDIAN(C40:G40)</f>
        <v>0.10924387278626779</v>
      </c>
      <c r="J40" s="324"/>
      <c r="K40" s="324"/>
      <c r="L40" s="324"/>
      <c r="M40" s="324"/>
      <c r="N40" s="324"/>
      <c r="O40" s="324"/>
      <c r="P40" s="324"/>
      <c r="Q40" s="324"/>
      <c r="R40" s="324"/>
    </row>
    <row r="41" spans="1:18" s="190" customFormat="1">
      <c r="A41" s="324"/>
      <c r="B41" s="208" t="s">
        <v>20</v>
      </c>
      <c r="C41" s="344"/>
      <c r="D41" s="341">
        <f>(D38/$C38)^(1/D$6)-1</f>
        <v>0.21352098419372423</v>
      </c>
      <c r="E41" s="341">
        <f>(E38/$C38)^(1/E$6)-1</f>
        <v>0.20347707983107655</v>
      </c>
      <c r="F41" s="341">
        <f>(F38/$C38)^(1/F$6)-1</f>
        <v>0.1407639907502074</v>
      </c>
      <c r="G41" s="341">
        <f>(G38/$C38)^(1/G$6)-1</f>
        <v>0.10318265183139741</v>
      </c>
      <c r="H41" s="342">
        <f>AVERAGE(C41:G41)</f>
        <v>0.1652361766516014</v>
      </c>
      <c r="I41" s="341">
        <f>MEDIAN(C41:G41)</f>
        <v>0.17212053529064197</v>
      </c>
      <c r="J41" s="324"/>
      <c r="K41" s="324"/>
      <c r="L41" s="324"/>
      <c r="M41" s="324"/>
      <c r="N41" s="324"/>
      <c r="O41" s="324"/>
      <c r="P41" s="324"/>
      <c r="Q41" s="324"/>
      <c r="R41" s="324"/>
    </row>
    <row r="42" spans="1:18" s="190" customFormat="1">
      <c r="A42" s="324"/>
      <c r="B42" s="302"/>
      <c r="C42" s="291"/>
      <c r="D42" s="291"/>
      <c r="E42" s="291"/>
      <c r="F42" s="291"/>
      <c r="G42" s="291"/>
      <c r="H42" s="192"/>
      <c r="I42" s="291"/>
      <c r="J42" s="324"/>
      <c r="K42" s="324"/>
      <c r="L42" s="324"/>
      <c r="M42" s="324"/>
      <c r="N42" s="324"/>
      <c r="O42" s="324"/>
      <c r="P42" s="324"/>
      <c r="Q42" s="324"/>
      <c r="R42" s="324"/>
    </row>
    <row r="43" spans="1:18" s="190" customFormat="1">
      <c r="A43" s="324"/>
      <c r="B43" s="363" t="str">
        <f>DCF!B19</f>
        <v>Earnings Before Interest, Tax, D&amp;A (EBITDA)</v>
      </c>
      <c r="C43" s="363">
        <f>DCF!C19</f>
        <v>251285</v>
      </c>
      <c r="D43" s="363">
        <f>DCF!D19</f>
        <v>263379</v>
      </c>
      <c r="E43" s="363">
        <f>DCF!E19</f>
        <v>306694</v>
      </c>
      <c r="F43" s="363">
        <f>DCF!F19</f>
        <v>326257</v>
      </c>
      <c r="G43" s="363">
        <f>DCF!G19</f>
        <v>364136</v>
      </c>
      <c r="H43" s="197"/>
      <c r="I43" s="355"/>
      <c r="J43" s="324"/>
      <c r="K43" s="324"/>
      <c r="L43" s="324"/>
      <c r="M43" s="324"/>
      <c r="N43" s="324"/>
      <c r="O43" s="324"/>
      <c r="P43" s="324"/>
      <c r="Q43" s="324"/>
      <c r="R43" s="324"/>
    </row>
    <row r="44" spans="1:18" s="190" customFormat="1">
      <c r="A44" s="324"/>
      <c r="B44" s="208" t="s">
        <v>92</v>
      </c>
      <c r="C44" s="341">
        <f>C43/C$9</f>
        <v>0.221767129731366</v>
      </c>
      <c r="D44" s="341">
        <f>D43/D$9</f>
        <v>0.1982056219930961</v>
      </c>
      <c r="E44" s="341">
        <f>E43/E$9</f>
        <v>0.19985077690495662</v>
      </c>
      <c r="F44" s="341">
        <f>F43/F$9</f>
        <v>0.1823185278031885</v>
      </c>
      <c r="G44" s="341">
        <f>G43/G$9</f>
        <v>0.17743430317264633</v>
      </c>
      <c r="H44" s="342">
        <f>AVERAGE(C44:G44)</f>
        <v>0.19591527192105068</v>
      </c>
      <c r="I44" s="341">
        <f>MEDIAN(C44:G44)</f>
        <v>0.1982056219930961</v>
      </c>
      <c r="J44" s="324"/>
      <c r="K44" s="324"/>
      <c r="L44" s="324"/>
      <c r="M44" s="324"/>
      <c r="N44" s="324"/>
      <c r="O44" s="324"/>
      <c r="P44" s="324"/>
      <c r="Q44" s="324"/>
      <c r="R44" s="324"/>
    </row>
    <row r="45" spans="1:18" s="190" customFormat="1">
      <c r="A45" s="324"/>
      <c r="B45" s="209" t="s">
        <v>94</v>
      </c>
      <c r="C45" s="343"/>
      <c r="D45" s="328">
        <f>D43/C43-1</f>
        <v>4.8128618898859887E-2</v>
      </c>
      <c r="E45" s="328">
        <f>E43/D43-1</f>
        <v>0.16445882169800941</v>
      </c>
      <c r="F45" s="328">
        <f>F43/E43-1</f>
        <v>6.3786705967511681E-2</v>
      </c>
      <c r="G45" s="328">
        <f>G43/F43-1</f>
        <v>0.11610172348792513</v>
      </c>
      <c r="H45" s="195">
        <f>AVERAGE(C45:G45)</f>
        <v>9.8118967513076527E-2</v>
      </c>
      <c r="I45" s="328">
        <f>MEDIAN(C45:G45)</f>
        <v>8.9944214727718408E-2</v>
      </c>
      <c r="J45" s="324"/>
      <c r="K45" s="324"/>
      <c r="L45" s="324"/>
      <c r="M45" s="324"/>
      <c r="N45" s="324"/>
      <c r="O45" s="324"/>
      <c r="P45" s="324"/>
      <c r="Q45" s="324"/>
      <c r="R45" s="324"/>
    </row>
    <row r="46" spans="1:18" s="190" customFormat="1">
      <c r="A46" s="324"/>
      <c r="B46" s="208" t="s">
        <v>20</v>
      </c>
      <c r="C46" s="344"/>
      <c r="D46" s="341">
        <f>(D43/$C43)^(1/D$6)-1</f>
        <v>4.8128618898859887E-2</v>
      </c>
      <c r="E46" s="341">
        <f>(E43/$C43)^(1/E$6)-1</f>
        <v>0.10476360211174973</v>
      </c>
      <c r="F46" s="341">
        <f>(F43/$C43)^(1/F$6)-1</f>
        <v>9.093219305279221E-2</v>
      </c>
      <c r="G46" s="341">
        <f>(G43/$C43)^(1/G$6)-1</f>
        <v>9.7170856217824397E-2</v>
      </c>
      <c r="H46" s="342">
        <f>AVERAGE(C46:G46)</f>
        <v>8.5248817570306556E-2</v>
      </c>
      <c r="I46" s="341">
        <f>MEDIAN(C46:G46)</f>
        <v>9.4051524635308303E-2</v>
      </c>
      <c r="J46" s="324"/>
      <c r="K46" s="324"/>
      <c r="L46" s="324"/>
      <c r="M46" s="324"/>
      <c r="N46" s="324"/>
      <c r="O46" s="324"/>
      <c r="P46" s="324"/>
      <c r="Q46" s="324"/>
      <c r="R46" s="324"/>
    </row>
    <row r="47" spans="1:18" s="190" customFormat="1">
      <c r="A47" s="324"/>
      <c r="B47" s="302"/>
      <c r="C47" s="291"/>
      <c r="D47" s="291"/>
      <c r="E47" s="291"/>
      <c r="F47" s="291"/>
      <c r="G47" s="291"/>
      <c r="H47" s="192"/>
      <c r="I47" s="291"/>
      <c r="J47" s="324"/>
      <c r="K47" s="324"/>
      <c r="L47" s="324"/>
      <c r="M47" s="324"/>
      <c r="N47" s="324"/>
      <c r="O47" s="324"/>
      <c r="P47" s="324"/>
      <c r="Q47" s="324"/>
      <c r="R47" s="324"/>
    </row>
    <row r="48" spans="1:18" s="190" customFormat="1">
      <c r="A48" s="324"/>
      <c r="B48" s="363" t="str">
        <f>DCF!B21</f>
        <v>Earnings Before Interest, Tax (EBIT)</v>
      </c>
      <c r="C48" s="363">
        <f>DCF!C21</f>
        <v>199913</v>
      </c>
      <c r="D48" s="363">
        <f>DCF!D21</f>
        <v>201038</v>
      </c>
      <c r="E48" s="363">
        <f>DCF!E21</f>
        <v>232289</v>
      </c>
      <c r="F48" s="363">
        <f>DCF!F21</f>
        <v>249994</v>
      </c>
      <c r="G48" s="363">
        <f>DCF!G21</f>
        <v>288048</v>
      </c>
      <c r="H48" s="197"/>
      <c r="I48" s="355"/>
      <c r="J48" s="324"/>
      <c r="K48" s="324"/>
      <c r="L48" s="324"/>
      <c r="M48" s="324"/>
      <c r="N48" s="324"/>
      <c r="O48" s="324"/>
      <c r="P48" s="324"/>
      <c r="Q48" s="324"/>
      <c r="R48" s="324"/>
    </row>
    <row r="49" spans="1:18" s="190" customFormat="1">
      <c r="A49" s="324"/>
      <c r="B49" s="208" t="s">
        <v>92</v>
      </c>
      <c r="C49" s="341">
        <f>C48/C$9</f>
        <v>0.17642968026737199</v>
      </c>
      <c r="D49" s="341">
        <f>D48/D$9</f>
        <v>0.1512909603052941</v>
      </c>
      <c r="E49" s="341">
        <f>E48/E$9</f>
        <v>0.15136630360057735</v>
      </c>
      <c r="F49" s="341">
        <f>F48/F$9</f>
        <v>0.13970133373270247</v>
      </c>
      <c r="G49" s="341">
        <f>G48/G$9</f>
        <v>0.14035853681117613</v>
      </c>
      <c r="H49" s="342">
        <f>AVERAGE(C49:G49)</f>
        <v>0.15182936294342442</v>
      </c>
      <c r="I49" s="341">
        <f>MEDIAN(C49:G49)</f>
        <v>0.1512909603052941</v>
      </c>
      <c r="J49" s="324"/>
      <c r="K49" s="324"/>
      <c r="L49" s="324"/>
      <c r="M49" s="324"/>
      <c r="N49" s="324"/>
      <c r="O49" s="324"/>
      <c r="P49" s="324"/>
      <c r="Q49" s="324"/>
      <c r="R49" s="324"/>
    </row>
    <row r="50" spans="1:18" s="190" customFormat="1">
      <c r="A50" s="324"/>
      <c r="B50" s="209" t="s">
        <v>94</v>
      </c>
      <c r="C50" s="343"/>
      <c r="D50" s="328">
        <f>D48/C48-1</f>
        <v>5.6274479398539246E-3</v>
      </c>
      <c r="E50" s="328">
        <f>E48/D48-1</f>
        <v>0.15544822371889899</v>
      </c>
      <c r="F50" s="328">
        <f>F48/E48-1</f>
        <v>7.6219709069305974E-2</v>
      </c>
      <c r="G50" s="328">
        <f>G48/F48-1</f>
        <v>0.15221965327167841</v>
      </c>
      <c r="H50" s="195">
        <f>AVERAGE(C50:G50)</f>
        <v>9.7378758499934326E-2</v>
      </c>
      <c r="I50" s="328">
        <f>MEDIAN(C50:G50)</f>
        <v>0.11421968117049219</v>
      </c>
      <c r="J50" s="324"/>
      <c r="K50" s="324"/>
      <c r="L50" s="324"/>
      <c r="M50" s="324"/>
      <c r="N50" s="324"/>
      <c r="O50" s="324"/>
      <c r="P50" s="324"/>
      <c r="Q50" s="324"/>
      <c r="R50" s="324"/>
    </row>
    <row r="51" spans="1:18" s="190" customFormat="1">
      <c r="A51" s="324"/>
      <c r="B51" s="208" t="s">
        <v>20</v>
      </c>
      <c r="C51" s="344"/>
      <c r="D51" s="341">
        <f>(D48/$C48)^(1/D$6)-1</f>
        <v>5.6274479398539246E-3</v>
      </c>
      <c r="E51" s="341">
        <f>(E48/$C48)^(1/E$6)-1</f>
        <v>7.7938054085239905E-2</v>
      </c>
      <c r="F51" s="341">
        <f>(F48/$C48)^(1/F$6)-1</f>
        <v>7.7364967785642058E-2</v>
      </c>
      <c r="G51" s="341">
        <f>(G48/$C48)^(1/G$6)-1</f>
        <v>9.5609922724325003E-2</v>
      </c>
      <c r="H51" s="342">
        <f>AVERAGE(C51:G51)</f>
        <v>6.4135098133765223E-2</v>
      </c>
      <c r="I51" s="341">
        <f>MEDIAN(C51:G51)</f>
        <v>7.7651510935440982E-2</v>
      </c>
      <c r="J51" s="365"/>
      <c r="K51" s="324"/>
      <c r="L51" s="324"/>
      <c r="M51" s="324"/>
      <c r="N51" s="324"/>
      <c r="O51" s="324"/>
      <c r="P51" s="324"/>
      <c r="Q51" s="324"/>
      <c r="R51" s="324"/>
    </row>
    <row r="52" spans="1:18" s="190" customFormat="1">
      <c r="A52" s="324"/>
      <c r="B52" s="302"/>
      <c r="C52" s="291"/>
      <c r="D52" s="291"/>
      <c r="E52" s="291"/>
      <c r="F52" s="291"/>
      <c r="G52" s="291"/>
      <c r="H52" s="192"/>
      <c r="I52" s="291"/>
      <c r="J52" s="365"/>
      <c r="K52" s="324"/>
      <c r="L52" s="324"/>
      <c r="M52" s="324"/>
      <c r="N52" s="324"/>
      <c r="O52" s="324"/>
      <c r="P52" s="324"/>
      <c r="Q52" s="324"/>
      <c r="R52" s="324"/>
    </row>
    <row r="53" spans="1:18" s="190" customFormat="1">
      <c r="A53" s="324"/>
      <c r="B53" s="363" t="str">
        <f>DCF!B23</f>
        <v>Interest (income) expense, net</v>
      </c>
      <c r="C53" s="363">
        <f>DCF!C23</f>
        <v>-8096</v>
      </c>
      <c r="D53" s="363">
        <f>DCF!D23</f>
        <v>-8714</v>
      </c>
      <c r="E53" s="363">
        <f>DCF!E23</f>
        <v>-7259</v>
      </c>
      <c r="F53" s="363">
        <f>DCF!F23</f>
        <v>-5504</v>
      </c>
      <c r="G53" s="363">
        <f>DCF!G23</f>
        <v>13183</v>
      </c>
      <c r="H53" s="197"/>
      <c r="I53" s="355"/>
      <c r="J53" s="365"/>
      <c r="K53" s="324"/>
      <c r="L53" s="324"/>
      <c r="M53" s="324"/>
      <c r="N53" s="324"/>
      <c r="O53" s="324"/>
      <c r="P53" s="324"/>
      <c r="Q53" s="324"/>
      <c r="R53" s="324"/>
    </row>
    <row r="54" spans="1:18" s="190" customFormat="1">
      <c r="A54" s="324"/>
      <c r="B54" s="208" t="s">
        <v>92</v>
      </c>
      <c r="C54" s="341">
        <f>C53/C$9</f>
        <v>-7.1449815241862395E-3</v>
      </c>
      <c r="D54" s="341">
        <f>D53/D$9</f>
        <v>-6.5577126120451501E-3</v>
      </c>
      <c r="E54" s="341">
        <f>E53/E$9</f>
        <v>-4.7301766241044175E-3</v>
      </c>
      <c r="F54" s="341">
        <f>F53/F$9</f>
        <v>-3.0757383811803258E-3</v>
      </c>
      <c r="G54" s="341">
        <f>G53/G$9</f>
        <v>6.4237439273375791E-3</v>
      </c>
      <c r="H54" s="342">
        <f>AVERAGE(F54:G54)</f>
        <v>1.6740027730786267E-3</v>
      </c>
      <c r="I54" s="341">
        <f>MEDIAN(C54:G54)</f>
        <v>-4.7301766241044175E-3</v>
      </c>
      <c r="J54" s="365"/>
      <c r="K54" s="324"/>
      <c r="L54" s="324"/>
      <c r="M54" s="324"/>
      <c r="N54" s="324"/>
      <c r="O54" s="324"/>
      <c r="P54" s="324"/>
      <c r="Q54" s="324"/>
      <c r="R54" s="324"/>
    </row>
    <row r="55" spans="1:18" s="190" customFormat="1">
      <c r="A55" s="324"/>
      <c r="B55" s="209" t="s">
        <v>94</v>
      </c>
      <c r="C55" s="343"/>
      <c r="D55" s="328">
        <f>D53/C53-1</f>
        <v>7.633399209486158E-2</v>
      </c>
      <c r="E55" s="328">
        <f>E53/D53-1</f>
        <v>-0.16697268762910256</v>
      </c>
      <c r="F55" s="328">
        <f>F53/E53-1</f>
        <v>-0.24176883868301424</v>
      </c>
      <c r="G55" s="328">
        <f>G53/F53-1</f>
        <v>-3.3951671511627906</v>
      </c>
      <c r="H55" s="195">
        <f>AVERAGE(C55:G55)</f>
        <v>-0.93189367134501144</v>
      </c>
      <c r="I55" s="328">
        <f>MEDIAN(C55:G55)</f>
        <v>-0.2043707631560584</v>
      </c>
      <c r="J55" s="365"/>
      <c r="K55" s="324"/>
      <c r="L55" s="324"/>
      <c r="M55" s="324"/>
      <c r="N55" s="324"/>
      <c r="O55" s="324"/>
      <c r="P55" s="324"/>
      <c r="Q55" s="324"/>
      <c r="R55" s="324"/>
    </row>
    <row r="56" spans="1:18" s="190" customFormat="1">
      <c r="A56" s="324"/>
      <c r="B56" s="208" t="s">
        <v>20</v>
      </c>
      <c r="C56" s="344"/>
      <c r="D56" s="341">
        <f>(D53/$C53)^(1/D$6)-1</f>
        <v>7.633399209486158E-2</v>
      </c>
      <c r="E56" s="341">
        <f>(E53/$C53)^(1/E$6)-1</f>
        <v>-5.3102110759443488E-2</v>
      </c>
      <c r="F56" s="341">
        <f>(F53/$C53)^(1/F$6)-1</f>
        <v>-0.12070222290350241</v>
      </c>
      <c r="G56" s="341" t="e">
        <f>(G53/$C53)^(1/G$6)-1</f>
        <v>#NUM!</v>
      </c>
      <c r="H56" s="342" t="e">
        <f>AVERAGE(C56:G56)</f>
        <v>#NUM!</v>
      </c>
      <c r="I56" s="341" t="e">
        <f>MEDIAN(C56:G56)</f>
        <v>#NUM!</v>
      </c>
      <c r="J56" s="365"/>
      <c r="K56" s="324"/>
      <c r="L56" s="324"/>
      <c r="M56" s="324"/>
      <c r="N56" s="324"/>
      <c r="O56" s="324"/>
      <c r="P56" s="324"/>
      <c r="Q56" s="324"/>
      <c r="R56" s="324"/>
    </row>
    <row r="57" spans="1:18" s="190" customFormat="1">
      <c r="A57" s="324"/>
      <c r="B57" s="302"/>
      <c r="C57" s="291"/>
      <c r="D57" s="291"/>
      <c r="E57" s="291"/>
      <c r="F57" s="291"/>
      <c r="G57" s="291"/>
      <c r="H57" s="192"/>
      <c r="I57" s="291"/>
      <c r="J57" s="324"/>
      <c r="K57" s="324"/>
      <c r="L57" s="324"/>
      <c r="M57" s="324"/>
      <c r="N57" s="324"/>
      <c r="O57" s="324"/>
      <c r="P57" s="324"/>
      <c r="Q57" s="324"/>
      <c r="R57" s="324"/>
    </row>
    <row r="58" spans="1:18" s="190" customFormat="1">
      <c r="A58" s="324"/>
      <c r="B58" s="363" t="str">
        <f>DCF!B24</f>
        <v>Earnings Before Tax (EBT)</v>
      </c>
      <c r="C58" s="363">
        <f>DCF!C24</f>
        <v>208009</v>
      </c>
      <c r="D58" s="363">
        <f>DCF!D24</f>
        <v>209752</v>
      </c>
      <c r="E58" s="363">
        <f>DCF!E24</f>
        <v>239548</v>
      </c>
      <c r="F58" s="363">
        <f>DCF!F24</f>
        <v>255498</v>
      </c>
      <c r="G58" s="363">
        <f>DCF!G24</f>
        <v>274865</v>
      </c>
      <c r="H58" s="197"/>
      <c r="I58" s="355"/>
      <c r="J58" s="324"/>
      <c r="K58" s="324"/>
      <c r="L58" s="324"/>
      <c r="M58" s="324"/>
      <c r="N58" s="324"/>
      <c r="O58" s="324"/>
      <c r="P58" s="324"/>
      <c r="Q58" s="324"/>
      <c r="R58" s="324"/>
    </row>
    <row r="59" spans="1:18" s="190" customFormat="1">
      <c r="A59" s="324"/>
      <c r="B59" s="208" t="s">
        <v>92</v>
      </c>
      <c r="C59" s="341">
        <f>C58/C$9</f>
        <v>0.18357466179155824</v>
      </c>
      <c r="D59" s="341">
        <f>D58/D$9</f>
        <v>0.15784867291733926</v>
      </c>
      <c r="E59" s="341">
        <f>E58/E$9</f>
        <v>0.15609648022468176</v>
      </c>
      <c r="F59" s="341">
        <f>F58/F$9</f>
        <v>0.1427770721138828</v>
      </c>
      <c r="G59" s="341">
        <f>G58/G$9</f>
        <v>0.13393479288383855</v>
      </c>
      <c r="H59" s="342">
        <f>AVERAGE(C59:G59)</f>
        <v>0.15484633598626013</v>
      </c>
      <c r="I59" s="341">
        <f>MEDIAN(C59:G59)</f>
        <v>0.15609648022468176</v>
      </c>
      <c r="J59" s="324"/>
      <c r="K59" s="324"/>
      <c r="L59" s="324"/>
      <c r="M59" s="324"/>
      <c r="N59" s="324"/>
      <c r="O59" s="324"/>
      <c r="P59" s="324"/>
      <c r="Q59" s="324"/>
      <c r="R59" s="324"/>
    </row>
    <row r="60" spans="1:18" s="190" customFormat="1">
      <c r="A60" s="324"/>
      <c r="B60" s="209" t="s">
        <v>94</v>
      </c>
      <c r="C60" s="343"/>
      <c r="D60" s="328">
        <f>D58/C58-1</f>
        <v>8.3794451201630871E-3</v>
      </c>
      <c r="E60" s="328">
        <f>E58/D58-1</f>
        <v>0.14205347267248936</v>
      </c>
      <c r="F60" s="328">
        <f>F58/E58-1</f>
        <v>6.6583732696578579E-2</v>
      </c>
      <c r="G60" s="328">
        <f>G58/F58-1</f>
        <v>7.5800984743520594E-2</v>
      </c>
      <c r="H60" s="195">
        <f>AVERAGE(C60:G60)</f>
        <v>7.3204408808187904E-2</v>
      </c>
      <c r="I60" s="328">
        <f>MEDIAN(C60:G60)</f>
        <v>7.1192358720049587E-2</v>
      </c>
      <c r="J60" s="324"/>
      <c r="K60" s="324"/>
      <c r="L60" s="324"/>
      <c r="M60" s="324"/>
      <c r="N60" s="324"/>
      <c r="O60" s="324"/>
      <c r="P60" s="324"/>
      <c r="Q60" s="324"/>
      <c r="R60" s="324"/>
    </row>
    <row r="61" spans="1:18" s="190" customFormat="1">
      <c r="A61" s="324"/>
      <c r="B61" s="208" t="s">
        <v>20</v>
      </c>
      <c r="C61" s="344"/>
      <c r="D61" s="341">
        <f>(D58/$C58)^(1/D$6)-1</f>
        <v>8.3794451201630871E-3</v>
      </c>
      <c r="E61" s="341">
        <f>(E58/$C58)^(1/E$6)-1</f>
        <v>7.3137105439486705E-2</v>
      </c>
      <c r="F61" s="341">
        <f>(F58/$C58)^(1/F$6)-1</f>
        <v>7.0948186070487917E-2</v>
      </c>
      <c r="G61" s="341">
        <f>(G58/$C58)^(1/G$6)-1</f>
        <v>7.2159329651857007E-2</v>
      </c>
      <c r="H61" s="342">
        <f>AVERAGE(C61:G61)</f>
        <v>5.6156016570498679E-2</v>
      </c>
      <c r="I61" s="341">
        <f>MEDIAN(C61:G61)</f>
        <v>7.1553757861172462E-2</v>
      </c>
      <c r="J61" s="324"/>
      <c r="K61" s="324"/>
      <c r="L61" s="324"/>
      <c r="M61" s="324"/>
      <c r="N61" s="324"/>
      <c r="O61" s="324"/>
      <c r="P61" s="324"/>
      <c r="Q61" s="324"/>
      <c r="R61" s="324"/>
    </row>
    <row r="62" spans="1:18" s="190" customFormat="1">
      <c r="A62" s="324"/>
      <c r="B62" s="302"/>
      <c r="C62" s="291"/>
      <c r="D62" s="291"/>
      <c r="E62" s="291"/>
      <c r="F62" s="291"/>
      <c r="G62" s="291"/>
      <c r="H62" s="192"/>
      <c r="I62" s="291"/>
      <c r="J62" s="324"/>
      <c r="K62" s="324"/>
      <c r="L62" s="324"/>
      <c r="M62" s="324"/>
      <c r="N62" s="324"/>
      <c r="O62" s="324"/>
      <c r="P62" s="324"/>
      <c r="Q62" s="324"/>
      <c r="R62" s="324"/>
    </row>
    <row r="63" spans="1:18" s="190" customFormat="1">
      <c r="A63" s="324"/>
      <c r="B63" s="363" t="str">
        <f>DCF!B33</f>
        <v>Total current assets</v>
      </c>
      <c r="C63" s="363">
        <f>DCF!C14</f>
        <v>545980</v>
      </c>
      <c r="D63" s="363">
        <f>DCF!D14</f>
        <v>664029</v>
      </c>
      <c r="E63" s="363">
        <f>DCF!E14</f>
        <v>752463</v>
      </c>
      <c r="F63" s="363">
        <f>DCF!F14</f>
        <v>898440</v>
      </c>
      <c r="G63" s="363">
        <f>DCF!G14</f>
        <v>1041231</v>
      </c>
      <c r="H63" s="197"/>
      <c r="I63" s="355"/>
      <c r="J63" s="324"/>
      <c r="K63" s="324"/>
      <c r="L63" s="324"/>
      <c r="M63" s="324"/>
      <c r="N63" s="324"/>
      <c r="O63" s="324"/>
      <c r="P63" s="324"/>
      <c r="Q63" s="324"/>
      <c r="R63" s="324"/>
    </row>
    <row r="64" spans="1:18" s="190" customFormat="1">
      <c r="A64" s="324"/>
      <c r="B64" s="208" t="s">
        <v>92</v>
      </c>
      <c r="C64" s="341">
        <f>C63/C$9</f>
        <v>0.4818449867311268</v>
      </c>
      <c r="D64" s="341">
        <f>D63/D$9</f>
        <v>0.49971440762723535</v>
      </c>
      <c r="E64" s="341">
        <f>E63/E$9</f>
        <v>0.49032688980623806</v>
      </c>
      <c r="F64" s="341">
        <f>F63/F$9</f>
        <v>0.50206511467798909</v>
      </c>
      <c r="G64" s="341">
        <f>G63/G$9</f>
        <v>0.50736564615077262</v>
      </c>
      <c r="H64" s="342">
        <f>AVERAGE(C64:G64)</f>
        <v>0.49626340899867244</v>
      </c>
      <c r="I64" s="341">
        <f>MEDIAN(C64:G64)</f>
        <v>0.49971440762723535</v>
      </c>
      <c r="J64" s="324"/>
      <c r="K64" s="324"/>
      <c r="L64" s="324"/>
      <c r="M64" s="324"/>
      <c r="N64" s="324"/>
      <c r="O64" s="324"/>
      <c r="P64" s="324"/>
      <c r="Q64" s="324"/>
      <c r="R64" s="324"/>
    </row>
    <row r="65" spans="1:18" s="190" customFormat="1">
      <c r="A65" s="324"/>
      <c r="B65" s="209" t="s">
        <v>94</v>
      </c>
      <c r="C65" s="343"/>
      <c r="D65" s="328">
        <f>D63/C63-1</f>
        <v>0.21621487966592179</v>
      </c>
      <c r="E65" s="328">
        <f>E63/D63-1</f>
        <v>0.13317791843428517</v>
      </c>
      <c r="F65" s="328">
        <f>F63/E63-1</f>
        <v>0.19399890758748262</v>
      </c>
      <c r="G65" s="328">
        <f>G63/F63-1</f>
        <v>0.15893214905836794</v>
      </c>
      <c r="H65" s="195">
        <f>AVERAGE(C65:G65)</f>
        <v>0.17558096368651438</v>
      </c>
      <c r="I65" s="328">
        <f>MEDIAN(C65:G65)</f>
        <v>0.17646552832292528</v>
      </c>
      <c r="J65" s="324"/>
      <c r="K65" s="324"/>
      <c r="L65" s="324"/>
      <c r="M65" s="324"/>
      <c r="N65" s="324"/>
      <c r="O65" s="324"/>
      <c r="P65" s="324"/>
      <c r="Q65" s="324"/>
      <c r="R65" s="324"/>
    </row>
    <row r="66" spans="1:18" s="190" customFormat="1">
      <c r="A66" s="324"/>
      <c r="B66" s="208" t="s">
        <v>20</v>
      </c>
      <c r="C66" s="344"/>
      <c r="D66" s="341">
        <f>(D63/$C63)^(1/D$6)-1</f>
        <v>0.21621487966592179</v>
      </c>
      <c r="E66" s="341">
        <f>(E63/$C63)^(1/E$6)-1</f>
        <v>0.1739624549825407</v>
      </c>
      <c r="F66" s="341">
        <f>(F63/$C63)^(1/F$6)-1</f>
        <v>0.18060363212930253</v>
      </c>
      <c r="G66" s="341">
        <f>(G63/$C63)^(1/G$6)-1</f>
        <v>0.17514806243985714</v>
      </c>
      <c r="H66" s="342">
        <f>AVERAGE(C66:G66)</f>
        <v>0.18648225730440554</v>
      </c>
      <c r="I66" s="341">
        <f>MEDIAN(C66:G66)</f>
        <v>0.17787584728457984</v>
      </c>
      <c r="J66" s="324"/>
      <c r="K66" s="324"/>
      <c r="L66" s="324"/>
      <c r="M66" s="324"/>
      <c r="N66" s="324"/>
      <c r="O66" s="324"/>
      <c r="P66" s="324"/>
      <c r="Q66" s="324"/>
      <c r="R66" s="324"/>
    </row>
    <row r="67" spans="1:18" s="190" customFormat="1">
      <c r="A67" s="324"/>
      <c r="B67" s="302"/>
      <c r="C67" s="291"/>
      <c r="D67" s="291"/>
      <c r="E67" s="291"/>
      <c r="F67" s="291"/>
      <c r="G67" s="291"/>
      <c r="H67" s="192"/>
      <c r="I67" s="291"/>
      <c r="J67" s="324"/>
      <c r="K67" s="324"/>
      <c r="L67" s="324"/>
      <c r="M67" s="324"/>
      <c r="N67" s="324"/>
      <c r="O67" s="324"/>
      <c r="P67" s="324"/>
      <c r="Q67" s="324"/>
      <c r="R67" s="324"/>
    </row>
    <row r="68" spans="1:18" s="190" customFormat="1">
      <c r="A68" s="324"/>
      <c r="B68" s="363" t="str">
        <f>DCF!B34</f>
        <v>Total current liabilities</v>
      </c>
      <c r="C68" s="363">
        <f>BS!C35</f>
        <v>826305</v>
      </c>
      <c r="D68" s="363">
        <f>BS!D35</f>
        <v>985712</v>
      </c>
      <c r="E68" s="363">
        <f>BS!E35</f>
        <v>1148086</v>
      </c>
      <c r="F68" s="363">
        <f>BS!F35</f>
        <v>1334692</v>
      </c>
      <c r="G68" s="363">
        <f>BS!G35</f>
        <v>1559177</v>
      </c>
      <c r="H68" s="197"/>
      <c r="I68" s="355"/>
      <c r="J68" s="324"/>
      <c r="K68" s="324"/>
      <c r="L68" s="324"/>
      <c r="M68" s="324"/>
      <c r="N68" s="324"/>
      <c r="O68" s="324"/>
      <c r="P68" s="324"/>
      <c r="Q68" s="324"/>
      <c r="R68" s="324"/>
    </row>
    <row r="69" spans="1:18" s="190" customFormat="1">
      <c r="A69" s="324"/>
      <c r="B69" s="208" t="s">
        <v>92</v>
      </c>
      <c r="C69" s="341">
        <f>C68/C$9</f>
        <v>0.72924085453837828</v>
      </c>
      <c r="D69" s="341">
        <f>D68/D$9</f>
        <v>0.74179665070510081</v>
      </c>
      <c r="E69" s="341">
        <f>E68/E$9</f>
        <v>0.74812640303919875</v>
      </c>
      <c r="F69" s="341">
        <f>F68/F$9</f>
        <v>0.74585091051132479</v>
      </c>
      <c r="G69" s="341">
        <f>G68/G$9</f>
        <v>0.75974768909917501</v>
      </c>
      <c r="H69" s="342">
        <f>AVERAGE(C69:G69)</f>
        <v>0.74495250157863546</v>
      </c>
      <c r="I69" s="341">
        <f>MEDIAN(C69:G69)</f>
        <v>0.74585091051132479</v>
      </c>
      <c r="J69" s="324"/>
      <c r="K69" s="324"/>
      <c r="L69" s="324"/>
      <c r="M69" s="324"/>
      <c r="N69" s="324"/>
      <c r="O69" s="324"/>
      <c r="P69" s="324"/>
      <c r="Q69" s="324"/>
      <c r="R69" s="324"/>
    </row>
    <row r="70" spans="1:18" s="190" customFormat="1">
      <c r="A70" s="324"/>
      <c r="B70" s="209" t="s">
        <v>94</v>
      </c>
      <c r="C70" s="343"/>
      <c r="D70" s="328">
        <f>D68/C68-1</f>
        <v>0.19291544889598877</v>
      </c>
      <c r="E70" s="328">
        <f>E68/D68-1</f>
        <v>0.16472762835392074</v>
      </c>
      <c r="F70" s="328">
        <f>F68/E68-1</f>
        <v>0.16253660440071571</v>
      </c>
      <c r="G70" s="328">
        <f>G68/F68-1</f>
        <v>0.16819236198313914</v>
      </c>
      <c r="H70" s="195">
        <f>AVERAGE(C70:G70)</f>
        <v>0.17209301090844109</v>
      </c>
      <c r="I70" s="328">
        <f>MEDIAN(C70:G70)</f>
        <v>0.16645999516852994</v>
      </c>
      <c r="J70" s="324"/>
      <c r="K70" s="324"/>
      <c r="L70" s="324"/>
      <c r="M70" s="324"/>
      <c r="N70" s="324"/>
      <c r="O70" s="324"/>
      <c r="P70" s="324"/>
      <c r="Q70" s="324"/>
      <c r="R70" s="324"/>
    </row>
    <row r="71" spans="1:18" s="190" customFormat="1">
      <c r="A71" s="324"/>
      <c r="B71" s="208" t="s">
        <v>20</v>
      </c>
      <c r="C71" s="344"/>
      <c r="D71" s="341">
        <f>(D68/$C68)^(1/D$6)-1</f>
        <v>0.19291544889598877</v>
      </c>
      <c r="E71" s="341">
        <f>(E68/$C68)^(1/E$6)-1</f>
        <v>0.17873728269677547</v>
      </c>
      <c r="F71" s="341">
        <f>(F68/$C68)^(1/F$6)-1</f>
        <v>0.17331212553293374</v>
      </c>
      <c r="G71" s="341">
        <f>(G68/$C68)^(1/G$6)-1</f>
        <v>0.17203008490856009</v>
      </c>
      <c r="H71" s="342">
        <f>AVERAGE(C71:G71)</f>
        <v>0.17924873550856452</v>
      </c>
      <c r="I71" s="341">
        <f>MEDIAN(C71:G71)</f>
        <v>0.1760247041148546</v>
      </c>
      <c r="J71" s="324"/>
      <c r="K71" s="324"/>
      <c r="L71" s="324"/>
      <c r="M71" s="324"/>
      <c r="N71" s="324"/>
      <c r="O71" s="324"/>
      <c r="P71" s="324"/>
      <c r="Q71" s="324"/>
      <c r="R71" s="324"/>
    </row>
    <row r="72" spans="1:18" s="190" customFormat="1">
      <c r="A72" s="324"/>
      <c r="B72" s="302"/>
      <c r="C72" s="291"/>
      <c r="D72" s="291"/>
      <c r="E72" s="291"/>
      <c r="F72" s="291"/>
      <c r="G72" s="291"/>
      <c r="H72" s="192"/>
      <c r="I72" s="291"/>
      <c r="J72" s="324"/>
      <c r="K72" s="324"/>
      <c r="L72" s="324"/>
      <c r="M72" s="324"/>
      <c r="N72" s="324"/>
      <c r="O72" s="324"/>
      <c r="P72" s="324"/>
      <c r="Q72" s="324"/>
      <c r="R72" s="324"/>
    </row>
    <row r="73" spans="1:18">
      <c r="A73" s="324"/>
      <c r="B73" s="363" t="str">
        <f>DCF!B35</f>
        <v>Cash and cash equivalents</v>
      </c>
      <c r="C73" s="363">
        <f>DCF!C35</f>
        <v>549217</v>
      </c>
      <c r="D73" s="363">
        <f>DCF!D35</f>
        <v>487084</v>
      </c>
      <c r="E73" s="363">
        <f>DCF!E35</f>
        <v>646742</v>
      </c>
      <c r="F73" s="363">
        <f>DCF!F35</f>
        <v>1047473</v>
      </c>
      <c r="G73" s="363">
        <f>DCF!G35</f>
        <v>927778</v>
      </c>
      <c r="H73" s="197"/>
      <c r="I73" s="355"/>
      <c r="J73" s="324"/>
      <c r="K73" s="324"/>
      <c r="L73" s="324"/>
      <c r="M73" s="324"/>
      <c r="N73" s="324"/>
      <c r="O73" s="324"/>
      <c r="P73" s="324"/>
      <c r="Q73" s="324"/>
      <c r="R73" s="324"/>
    </row>
    <row r="74" spans="1:18">
      <c r="A74" s="324"/>
      <c r="B74" s="208" t="s">
        <v>92</v>
      </c>
      <c r="C74" s="341">
        <f>C73/C$9</f>
        <v>0.48470174379557729</v>
      </c>
      <c r="D74" s="341">
        <f>D73/D$9</f>
        <v>0.36655461210986917</v>
      </c>
      <c r="E74" s="341">
        <f>E73/E$9</f>
        <v>0.42143599534736725</v>
      </c>
      <c r="F74" s="341">
        <f>F73/F$9</f>
        <v>0.58534754893715468</v>
      </c>
      <c r="G74" s="341">
        <f>G73/G$9</f>
        <v>0.45208285621007394</v>
      </c>
      <c r="H74" s="342">
        <f>AVERAGE(C74:G74)</f>
        <v>0.46202455128000847</v>
      </c>
      <c r="I74" s="341">
        <f>MEDIAN(C74:G74)</f>
        <v>0.45208285621007394</v>
      </c>
      <c r="J74" s="324"/>
      <c r="K74" s="324"/>
      <c r="L74" s="324"/>
      <c r="M74" s="324"/>
      <c r="N74" s="324"/>
      <c r="O74" s="324"/>
      <c r="P74" s="324"/>
      <c r="Q74" s="324"/>
      <c r="R74" s="324"/>
    </row>
    <row r="75" spans="1:18">
      <c r="A75" s="324"/>
      <c r="B75" s="209" t="s">
        <v>200</v>
      </c>
      <c r="C75" s="328">
        <f>C73/C63</f>
        <v>1.005928788600315</v>
      </c>
      <c r="D75" s="328">
        <f>D73/D63</f>
        <v>0.73352820434047306</v>
      </c>
      <c r="E75" s="328">
        <f>E73/E63</f>
        <v>0.85950006844190341</v>
      </c>
      <c r="F75" s="328">
        <f>F73/F63</f>
        <v>1.1658797471172253</v>
      </c>
      <c r="G75" s="328">
        <f>G73/G63</f>
        <v>0.89103954838071475</v>
      </c>
      <c r="H75" s="195">
        <f>AVERAGE(C75:G75)</f>
        <v>0.93117527137612621</v>
      </c>
      <c r="I75" s="328">
        <f>MEDIAN(C75:G75)</f>
        <v>0.89103954838071475</v>
      </c>
      <c r="J75" s="324"/>
      <c r="K75" s="324"/>
      <c r="L75" s="324"/>
      <c r="M75" s="324"/>
      <c r="N75" s="324"/>
      <c r="O75" s="324"/>
      <c r="P75" s="324"/>
      <c r="Q75" s="324"/>
      <c r="R75" s="324"/>
    </row>
    <row r="76" spans="1:18">
      <c r="A76" s="324"/>
      <c r="B76" s="208" t="s">
        <v>94</v>
      </c>
      <c r="C76" s="344"/>
      <c r="D76" s="341">
        <f>D73/C73-1</f>
        <v>-0.11313014710032643</v>
      </c>
      <c r="E76" s="341">
        <f>E73/D73-1</f>
        <v>0.32778329815801799</v>
      </c>
      <c r="F76" s="341">
        <f>F73/E73-1</f>
        <v>0.61961493145643853</v>
      </c>
      <c r="G76" s="341">
        <f>G73/F73-1</f>
        <v>-0.1142702484932786</v>
      </c>
      <c r="H76" s="342">
        <f>AVERAGE(C76:G76)</f>
        <v>0.17999945850521287</v>
      </c>
      <c r="I76" s="341">
        <f>MEDIAN(C76:G76)</f>
        <v>0.10732657552884578</v>
      </c>
      <c r="J76" s="324"/>
      <c r="K76" s="324"/>
      <c r="L76" s="324"/>
      <c r="M76" s="324"/>
      <c r="N76" s="324"/>
      <c r="O76" s="324"/>
      <c r="P76" s="324"/>
      <c r="Q76" s="324"/>
      <c r="R76" s="324"/>
    </row>
    <row r="77" spans="1:18">
      <c r="A77" s="324"/>
      <c r="B77" s="209" t="s">
        <v>20</v>
      </c>
      <c r="C77" s="343"/>
      <c r="D77" s="328">
        <f>(D73/$C73)^(1/D$6)-1</f>
        <v>-0.11313014710032643</v>
      </c>
      <c r="E77" s="328">
        <f>(E73/$C73)^(1/E$6)-1</f>
        <v>8.5159425301206459E-2</v>
      </c>
      <c r="F77" s="328">
        <f>(F73/$C73)^(1/F$6)-1</f>
        <v>0.2401273584364827</v>
      </c>
      <c r="G77" s="328">
        <f>(G73/$C73)^(1/G$6)-1</f>
        <v>0.14005295504902926</v>
      </c>
      <c r="H77" s="195">
        <f>AVERAGE(C77:G77)</f>
        <v>8.8052397921597997E-2</v>
      </c>
      <c r="I77" s="328">
        <f>MEDIAN(C77:G77)</f>
        <v>0.11260619017511786</v>
      </c>
      <c r="J77" s="365"/>
      <c r="K77" s="324"/>
      <c r="L77" s="324"/>
      <c r="M77" s="324"/>
      <c r="N77" s="324"/>
      <c r="O77" s="324"/>
      <c r="P77" s="324"/>
      <c r="Q77" s="324"/>
      <c r="R77" s="324"/>
    </row>
    <row r="78" spans="1:18">
      <c r="A78" s="324"/>
      <c r="B78" s="302"/>
      <c r="C78" s="291"/>
      <c r="D78" s="291"/>
      <c r="E78" s="291"/>
      <c r="F78" s="291"/>
      <c r="G78" s="291"/>
      <c r="H78" s="192"/>
      <c r="I78" s="291"/>
      <c r="J78" s="365"/>
      <c r="K78" s="324"/>
      <c r="L78" s="324"/>
      <c r="M78" s="324"/>
      <c r="N78" s="324"/>
      <c r="O78" s="324"/>
      <c r="P78" s="324"/>
      <c r="Q78" s="324"/>
      <c r="R78" s="324"/>
    </row>
    <row r="79" spans="1:18">
      <c r="A79" s="369">
        <f>DCF!A36</f>
        <v>0</v>
      </c>
      <c r="B79" s="363" t="str">
        <f>DCF!B36</f>
        <v>Short-term Debt</v>
      </c>
      <c r="C79" s="363">
        <f>DCF!C36</f>
        <v>0</v>
      </c>
      <c r="D79" s="363">
        <f>DCF!D36</f>
        <v>0</v>
      </c>
      <c r="E79" s="363">
        <f>DCF!E36</f>
        <v>0</v>
      </c>
      <c r="F79" s="363">
        <f>DCF!F36</f>
        <v>0</v>
      </c>
      <c r="G79" s="363">
        <f>DCF!G36</f>
        <v>0</v>
      </c>
      <c r="H79" s="197"/>
      <c r="I79" s="355"/>
      <c r="J79" s="365"/>
      <c r="K79" s="223"/>
      <c r="L79" s="324"/>
      <c r="M79" s="324"/>
      <c r="N79" s="324"/>
      <c r="O79" s="324"/>
      <c r="P79" s="324"/>
      <c r="Q79" s="324"/>
      <c r="R79" s="324"/>
    </row>
    <row r="80" spans="1:18">
      <c r="A80" s="324"/>
      <c r="B80" s="208" t="s">
        <v>92</v>
      </c>
      <c r="C80" s="341">
        <f>C79/C$9</f>
        <v>0</v>
      </c>
      <c r="D80" s="341">
        <f>D79/D$9</f>
        <v>0</v>
      </c>
      <c r="E80" s="341">
        <f>E79/E$9</f>
        <v>0</v>
      </c>
      <c r="F80" s="341">
        <f>F79/F$9</f>
        <v>0</v>
      </c>
      <c r="G80" s="341">
        <f>G79/G$9</f>
        <v>0</v>
      </c>
      <c r="H80" s="342">
        <f>AVERAGE(C80:G80)</f>
        <v>0</v>
      </c>
      <c r="I80" s="341">
        <f>MEDIAN(C80:G80)</f>
        <v>0</v>
      </c>
      <c r="J80" s="365"/>
      <c r="K80" s="324"/>
      <c r="L80" s="324"/>
      <c r="M80" s="324"/>
      <c r="N80" s="324"/>
      <c r="O80" s="324"/>
      <c r="P80" s="324"/>
      <c r="Q80" s="324"/>
      <c r="R80" s="324"/>
    </row>
    <row r="81" spans="1:18">
      <c r="A81" s="324"/>
      <c r="B81" s="209" t="s">
        <v>199</v>
      </c>
      <c r="C81" s="328">
        <f>C79/C68</f>
        <v>0</v>
      </c>
      <c r="D81" s="328">
        <f>D79/D68</f>
        <v>0</v>
      </c>
      <c r="E81" s="328">
        <f>E79/E68</f>
        <v>0</v>
      </c>
      <c r="F81" s="328">
        <f>F79/F68</f>
        <v>0</v>
      </c>
      <c r="G81" s="328">
        <f>G79/G68</f>
        <v>0</v>
      </c>
      <c r="H81" s="195">
        <f>AVERAGE(C81:G81)</f>
        <v>0</v>
      </c>
      <c r="I81" s="328">
        <f>MEDIAN(C81:G81)</f>
        <v>0</v>
      </c>
      <c r="J81" s="365"/>
      <c r="K81" s="324"/>
      <c r="L81" s="324"/>
      <c r="M81" s="324"/>
      <c r="N81" s="324"/>
      <c r="O81" s="324"/>
      <c r="P81" s="324"/>
      <c r="Q81" s="324"/>
      <c r="R81" s="324"/>
    </row>
    <row r="82" spans="1:18">
      <c r="A82" s="324"/>
      <c r="B82" s="208" t="s">
        <v>94</v>
      </c>
      <c r="C82" s="344"/>
      <c r="D82" s="341" t="e">
        <f>D79/C79-1</f>
        <v>#DIV/0!</v>
      </c>
      <c r="E82" s="341" t="e">
        <f>E79/D79-1</f>
        <v>#DIV/0!</v>
      </c>
      <c r="F82" s="341" t="e">
        <f>F79/E79-1</f>
        <v>#DIV/0!</v>
      </c>
      <c r="G82" s="341" t="e">
        <f>G79/F79-1</f>
        <v>#DIV/0!</v>
      </c>
      <c r="H82" s="342" t="e">
        <f>AVERAGE(C82:G82)</f>
        <v>#DIV/0!</v>
      </c>
      <c r="I82" s="341" t="e">
        <f>MEDIAN(C82:G82)</f>
        <v>#DIV/0!</v>
      </c>
      <c r="J82" s="365"/>
      <c r="K82" s="324"/>
      <c r="L82" s="324"/>
      <c r="M82" s="324"/>
      <c r="N82" s="324"/>
      <c r="O82" s="324"/>
      <c r="P82" s="324"/>
      <c r="Q82" s="324"/>
      <c r="R82" s="324"/>
    </row>
    <row r="83" spans="1:18">
      <c r="A83" s="324"/>
      <c r="B83" s="209" t="s">
        <v>20</v>
      </c>
      <c r="C83" s="343"/>
      <c r="D83" s="328" t="e">
        <f>(D79/$C79)^(1/D$6)-1</f>
        <v>#DIV/0!</v>
      </c>
      <c r="E83" s="328" t="e">
        <f>(E79/$C79)^(1/E$6)-1</f>
        <v>#DIV/0!</v>
      </c>
      <c r="F83" s="328" t="e">
        <f>(F79/$C79)^(1/F$6)-1</f>
        <v>#DIV/0!</v>
      </c>
      <c r="G83" s="328" t="e">
        <f>(G79/$C79)^(1/G$6)-1</f>
        <v>#DIV/0!</v>
      </c>
      <c r="H83" s="195" t="e">
        <f>AVERAGE(C83:G83)</f>
        <v>#DIV/0!</v>
      </c>
      <c r="I83" s="328" t="e">
        <f>MEDIAN(C83:G83)</f>
        <v>#DIV/0!</v>
      </c>
      <c r="J83" s="365"/>
      <c r="K83" s="324"/>
      <c r="L83" s="324"/>
      <c r="M83" s="324"/>
      <c r="N83" s="324"/>
      <c r="O83" s="324"/>
      <c r="P83" s="324"/>
      <c r="Q83" s="324"/>
      <c r="R83" s="324"/>
    </row>
    <row r="84" spans="1:18" s="231" customFormat="1">
      <c r="A84" s="324"/>
      <c r="B84" s="302"/>
      <c r="C84" s="343"/>
      <c r="D84" s="343"/>
      <c r="E84" s="343"/>
      <c r="F84" s="343"/>
      <c r="G84" s="343"/>
      <c r="H84" s="370"/>
      <c r="I84" s="343"/>
      <c r="J84" s="365"/>
      <c r="K84" s="223"/>
      <c r="L84" s="324"/>
      <c r="M84" s="324"/>
      <c r="N84" s="324"/>
      <c r="O84" s="324"/>
      <c r="P84" s="324"/>
      <c r="Q84" s="324"/>
      <c r="R84" s="324"/>
    </row>
    <row r="85" spans="1:18" s="231" customFormat="1">
      <c r="A85" s="369">
        <f>DCF!A42</f>
        <v>0</v>
      </c>
      <c r="B85" s="363" t="str">
        <f>DCF!B26</f>
        <v>Provision for income taxes</v>
      </c>
      <c r="C85" s="363">
        <f>DCF!C26</f>
        <v>61383</v>
      </c>
      <c r="D85" s="363">
        <f>DCF!D26</f>
        <v>59548</v>
      </c>
      <c r="E85" s="363">
        <f>DCF!E26</f>
        <v>61256</v>
      </c>
      <c r="F85" s="363">
        <f>DCF!F26</f>
        <v>75297</v>
      </c>
      <c r="G85" s="363">
        <f>DCF!G26</f>
        <v>75500</v>
      </c>
      <c r="H85" s="197"/>
      <c r="I85" s="355"/>
      <c r="J85" s="365"/>
      <c r="K85" s="223"/>
      <c r="L85" s="324"/>
      <c r="M85" s="324"/>
      <c r="N85" s="324"/>
      <c r="O85" s="324"/>
      <c r="P85" s="324"/>
      <c r="Q85" s="324"/>
      <c r="R85" s="324"/>
    </row>
    <row r="86" spans="1:18" s="231" customFormat="1">
      <c r="A86" s="324"/>
      <c r="B86" s="208" t="s">
        <v>92</v>
      </c>
      <c r="C86" s="341">
        <f>C85/C$9</f>
        <v>5.4172480348211947E-2</v>
      </c>
      <c r="D86" s="341">
        <f>D85/D$9</f>
        <v>4.4812792130142824E-2</v>
      </c>
      <c r="E86" s="341">
        <f>E85/E$9</f>
        <v>3.9916200480250748E-2</v>
      </c>
      <c r="F86" s="341">
        <f>F85/F$9</f>
        <v>4.2077375161289059E-2</v>
      </c>
      <c r="G86" s="341">
        <f>G85/G$9</f>
        <v>3.6789248768412899E-2</v>
      </c>
      <c r="H86" s="342">
        <f>AVERAGE(C86:G86)</f>
        <v>4.3553619377661501E-2</v>
      </c>
      <c r="I86" s="341">
        <f>MEDIAN(C86:G86)</f>
        <v>4.2077375161289059E-2</v>
      </c>
      <c r="J86" s="365"/>
      <c r="K86" s="324"/>
      <c r="L86" s="324"/>
      <c r="M86" s="324"/>
      <c r="N86" s="324"/>
      <c r="O86" s="324"/>
      <c r="P86" s="324"/>
      <c r="Q86" s="324"/>
      <c r="R86" s="324"/>
    </row>
    <row r="87" spans="1:18" s="231" customFormat="1">
      <c r="A87" s="324"/>
      <c r="B87" s="209" t="s">
        <v>376</v>
      </c>
      <c r="C87" s="328">
        <f>C85/C58</f>
        <v>0.29509780826791149</v>
      </c>
      <c r="D87" s="328">
        <f t="shared" ref="D87:G87" si="0">D85/D58</f>
        <v>0.28389717380525575</v>
      </c>
      <c r="E87" s="328">
        <f t="shared" si="0"/>
        <v>0.25571492978442734</v>
      </c>
      <c r="F87" s="328">
        <f t="shared" si="0"/>
        <v>0.29470680788107928</v>
      </c>
      <c r="G87" s="328">
        <f t="shared" si="0"/>
        <v>0.27468029760064033</v>
      </c>
      <c r="H87" s="195">
        <f>AVERAGE(C87:G87)</f>
        <v>0.28081940346786288</v>
      </c>
      <c r="I87" s="328">
        <f>MEDIAN(C87:G87)</f>
        <v>0.28389717380525575</v>
      </c>
      <c r="J87" s="365"/>
      <c r="K87" s="324"/>
      <c r="L87" s="324"/>
      <c r="M87" s="324"/>
      <c r="N87" s="324"/>
      <c r="O87" s="324"/>
      <c r="P87" s="324"/>
      <c r="Q87" s="324"/>
      <c r="R87" s="324"/>
    </row>
    <row r="88" spans="1:18" s="231" customFormat="1">
      <c r="A88" s="324"/>
      <c r="B88" s="208" t="s">
        <v>94</v>
      </c>
      <c r="C88" s="344"/>
      <c r="D88" s="341">
        <f>D85/C85-1</f>
        <v>-2.9894270400599554E-2</v>
      </c>
      <c r="E88" s="341">
        <f>E85/D85-1</f>
        <v>2.8682743333109384E-2</v>
      </c>
      <c r="F88" s="341">
        <f>F85/E85-1</f>
        <v>0.22921836228287851</v>
      </c>
      <c r="G88" s="341">
        <f>G85/F85-1</f>
        <v>2.6959905441119592E-3</v>
      </c>
      <c r="H88" s="342">
        <f>AVERAGE(C88:G88)</f>
        <v>5.7675706439875074E-2</v>
      </c>
      <c r="I88" s="341">
        <f>MEDIAN(C88:G88)</f>
        <v>1.5689366938610672E-2</v>
      </c>
      <c r="J88" s="365"/>
      <c r="K88" s="324"/>
      <c r="L88" s="324"/>
      <c r="M88" s="324"/>
      <c r="N88" s="324"/>
      <c r="O88" s="324"/>
      <c r="P88" s="324"/>
      <c r="Q88" s="324"/>
      <c r="R88" s="324"/>
    </row>
    <row r="89" spans="1:18" s="231" customFormat="1">
      <c r="A89" s="324"/>
      <c r="B89" s="209" t="s">
        <v>20</v>
      </c>
      <c r="C89" s="343"/>
      <c r="D89" s="328">
        <f>(D85/$C85)^(1/D$6)-1</f>
        <v>-2.9894270400599554E-2</v>
      </c>
      <c r="E89" s="328">
        <f>(E85/$C85)^(1/E$6)-1</f>
        <v>-1.0350240136148825E-3</v>
      </c>
      <c r="F89" s="328">
        <f>(F85/$C85)^(1/F$6)-1</f>
        <v>7.0474979988109476E-2</v>
      </c>
      <c r="G89" s="328">
        <f>(G85/$C85)^(1/G$6)-1</f>
        <v>5.3112361040410283E-2</v>
      </c>
      <c r="H89" s="195">
        <f>AVERAGE(C89:G89)</f>
        <v>2.3164511653576331E-2</v>
      </c>
      <c r="I89" s="328">
        <f>MEDIAN(C89:G89)</f>
        <v>2.60386685133977E-2</v>
      </c>
      <c r="J89" s="365"/>
      <c r="K89" s="324"/>
      <c r="L89" s="324"/>
      <c r="M89" s="324"/>
      <c r="N89" s="324"/>
      <c r="O89" s="324"/>
      <c r="P89" s="324"/>
      <c r="Q89" s="324"/>
      <c r="R89" s="324"/>
    </row>
    <row r="90" spans="1:18" s="190" customFormat="1">
      <c r="A90" s="324"/>
      <c r="B90" s="302"/>
      <c r="C90" s="343"/>
      <c r="D90" s="343"/>
      <c r="E90" s="343"/>
      <c r="F90" s="343"/>
      <c r="G90" s="343"/>
      <c r="H90" s="370"/>
      <c r="I90" s="343"/>
      <c r="J90" s="324"/>
      <c r="K90" s="223"/>
      <c r="L90" s="324"/>
      <c r="M90" s="324"/>
      <c r="N90" s="324"/>
      <c r="O90" s="324"/>
      <c r="P90" s="324"/>
      <c r="Q90" s="324"/>
      <c r="R90" s="324"/>
    </row>
    <row r="91" spans="1:18" s="190" customFormat="1">
      <c r="A91" s="324"/>
      <c r="B91" s="363" t="str">
        <f>DCF!B39</f>
        <v>Net Working Capital</v>
      </c>
      <c r="C91" s="363">
        <f>DCF!C39</f>
        <v>-154167</v>
      </c>
      <c r="D91" s="363">
        <f>DCF!D39</f>
        <v>-104047</v>
      </c>
      <c r="E91" s="363">
        <f>DCF!E39</f>
        <v>-223646</v>
      </c>
      <c r="F91" s="363">
        <f>DCF!F39</f>
        <v>-411926</v>
      </c>
      <c r="G91" s="363">
        <f>DCF!G39</f>
        <v>-614522</v>
      </c>
      <c r="H91" s="197"/>
      <c r="I91" s="355"/>
      <c r="J91" s="324"/>
      <c r="K91" s="324"/>
      <c r="L91" s="324"/>
      <c r="M91" s="324"/>
      <c r="N91" s="324"/>
      <c r="O91" s="324"/>
      <c r="P91" s="324"/>
      <c r="Q91" s="324"/>
      <c r="R91" s="324"/>
    </row>
    <row r="92" spans="1:18" s="190" customFormat="1">
      <c r="A92" s="324"/>
      <c r="B92" s="208" t="s">
        <v>92</v>
      </c>
      <c r="C92" s="341">
        <f>C91/C$9</f>
        <v>-0.13605735753942932</v>
      </c>
      <c r="D92" s="341">
        <f>D91/D$9</f>
        <v>-7.8300473278111279E-2</v>
      </c>
      <c r="E92" s="341">
        <f>E91/E$9</f>
        <v>-0.14573427211385265</v>
      </c>
      <c r="F92" s="341">
        <f>F91/F$9</f>
        <v>-0.23019197100401287</v>
      </c>
      <c r="G92" s="341">
        <f>G91/G$9</f>
        <v>-0.299441095783611</v>
      </c>
      <c r="H92" s="342">
        <f>AVERAGE(C92:G92)</f>
        <v>-0.17794503394380343</v>
      </c>
      <c r="I92" s="341">
        <f>MEDIAN(C92:G92)</f>
        <v>-0.14573427211385265</v>
      </c>
      <c r="J92" s="324"/>
      <c r="K92" s="324"/>
      <c r="L92" s="324"/>
      <c r="M92" s="324"/>
      <c r="N92" s="324"/>
      <c r="O92" s="324"/>
      <c r="P92" s="324"/>
      <c r="Q92" s="324"/>
      <c r="R92" s="324"/>
    </row>
    <row r="93" spans="1:18" s="190" customFormat="1">
      <c r="A93" s="324"/>
      <c r="B93" s="209" t="s">
        <v>94</v>
      </c>
      <c r="C93" s="343"/>
      <c r="D93" s="328">
        <f>D91/C91-1</f>
        <v>-0.32510199977945997</v>
      </c>
      <c r="E93" s="328">
        <f>E91/D91-1</f>
        <v>1.1494709121839168</v>
      </c>
      <c r="F93" s="328">
        <f>F91/E91-1</f>
        <v>0.84186616349051624</v>
      </c>
      <c r="G93" s="328">
        <f>G91/F91-1</f>
        <v>0.49182620179352599</v>
      </c>
      <c r="H93" s="195">
        <f>AVERAGE(C93:G93)</f>
        <v>0.53951531942212472</v>
      </c>
      <c r="I93" s="328">
        <f>MEDIAN(C93:G93)</f>
        <v>0.66684618264202111</v>
      </c>
      <c r="J93" s="324"/>
      <c r="K93" s="324"/>
      <c r="L93" s="324"/>
      <c r="M93" s="324"/>
      <c r="N93" s="324"/>
      <c r="O93" s="324"/>
      <c r="P93" s="324"/>
      <c r="Q93" s="324"/>
      <c r="R93" s="324"/>
    </row>
    <row r="94" spans="1:18" s="190" customFormat="1">
      <c r="A94" s="324"/>
      <c r="B94" s="208" t="s">
        <v>20</v>
      </c>
      <c r="C94" s="344"/>
      <c r="D94" s="341">
        <f>(D91/$C91)^(1/D$6)-1</f>
        <v>-0.32510199977945997</v>
      </c>
      <c r="E94" s="341">
        <f>(E91/$C91)^(1/E$6)-1</f>
        <v>0.20443913095064525</v>
      </c>
      <c r="F94" s="341">
        <f>(F91/$C91)^(1/F$6)-1</f>
        <v>0.38763718021437765</v>
      </c>
      <c r="G94" s="341">
        <f>(G91/$C91)^(1/G$6)-1</f>
        <v>0.41298159034642934</v>
      </c>
      <c r="H94" s="342">
        <f>AVERAGE(C94:G94)</f>
        <v>0.16998897543299807</v>
      </c>
      <c r="I94" s="341">
        <f>MEDIAN(C94:G94)</f>
        <v>0.29603815558251145</v>
      </c>
      <c r="J94" s="324"/>
      <c r="K94" s="324"/>
      <c r="L94" s="324"/>
      <c r="M94" s="324"/>
      <c r="N94" s="324"/>
      <c r="O94" s="324"/>
      <c r="P94" s="324"/>
      <c r="Q94" s="324"/>
      <c r="R94" s="324"/>
    </row>
    <row r="95" spans="1:18" s="190" customFormat="1" ht="14.25" customHeight="1">
      <c r="A95" s="324"/>
      <c r="B95" s="302"/>
      <c r="C95" s="291"/>
      <c r="D95" s="291"/>
      <c r="E95" s="291"/>
      <c r="F95" s="291"/>
      <c r="G95" s="291"/>
      <c r="H95" s="192"/>
      <c r="I95" s="291"/>
      <c r="J95" s="324"/>
      <c r="K95" s="324"/>
      <c r="L95" s="324"/>
      <c r="M95" s="324"/>
      <c r="N95" s="324"/>
      <c r="O95" s="324"/>
      <c r="P95" s="324"/>
      <c r="Q95" s="324"/>
      <c r="R95" s="324"/>
    </row>
    <row r="96" spans="1:18" s="190" customFormat="1">
      <c r="A96" s="324"/>
      <c r="B96" s="363" t="str">
        <f>DCF!B41</f>
        <v>Cash From Operations</v>
      </c>
      <c r="C96" s="363">
        <f>DCF!C41</f>
        <v>189902</v>
      </c>
      <c r="D96" s="363">
        <f>DCF!D41</f>
        <v>153711</v>
      </c>
      <c r="E96" s="363">
        <f>DCF!E41</f>
        <v>365037</v>
      </c>
      <c r="F96" s="363">
        <f>DCF!F41</f>
        <v>439240</v>
      </c>
      <c r="G96" s="363">
        <f>DCF!G41</f>
        <v>491232</v>
      </c>
      <c r="H96" s="197"/>
      <c r="I96" s="355"/>
      <c r="J96" s="324"/>
      <c r="K96" s="324"/>
      <c r="L96" s="324"/>
      <c r="M96" s="324"/>
      <c r="N96" s="324"/>
      <c r="O96" s="324"/>
      <c r="P96" s="324"/>
      <c r="Q96" s="324"/>
      <c r="R96" s="324"/>
    </row>
    <row r="97" spans="1:18" s="190" customFormat="1">
      <c r="A97" s="324"/>
      <c r="B97" s="208" t="s">
        <v>92</v>
      </c>
      <c r="C97" s="341">
        <f>C96/C$9</f>
        <v>0.16759464938315405</v>
      </c>
      <c r="D97" s="341">
        <f>D96/D$9</f>
        <v>0.11567507038215194</v>
      </c>
      <c r="E97" s="341">
        <f>E96/E$9</f>
        <v>0.23786878142074722</v>
      </c>
      <c r="F97" s="341">
        <f>F96/F$9</f>
        <v>0.24545554624811888</v>
      </c>
      <c r="G97" s="341">
        <f>G96/G$9</f>
        <v>0.23936498345701993</v>
      </c>
      <c r="H97" s="342">
        <f>AVERAGE(C97:G97)</f>
        <v>0.20119180617823842</v>
      </c>
      <c r="I97" s="341">
        <f>MEDIAN(C97:G97)</f>
        <v>0.23786878142074722</v>
      </c>
      <c r="J97" s="324"/>
      <c r="K97" s="324"/>
      <c r="L97" s="324"/>
      <c r="M97" s="324"/>
      <c r="N97" s="324"/>
      <c r="O97" s="324"/>
      <c r="P97" s="324"/>
      <c r="Q97" s="324"/>
      <c r="R97" s="324"/>
    </row>
    <row r="98" spans="1:18" s="190" customFormat="1">
      <c r="A98" s="324"/>
      <c r="B98" s="209" t="s">
        <v>94</v>
      </c>
      <c r="C98" s="343"/>
      <c r="D98" s="328">
        <f>D96/C96-1</f>
        <v>-0.19057724510537011</v>
      </c>
      <c r="E98" s="328">
        <f>E96/D96-1</f>
        <v>1.3748267853309133</v>
      </c>
      <c r="F98" s="328">
        <f>F96/E96-1</f>
        <v>0.20327528442322285</v>
      </c>
      <c r="G98" s="328">
        <f>G96/F96-1</f>
        <v>0.11836809033785634</v>
      </c>
      <c r="H98" s="195">
        <f>AVERAGE(C98:G98)</f>
        <v>0.37647322874665562</v>
      </c>
      <c r="I98" s="328">
        <f>MEDIAN(C98:G98)</f>
        <v>0.16082168738053959</v>
      </c>
      <c r="J98" s="324"/>
      <c r="K98" s="324"/>
      <c r="L98" s="324"/>
      <c r="M98" s="324"/>
      <c r="N98" s="324"/>
      <c r="O98" s="324"/>
      <c r="P98" s="324"/>
      <c r="Q98" s="324"/>
      <c r="R98" s="324"/>
    </row>
    <row r="99" spans="1:18" s="190" customFormat="1">
      <c r="A99" s="324"/>
      <c r="B99" s="208" t="s">
        <v>20</v>
      </c>
      <c r="C99" s="344"/>
      <c r="D99" s="341">
        <f>(D96/$C96)^(1/D$6)-1</f>
        <v>-0.19057724510537011</v>
      </c>
      <c r="E99" s="341">
        <f>(E96/$C96)^(1/E$6)-1</f>
        <v>0.38644828211516979</v>
      </c>
      <c r="F99" s="341">
        <f>(F96/$C96)^(1/F$6)-1</f>
        <v>0.32248508089857131</v>
      </c>
      <c r="G99" s="341">
        <f>(G96/$C96)^(1/G$6)-1</f>
        <v>0.26820446487525174</v>
      </c>
      <c r="H99" s="342">
        <f>AVERAGE(C99:G99)</f>
        <v>0.19664014569590568</v>
      </c>
      <c r="I99" s="341">
        <f>MEDIAN(C99:G99)</f>
        <v>0.29534477288691152</v>
      </c>
      <c r="J99" s="324"/>
      <c r="K99" s="324"/>
      <c r="L99" s="324"/>
      <c r="M99" s="324"/>
      <c r="N99" s="324"/>
      <c r="O99" s="324"/>
      <c r="P99" s="324"/>
      <c r="Q99" s="324"/>
      <c r="R99" s="324"/>
    </row>
    <row r="100" spans="1:18" s="190" customFormat="1" ht="14.25" customHeight="1">
      <c r="A100" s="324"/>
      <c r="B100" s="302"/>
      <c r="C100" s="291"/>
      <c r="D100" s="291"/>
      <c r="E100" s="291"/>
      <c r="F100" s="291"/>
      <c r="G100" s="291"/>
      <c r="H100" s="192"/>
      <c r="I100" s="291"/>
      <c r="J100" s="324"/>
      <c r="K100" s="324"/>
      <c r="L100" s="324"/>
      <c r="M100" s="324"/>
      <c r="N100" s="324"/>
      <c r="O100" s="324"/>
      <c r="P100" s="324"/>
      <c r="Q100" s="324"/>
      <c r="R100" s="324"/>
    </row>
    <row r="101" spans="1:18" s="190" customFormat="1">
      <c r="A101" s="324"/>
      <c r="B101" s="363" t="str">
        <f>DCF!B42</f>
        <v>Capital Expnditures</v>
      </c>
      <c r="C101" s="363">
        <f>DCF!C42</f>
        <v>-51618</v>
      </c>
      <c r="D101" s="363">
        <f>DCF!D42</f>
        <v>-120038</v>
      </c>
      <c r="E101" s="363">
        <f>DCF!E42</f>
        <v>-97559</v>
      </c>
      <c r="F101" s="363">
        <f>DCF!F42</f>
        <v>-51771</v>
      </c>
      <c r="G101" s="363">
        <f>DCF!G42</f>
        <v>-55517</v>
      </c>
      <c r="H101" s="197"/>
      <c r="I101" s="355"/>
      <c r="J101" s="324"/>
      <c r="K101" s="324"/>
      <c r="L101" s="324"/>
      <c r="M101" s="324"/>
      <c r="N101" s="324"/>
      <c r="O101" s="324"/>
      <c r="P101" s="324"/>
      <c r="Q101" s="324"/>
      <c r="R101" s="324"/>
    </row>
    <row r="102" spans="1:18" s="190" customFormat="1">
      <c r="A102" s="324"/>
      <c r="B102" s="208" t="s">
        <v>92</v>
      </c>
      <c r="C102" s="341">
        <f>C101/C$9</f>
        <v>-4.5554552410504608E-2</v>
      </c>
      <c r="D102" s="341">
        <f>D101/D$9</f>
        <v>-9.0334485485962332E-2</v>
      </c>
      <c r="E102" s="341">
        <f>E101/E$9</f>
        <v>-6.357229663466081E-2</v>
      </c>
      <c r="F102" s="341">
        <f>F101/F$9</f>
        <v>-2.8930605329230859E-2</v>
      </c>
      <c r="G102" s="341">
        <f>G101/G$9</f>
        <v>-2.7052036077827534E-2</v>
      </c>
      <c r="H102" s="342">
        <f>AVERAGE(C102:G102)</f>
        <v>-5.1088795187637225E-2</v>
      </c>
      <c r="I102" s="341">
        <f>MEDIAN(C102:G102)</f>
        <v>-4.5554552410504608E-2</v>
      </c>
      <c r="J102" s="324"/>
      <c r="K102" s="324"/>
      <c r="L102" s="324"/>
      <c r="M102" s="324"/>
      <c r="N102" s="324"/>
      <c r="O102" s="324"/>
      <c r="P102" s="324"/>
      <c r="Q102" s="324"/>
      <c r="R102" s="324"/>
    </row>
    <row r="103" spans="1:18" s="190" customFormat="1">
      <c r="A103" s="324"/>
      <c r="B103" s="209" t="s">
        <v>94</v>
      </c>
      <c r="C103" s="343"/>
      <c r="D103" s="328">
        <f>D101/C101-1</f>
        <v>1.3255066062226355</v>
      </c>
      <c r="E103" s="328">
        <f>E101/D101-1</f>
        <v>-0.18726569919525482</v>
      </c>
      <c r="F103" s="328">
        <f>F101/E101-1</f>
        <v>-0.46933650406420735</v>
      </c>
      <c r="G103" s="328">
        <f>G101/F101-1</f>
        <v>7.2357111123988238E-2</v>
      </c>
      <c r="H103" s="195">
        <f>AVERAGE(C103:G103)</f>
        <v>0.18531537852179039</v>
      </c>
      <c r="I103" s="328">
        <f>MEDIAN(C103:G103)</f>
        <v>-5.7454294035633291E-2</v>
      </c>
      <c r="J103" s="324"/>
      <c r="K103" s="324"/>
      <c r="L103" s="324"/>
      <c r="M103" s="324"/>
      <c r="N103" s="324"/>
      <c r="O103" s="324"/>
      <c r="P103" s="324"/>
      <c r="Q103" s="324"/>
      <c r="R103" s="324"/>
    </row>
    <row r="104" spans="1:18" s="190" customFormat="1">
      <c r="A104" s="324"/>
      <c r="B104" s="208" t="s">
        <v>20</v>
      </c>
      <c r="C104" s="344"/>
      <c r="D104" s="341">
        <f>(D101/$C101)^(1/D$6)-1</f>
        <v>1.3255066062226355</v>
      </c>
      <c r="E104" s="341">
        <f>(E101/$C101)^(1/E$6)-1</f>
        <v>0.37477961347452693</v>
      </c>
      <c r="F104" s="341">
        <f>(F101/$C101)^(1/F$6)-1</f>
        <v>9.8705283843214531E-4</v>
      </c>
      <c r="G104" s="341">
        <f>(G101/$C101)^(1/G$6)-1</f>
        <v>1.8371423650109131E-2</v>
      </c>
      <c r="H104" s="342">
        <f>AVERAGE(C104:G104)</f>
        <v>0.42991117404642593</v>
      </c>
      <c r="I104" s="341">
        <f>MEDIAN(C104:G104)</f>
        <v>0.19657551856231803</v>
      </c>
      <c r="J104" s="324"/>
      <c r="K104" s="324"/>
      <c r="L104" s="223"/>
      <c r="M104" s="324"/>
      <c r="N104" s="324"/>
      <c r="O104" s="324"/>
      <c r="P104" s="324"/>
      <c r="Q104" s="324"/>
      <c r="R104" s="324"/>
    </row>
    <row r="105" spans="1:18" s="190" customFormat="1" ht="14.25" customHeight="1">
      <c r="A105" s="324"/>
      <c r="B105" s="302"/>
      <c r="C105" s="291"/>
      <c r="D105" s="291"/>
      <c r="E105" s="291"/>
      <c r="F105" s="291"/>
      <c r="G105" s="291"/>
      <c r="H105" s="192"/>
      <c r="I105" s="291"/>
      <c r="J105" s="324"/>
      <c r="K105" s="324"/>
      <c r="L105" s="324"/>
      <c r="M105" s="324"/>
      <c r="N105" s="324"/>
      <c r="O105" s="324"/>
      <c r="P105" s="324"/>
      <c r="Q105" s="324"/>
      <c r="R105" s="324"/>
    </row>
    <row r="106" spans="1:18" s="231" customFormat="1">
      <c r="A106" s="324"/>
      <c r="B106" s="363" t="str">
        <f>DCF!B28</f>
        <v>Net income</v>
      </c>
      <c r="C106" s="363">
        <f>DCF!C28</f>
        <v>146626</v>
      </c>
      <c r="D106" s="363">
        <f>DCF!D28</f>
        <v>150204</v>
      </c>
      <c r="E106" s="363">
        <f>DCF!E28</f>
        <v>178292</v>
      </c>
      <c r="F106" s="363">
        <f>DCF!F28</f>
        <v>180201</v>
      </c>
      <c r="G106" s="363">
        <f>DCF!G28</f>
        <v>199365</v>
      </c>
      <c r="H106" s="197"/>
      <c r="I106" s="355"/>
      <c r="J106" s="324"/>
      <c r="K106" s="324"/>
      <c r="L106" s="223"/>
      <c r="M106" s="324"/>
      <c r="N106" s="324"/>
      <c r="O106" s="324"/>
      <c r="P106" s="324"/>
      <c r="Q106" s="324"/>
      <c r="R106" s="324"/>
    </row>
    <row r="107" spans="1:18" s="231" customFormat="1">
      <c r="A107" s="324"/>
      <c r="B107" s="208" t="s">
        <v>92</v>
      </c>
      <c r="C107" s="341">
        <f>C106/C$9</f>
        <v>0.12940218144334628</v>
      </c>
      <c r="D107" s="341">
        <f>D106/D$9</f>
        <v>0.11303588078719642</v>
      </c>
      <c r="E107" s="341">
        <f>E106/E$9</f>
        <v>0.11618027974443101</v>
      </c>
      <c r="F107" s="341">
        <f>F106/F$9</f>
        <v>0.10069969695259373</v>
      </c>
      <c r="G107" s="341">
        <f>G106/G$9</f>
        <v>9.7145544115425655E-2</v>
      </c>
      <c r="H107" s="342">
        <f>AVERAGE(C107:G107)</f>
        <v>0.11129271660859863</v>
      </c>
      <c r="I107" s="341">
        <f>MEDIAN(C107:G107)</f>
        <v>0.11303588078719642</v>
      </c>
      <c r="J107" s="324"/>
      <c r="K107" s="324"/>
      <c r="L107" s="324"/>
      <c r="M107" s="324"/>
      <c r="N107" s="324"/>
      <c r="O107" s="324"/>
      <c r="P107" s="324"/>
      <c r="Q107" s="324"/>
      <c r="R107" s="324"/>
    </row>
    <row r="108" spans="1:18" s="231" customFormat="1">
      <c r="A108" s="324"/>
      <c r="B108" s="209" t="s">
        <v>94</v>
      </c>
      <c r="C108" s="343"/>
      <c r="D108" s="328">
        <f>D106/C106-1</f>
        <v>2.4402220615716175E-2</v>
      </c>
      <c r="E108" s="328">
        <f>E106/D106-1</f>
        <v>0.18699901467337754</v>
      </c>
      <c r="F108" s="328">
        <f>F106/E106-1</f>
        <v>1.0707154555448462E-2</v>
      </c>
      <c r="G108" s="328">
        <f>G106/F106-1</f>
        <v>0.10634791149882639</v>
      </c>
      <c r="H108" s="195">
        <f>AVERAGE(C108:G108)</f>
        <v>8.211407533584214E-2</v>
      </c>
      <c r="I108" s="328">
        <f>MEDIAN(C108:G108)</f>
        <v>6.5375066057271281E-2</v>
      </c>
      <c r="J108" s="324"/>
      <c r="K108" s="324"/>
      <c r="L108" s="324"/>
      <c r="M108" s="324"/>
      <c r="N108" s="324"/>
      <c r="O108" s="324"/>
      <c r="P108" s="324"/>
      <c r="Q108" s="324"/>
      <c r="R108" s="324"/>
    </row>
    <row r="109" spans="1:18" s="231" customFormat="1">
      <c r="A109" s="324"/>
      <c r="B109" s="208" t="s">
        <v>20</v>
      </c>
      <c r="C109" s="344"/>
      <c r="D109" s="341">
        <f>(D106/$C106)^(1/D$6)-1</f>
        <v>2.4402220615716175E-2</v>
      </c>
      <c r="E109" s="341">
        <f>(E106/$C106)^(1/E$6)-1</f>
        <v>0.10270777021841782</v>
      </c>
      <c r="F109" s="341">
        <f>(F106/$C106)^(1/F$6)-1</f>
        <v>7.1146163303029919E-2</v>
      </c>
      <c r="G109" s="341">
        <f>(G106/$C106)^(1/G$6)-1</f>
        <v>7.9840178286953112E-2</v>
      </c>
      <c r="H109" s="342">
        <f>AVERAGE(C109:G109)</f>
        <v>6.9524083106029255E-2</v>
      </c>
      <c r="I109" s="341">
        <f>MEDIAN(C109:G109)</f>
        <v>7.5493170794991515E-2</v>
      </c>
      <c r="J109" s="324"/>
      <c r="K109" s="324"/>
      <c r="L109" s="324"/>
      <c r="M109" s="324"/>
      <c r="N109" s="324"/>
      <c r="O109" s="324"/>
      <c r="P109" s="324"/>
      <c r="Q109" s="324"/>
      <c r="R109" s="324"/>
    </row>
    <row r="110" spans="1:18" s="231" customFormat="1" ht="14.25" customHeight="1">
      <c r="A110" s="324"/>
      <c r="B110" s="302"/>
      <c r="C110" s="291"/>
      <c r="D110" s="291"/>
      <c r="E110" s="291"/>
      <c r="F110" s="291"/>
      <c r="G110" s="291"/>
      <c r="H110" s="192"/>
      <c r="I110" s="291"/>
      <c r="J110" s="324"/>
      <c r="K110" s="324"/>
      <c r="L110" s="324"/>
      <c r="M110" s="324"/>
      <c r="N110" s="324"/>
      <c r="O110" s="324"/>
      <c r="P110" s="324"/>
      <c r="Q110" s="324"/>
      <c r="R110" s="324"/>
    </row>
    <row r="111" spans="1:18" s="190" customFormat="1">
      <c r="A111" s="324"/>
      <c r="B111" s="363" t="str">
        <f>DCF!B43</f>
        <v>Free Cash Flow (FCF)</v>
      </c>
      <c r="C111" s="363">
        <f>DCF!C43</f>
        <v>138284</v>
      </c>
      <c r="D111" s="363">
        <f>DCF!D43</f>
        <v>33673</v>
      </c>
      <c r="E111" s="363">
        <f>DCF!E43</f>
        <v>267478</v>
      </c>
      <c r="F111" s="363">
        <f>DCF!F43</f>
        <v>387469</v>
      </c>
      <c r="G111" s="363">
        <f>DCF!G43</f>
        <v>435715</v>
      </c>
      <c r="H111" s="197"/>
      <c r="I111" s="355"/>
      <c r="J111" s="324"/>
      <c r="K111" s="324"/>
      <c r="L111" s="223"/>
      <c r="M111" s="324"/>
      <c r="N111" s="324"/>
      <c r="O111" s="324"/>
      <c r="P111" s="324"/>
      <c r="Q111" s="324"/>
      <c r="R111" s="324"/>
    </row>
    <row r="112" spans="1:18" s="190" customFormat="1">
      <c r="A112" s="324"/>
      <c r="B112" s="208" t="s">
        <v>92</v>
      </c>
      <c r="C112" s="341">
        <f>C111/C$9</f>
        <v>0.12204009697264945</v>
      </c>
      <c r="D112" s="341">
        <f>D111/D$9</f>
        <v>2.5340584896189618E-2</v>
      </c>
      <c r="E112" s="341">
        <f>E111/E$9</f>
        <v>0.17429648478608642</v>
      </c>
      <c r="F112" s="341">
        <f>F111/F$9</f>
        <v>0.21652494091888802</v>
      </c>
      <c r="G112" s="341">
        <f>G111/G$9</f>
        <v>0.2123129473791924</v>
      </c>
      <c r="H112" s="342">
        <f>AVERAGE(C112:G112)</f>
        <v>0.15010301099060117</v>
      </c>
      <c r="I112" s="341">
        <f>MEDIAN(C112:G112)</f>
        <v>0.17429648478608642</v>
      </c>
      <c r="J112" s="324"/>
      <c r="K112" s="324"/>
      <c r="L112" s="324"/>
      <c r="M112" s="324"/>
      <c r="N112" s="324"/>
      <c r="O112" s="324"/>
      <c r="P112" s="324"/>
      <c r="Q112" s="324"/>
      <c r="R112" s="324"/>
    </row>
    <row r="113" spans="1:18" s="190" customFormat="1">
      <c r="A113" s="324"/>
      <c r="B113" s="209" t="s">
        <v>94</v>
      </c>
      <c r="C113" s="343"/>
      <c r="D113" s="328">
        <f>D111/C111-1</f>
        <v>-0.7564938821555639</v>
      </c>
      <c r="E113" s="328">
        <f>E111/D111-1</f>
        <v>6.9433967867430884</v>
      </c>
      <c r="F113" s="328">
        <f>F111/E111-1</f>
        <v>0.44860138030043584</v>
      </c>
      <c r="G113" s="328">
        <f>G111/F111-1</f>
        <v>0.12451576771302997</v>
      </c>
      <c r="H113" s="195">
        <f>AVERAGE(C113:G113)</f>
        <v>1.6900050131502475</v>
      </c>
      <c r="I113" s="328">
        <f>MEDIAN(C113:G113)</f>
        <v>0.2865585740067329</v>
      </c>
      <c r="J113" s="324"/>
      <c r="K113" s="324"/>
      <c r="L113" s="324"/>
      <c r="M113" s="324"/>
      <c r="N113" s="324"/>
      <c r="O113" s="324"/>
      <c r="P113" s="324"/>
      <c r="Q113" s="324"/>
      <c r="R113" s="324"/>
    </row>
    <row r="114" spans="1:18" s="190" customFormat="1">
      <c r="A114" s="324"/>
      <c r="B114" s="208" t="s">
        <v>20</v>
      </c>
      <c r="C114" s="344"/>
      <c r="D114" s="341">
        <f>(D111/$C111)^(1/D$6)-1</f>
        <v>-0.7564938821555639</v>
      </c>
      <c r="E114" s="341">
        <f>(E111/$C111)^(1/E$6)-1</f>
        <v>0.39077881564171713</v>
      </c>
      <c r="F114" s="341">
        <f>(F111/$C111)^(1/F$6)-1</f>
        <v>0.40979189511604308</v>
      </c>
      <c r="G114" s="341">
        <f>(G111/$C111)^(1/G$6)-1</f>
        <v>0.33231723024861481</v>
      </c>
      <c r="H114" s="342">
        <f>AVERAGE(C114:G114)</f>
        <v>9.409851471270278E-2</v>
      </c>
      <c r="I114" s="341">
        <f>MEDIAN(C114:G114)</f>
        <v>0.36154802294516597</v>
      </c>
      <c r="J114" s="324"/>
      <c r="K114" s="324"/>
      <c r="L114" s="324"/>
      <c r="M114" s="324"/>
      <c r="N114" s="324"/>
      <c r="O114" s="324"/>
      <c r="P114" s="324"/>
      <c r="Q114" s="324"/>
      <c r="R114" s="324"/>
    </row>
    <row r="115" spans="1:18" s="190" customFormat="1" ht="14.25" customHeight="1">
      <c r="A115" s="324"/>
      <c r="B115" s="302"/>
      <c r="C115" s="291"/>
      <c r="D115" s="291"/>
      <c r="E115" s="291"/>
      <c r="F115" s="291"/>
      <c r="G115" s="291"/>
      <c r="H115" s="192"/>
      <c r="I115" s="291"/>
      <c r="J115" s="324"/>
      <c r="K115" s="324"/>
      <c r="L115" s="324"/>
      <c r="M115" s="324"/>
      <c r="N115" s="324"/>
      <c r="O115" s="324"/>
      <c r="P115" s="324"/>
      <c r="Q115" s="324"/>
      <c r="R115" s="324"/>
    </row>
    <row r="116" spans="1:18" ht="14.25" customHeight="1">
      <c r="A116" s="324"/>
      <c r="B116" s="371" t="str">
        <f>DCF!B30</f>
        <v>Diluted Earnings Per Share</v>
      </c>
      <c r="C116" s="372">
        <f>DCF!C30</f>
        <v>0.80262970626553243</v>
      </c>
      <c r="D116" s="372">
        <f>DCF!D30</f>
        <v>0.82221565343055147</v>
      </c>
      <c r="E116" s="372">
        <f>DCF!E30</f>
        <v>0.97596917047109188</v>
      </c>
      <c r="F116" s="372">
        <f>DCF!F30</f>
        <v>0.98641902322067854</v>
      </c>
      <c r="G116" s="372">
        <f>DCF!G30</f>
        <v>1.0913226262029099</v>
      </c>
      <c r="H116" s="367">
        <f>IS!G20/IS!P26</f>
        <v>1.0913226262029099</v>
      </c>
      <c r="I116" s="176" t="s">
        <v>95</v>
      </c>
      <c r="J116" s="177" t="s">
        <v>96</v>
      </c>
      <c r="K116" s="324"/>
      <c r="L116" s="324"/>
      <c r="M116" s="324"/>
      <c r="N116" s="324"/>
      <c r="O116" s="324"/>
      <c r="P116" s="324"/>
      <c r="Q116" s="324"/>
      <c r="R116" s="324"/>
    </row>
    <row r="117" spans="1:18" ht="14.25" customHeight="1">
      <c r="A117" s="324"/>
      <c r="B117" s="178" t="s">
        <v>19</v>
      </c>
      <c r="C117" s="256"/>
      <c r="D117" s="346">
        <f>(D116-C116)/C116</f>
        <v>2.4402220615716241E-2</v>
      </c>
      <c r="E117" s="346">
        <f>(E116-D116)/D116</f>
        <v>0.18699901467337757</v>
      </c>
      <c r="F117" s="346">
        <f>(F116-E116)/E116</f>
        <v>1.0707154555448302E-2</v>
      </c>
      <c r="G117" s="346">
        <f>(G116-F116)/F116</f>
        <v>0.10634791149882623</v>
      </c>
      <c r="H117" s="346">
        <f>(H116-G116)/G116</f>
        <v>0</v>
      </c>
      <c r="I117" s="342">
        <f>AVERAGE(F117:H117)</f>
        <v>3.9018355351424845E-2</v>
      </c>
      <c r="J117" s="331">
        <f>AVERAGE(D117:H117)</f>
        <v>6.5691260268673668E-2</v>
      </c>
      <c r="K117" s="324"/>
      <c r="L117" s="324"/>
      <c r="M117" s="324"/>
      <c r="N117" s="324"/>
      <c r="O117" s="324"/>
      <c r="P117" s="324"/>
      <c r="Q117" s="324"/>
      <c r="R117" s="324"/>
    </row>
    <row r="118" spans="1:18" ht="14.25" customHeight="1">
      <c r="A118" s="324"/>
      <c r="B118" s="179" t="s">
        <v>20</v>
      </c>
      <c r="C118" s="232"/>
      <c r="D118" s="326">
        <f>(D116/$C116)^(1/D6)-1</f>
        <v>2.4402220615716175E-2</v>
      </c>
      <c r="E118" s="326">
        <f>(E116/$C116)^(1/E6)-1</f>
        <v>0.10270777021841782</v>
      </c>
      <c r="F118" s="326">
        <f>(F116/$C116)^(1/F6)-1</f>
        <v>7.1146163303029919E-2</v>
      </c>
      <c r="G118" s="326">
        <f>(G116/$C116)^(1/G6)-1</f>
        <v>7.9840178286953112E-2</v>
      </c>
      <c r="H118" s="326">
        <f>(H116/$C116)^(1/H6)-1</f>
        <v>6.3377791767571967E-2</v>
      </c>
      <c r="I118" s="345">
        <f>AVERAGE(F118:H118)</f>
        <v>7.1454711119184999E-2</v>
      </c>
      <c r="J118" s="326">
        <f>AVERAGE(D118:H118)</f>
        <v>6.8294824838337792E-2</v>
      </c>
      <c r="K118" s="324"/>
      <c r="L118" s="324"/>
      <c r="M118" s="324"/>
      <c r="N118" s="324"/>
      <c r="O118" s="324"/>
      <c r="P118" s="324"/>
      <c r="Q118" s="324"/>
      <c r="R118" s="324"/>
    </row>
    <row r="119" spans="1:18">
      <c r="A119" s="324"/>
      <c r="B119" s="324"/>
      <c r="C119" s="324"/>
      <c r="D119" s="324"/>
      <c r="E119" s="324"/>
      <c r="F119" s="324"/>
      <c r="G119" s="324"/>
      <c r="H119" s="324"/>
      <c r="I119" s="324"/>
      <c r="J119" s="324"/>
      <c r="K119" s="324"/>
      <c r="L119" s="324"/>
      <c r="M119" s="324"/>
      <c r="N119" s="324"/>
      <c r="O119" s="324"/>
      <c r="P119" s="324"/>
      <c r="Q119" s="324"/>
      <c r="R119" s="324"/>
    </row>
    <row r="120" spans="1:18">
      <c r="A120" s="324"/>
      <c r="B120" s="324"/>
      <c r="C120" s="324"/>
      <c r="D120" s="324"/>
      <c r="E120" s="324"/>
      <c r="F120" s="324"/>
      <c r="G120" s="324"/>
      <c r="H120" s="324"/>
      <c r="I120" s="324"/>
      <c r="J120" s="324"/>
      <c r="K120" s="324"/>
      <c r="L120" s="324"/>
      <c r="M120" s="324"/>
      <c r="N120" s="324"/>
      <c r="O120" s="324"/>
      <c r="P120" s="324"/>
      <c r="Q120" s="324"/>
      <c r="R120" s="324"/>
    </row>
    <row r="121" spans="1:18">
      <c r="A121" s="324"/>
      <c r="B121" s="324"/>
      <c r="C121" s="324"/>
      <c r="D121" s="324"/>
      <c r="E121" s="324"/>
      <c r="F121" s="324"/>
      <c r="G121" s="324"/>
      <c r="H121" s="324"/>
      <c r="I121" s="324"/>
      <c r="J121" s="324"/>
      <c r="K121" s="324"/>
      <c r="L121" s="324"/>
      <c r="M121" s="324"/>
      <c r="N121" s="324"/>
      <c r="O121" s="324"/>
      <c r="P121" s="324"/>
      <c r="Q121" s="324"/>
      <c r="R121" s="324"/>
    </row>
    <row r="122" spans="1:18">
      <c r="A122" s="324"/>
      <c r="B122" s="324"/>
      <c r="C122" s="324"/>
      <c r="D122" s="324"/>
      <c r="E122" s="324"/>
      <c r="F122" s="324"/>
      <c r="G122" s="324"/>
      <c r="H122" s="324"/>
      <c r="I122" s="324"/>
      <c r="J122" s="324"/>
      <c r="K122" s="324"/>
      <c r="L122" s="324"/>
      <c r="M122" s="324"/>
      <c r="N122" s="324"/>
      <c r="O122" s="324"/>
      <c r="P122" s="324"/>
      <c r="Q122" s="324"/>
      <c r="R122" s="324"/>
    </row>
    <row r="123" spans="1:18">
      <c r="A123" s="324"/>
      <c r="B123" s="324"/>
      <c r="C123" s="324"/>
      <c r="D123" s="324"/>
      <c r="E123" s="324"/>
      <c r="F123" s="324"/>
      <c r="G123" s="324"/>
      <c r="H123" s="324"/>
      <c r="I123" s="324"/>
      <c r="J123" s="324"/>
      <c r="K123" s="324"/>
      <c r="L123" s="324"/>
      <c r="M123" s="324"/>
      <c r="N123" s="324"/>
      <c r="O123" s="324"/>
      <c r="P123" s="324"/>
      <c r="Q123" s="324"/>
      <c r="R123" s="324"/>
    </row>
    <row r="124" spans="1:18">
      <c r="A124" s="324"/>
      <c r="B124" s="324"/>
      <c r="C124" s="324"/>
      <c r="D124" s="324"/>
      <c r="E124" s="324"/>
      <c r="F124" s="324"/>
      <c r="G124" s="324"/>
      <c r="H124" s="324"/>
      <c r="I124" s="324"/>
      <c r="J124" s="324"/>
      <c r="K124" s="324"/>
      <c r="L124" s="324"/>
      <c r="M124" s="324"/>
      <c r="N124" s="324"/>
      <c r="O124" s="324"/>
      <c r="P124" s="324"/>
      <c r="Q124" s="324"/>
      <c r="R124" s="324"/>
    </row>
    <row r="125" spans="1:18">
      <c r="A125" s="324"/>
      <c r="B125" s="324"/>
      <c r="C125" s="324"/>
      <c r="D125" s="324"/>
      <c r="E125" s="324"/>
      <c r="F125" s="324"/>
      <c r="G125" s="324"/>
      <c r="H125" s="324"/>
      <c r="I125" s="324"/>
      <c r="J125" s="324"/>
      <c r="K125" s="324"/>
      <c r="L125" s="324"/>
      <c r="M125" s="324"/>
      <c r="N125" s="324"/>
      <c r="O125" s="324"/>
      <c r="P125" s="324"/>
      <c r="Q125" s="324"/>
      <c r="R125" s="324"/>
    </row>
    <row r="126" spans="1:18">
      <c r="A126" s="324"/>
      <c r="B126" s="324"/>
      <c r="C126" s="324"/>
      <c r="D126" s="324"/>
      <c r="E126" s="324"/>
      <c r="F126" s="324"/>
      <c r="G126" s="324"/>
      <c r="H126" s="324"/>
      <c r="I126" s="324"/>
      <c r="J126" s="324"/>
      <c r="K126" s="232"/>
      <c r="L126" s="324"/>
      <c r="M126" s="324"/>
      <c r="N126" s="324"/>
      <c r="O126" s="324"/>
      <c r="P126" s="324"/>
      <c r="Q126" s="324"/>
      <c r="R126" s="324"/>
    </row>
    <row r="127" spans="1:18">
      <c r="A127" s="324"/>
      <c r="B127" s="324"/>
      <c r="C127" s="324"/>
      <c r="D127" s="324"/>
      <c r="E127" s="324"/>
      <c r="F127" s="324"/>
      <c r="G127" s="324"/>
      <c r="H127" s="324"/>
      <c r="I127" s="324"/>
      <c r="J127" s="324"/>
      <c r="K127" s="12"/>
      <c r="L127" s="324"/>
      <c r="M127" s="324"/>
      <c r="N127" s="324"/>
      <c r="O127" s="324"/>
      <c r="P127" s="324"/>
      <c r="Q127" s="324"/>
      <c r="R127" s="324"/>
    </row>
    <row r="128" spans="1:18">
      <c r="A128" s="324"/>
      <c r="B128" s="324"/>
      <c r="C128" s="324"/>
      <c r="D128" s="324"/>
      <c r="E128" s="324"/>
      <c r="F128" s="324"/>
      <c r="G128" s="324"/>
      <c r="H128" s="324"/>
      <c r="I128" s="324"/>
      <c r="J128" s="324"/>
      <c r="K128" s="324"/>
      <c r="L128" s="324"/>
      <c r="M128" s="324"/>
      <c r="N128" s="324"/>
      <c r="O128" s="324"/>
      <c r="P128" s="324"/>
      <c r="Q128" s="324"/>
      <c r="R128" s="324"/>
    </row>
    <row r="129" spans="1:18">
      <c r="A129" s="324"/>
      <c r="B129" s="324"/>
      <c r="C129" s="324"/>
      <c r="D129" s="324"/>
      <c r="E129" s="324"/>
      <c r="F129" s="324"/>
      <c r="G129" s="324"/>
      <c r="H129" s="324"/>
      <c r="I129" s="324"/>
      <c r="J129" s="324"/>
      <c r="K129" s="324"/>
      <c r="L129" s="324"/>
      <c r="M129" s="324"/>
      <c r="N129" s="324"/>
      <c r="O129" s="324"/>
      <c r="P129" s="324"/>
      <c r="Q129" s="324"/>
      <c r="R129" s="324"/>
    </row>
    <row r="130" spans="1:18">
      <c r="A130" s="324"/>
      <c r="B130" s="232"/>
      <c r="C130" s="232"/>
      <c r="D130" s="232"/>
      <c r="E130" s="232"/>
      <c r="F130" s="232"/>
      <c r="G130" s="232"/>
      <c r="H130" s="232"/>
      <c r="I130" s="232"/>
      <c r="J130" s="232"/>
      <c r="K130" s="324"/>
      <c r="L130" s="324"/>
      <c r="M130" s="324"/>
      <c r="N130" s="324"/>
      <c r="O130" s="324"/>
      <c r="P130" s="324"/>
      <c r="Q130" s="324"/>
      <c r="R130" s="324"/>
    </row>
    <row r="131" spans="1:18">
      <c r="A131" s="324"/>
      <c r="B131" s="324"/>
      <c r="C131" s="324"/>
      <c r="D131" s="324"/>
      <c r="E131" s="324"/>
      <c r="F131" s="324"/>
      <c r="G131" s="324"/>
      <c r="H131" s="324"/>
      <c r="I131" s="324"/>
      <c r="J131" s="324"/>
      <c r="K131" s="324"/>
      <c r="L131" s="324"/>
      <c r="M131" s="324"/>
      <c r="N131" s="324"/>
      <c r="O131" s="324"/>
      <c r="P131" s="324"/>
      <c r="Q131" s="324"/>
      <c r="R131" s="324"/>
    </row>
    <row r="132" spans="1:18">
      <c r="A132" s="324"/>
      <c r="B132" s="324"/>
      <c r="C132" s="324"/>
      <c r="D132" s="324"/>
      <c r="E132" s="324"/>
      <c r="F132" s="324"/>
      <c r="G132" s="324"/>
      <c r="H132" s="324"/>
      <c r="I132" s="324"/>
      <c r="J132" s="324"/>
      <c r="K132" s="324"/>
      <c r="L132" s="324"/>
      <c r="M132" s="324"/>
      <c r="N132" s="324"/>
      <c r="O132" s="324"/>
      <c r="P132" s="324"/>
      <c r="Q132" s="324"/>
      <c r="R132" s="324"/>
    </row>
    <row r="133" spans="1:18">
      <c r="A133" s="324"/>
      <c r="B133" s="324"/>
      <c r="C133" s="324"/>
      <c r="D133" s="324"/>
      <c r="E133" s="324"/>
      <c r="F133" s="324"/>
      <c r="G133" s="324"/>
      <c r="H133" s="324"/>
      <c r="I133" s="324"/>
      <c r="J133" s="324"/>
      <c r="K133" s="324"/>
      <c r="L133" s="324"/>
      <c r="M133" s="324"/>
      <c r="N133" s="324"/>
      <c r="O133" s="324"/>
      <c r="P133" s="324"/>
      <c r="Q133" s="324"/>
      <c r="R133" s="324"/>
    </row>
    <row r="134" spans="1:18">
      <c r="A134" s="324"/>
      <c r="B134" s="324"/>
      <c r="C134" s="324"/>
      <c r="D134" s="324"/>
      <c r="E134" s="324"/>
      <c r="F134" s="324"/>
      <c r="G134" s="324"/>
      <c r="H134" s="324"/>
      <c r="I134" s="324"/>
      <c r="J134" s="324"/>
      <c r="K134" s="324"/>
      <c r="L134" s="324"/>
      <c r="M134" s="324"/>
      <c r="N134" s="324"/>
      <c r="O134" s="324"/>
      <c r="P134" s="324"/>
      <c r="Q134" s="324"/>
      <c r="R134" s="324"/>
    </row>
    <row r="135" spans="1:18">
      <c r="A135" s="324"/>
      <c r="B135" s="324"/>
      <c r="C135" s="324"/>
      <c r="D135" s="243"/>
      <c r="E135" s="324"/>
      <c r="F135" s="324"/>
      <c r="G135" s="324"/>
      <c r="H135" s="324"/>
      <c r="I135" s="324"/>
      <c r="J135" s="324"/>
      <c r="K135" s="324"/>
      <c r="L135" s="324"/>
      <c r="M135" s="324"/>
      <c r="N135" s="324"/>
      <c r="O135" s="324"/>
      <c r="P135" s="324"/>
      <c r="Q135" s="324"/>
      <c r="R135" s="324"/>
    </row>
  </sheetData>
  <mergeCells count="3">
    <mergeCell ref="C1:H1"/>
    <mergeCell ref="C2:H2"/>
    <mergeCell ref="B4:C4"/>
  </mergeCells>
  <pageMargins left="0.7" right="0.7" top="0.75" bottom="0.75" header="0.3" footer="0.3"/>
  <pageSetup fitToHeight="0"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1:W37"/>
  <sheetViews>
    <sheetView showGridLines="0" topLeftCell="A7" workbookViewId="0">
      <selection activeCell="O20" sqref="O20"/>
    </sheetView>
  </sheetViews>
  <sheetFormatPr defaultRowHeight="15"/>
  <cols>
    <col min="1" max="1" width="1.7109375" style="1" customWidth="1"/>
    <col min="2" max="2" width="31.7109375" style="1" bestFit="1" customWidth="1"/>
    <col min="3" max="3" width="10.28515625" style="1" bestFit="1" customWidth="1"/>
    <col min="4" max="4" width="8.85546875" style="1" bestFit="1" customWidth="1"/>
    <col min="5" max="5" width="8.7109375" style="1" bestFit="1" customWidth="1"/>
    <col min="6" max="6" width="8.85546875" style="1" bestFit="1" customWidth="1"/>
    <col min="7" max="7" width="10.5703125" style="1" bestFit="1" customWidth="1"/>
    <col min="8" max="8" width="9.140625" style="1"/>
    <col min="9" max="9" width="46.5703125" style="1" bestFit="1" customWidth="1"/>
    <col min="10" max="10" width="9.7109375" style="1" customWidth="1"/>
    <col min="11" max="15" width="9.140625" style="1"/>
    <col min="16" max="16" width="5.7109375" style="1" customWidth="1"/>
    <col min="17" max="16384" width="9.140625" style="1"/>
  </cols>
  <sheetData>
    <row r="1" spans="2:23" ht="23.25">
      <c r="B1" s="268" t="str">
        <f>Valuation!B1</f>
        <v>RHT</v>
      </c>
      <c r="C1" s="450"/>
      <c r="D1" s="450"/>
      <c r="E1" s="450"/>
      <c r="F1" s="450"/>
      <c r="G1" s="450"/>
      <c r="H1" s="450"/>
      <c r="I1" s="450"/>
      <c r="J1" s="450"/>
      <c r="K1" s="450"/>
      <c r="L1" s="450"/>
      <c r="M1" s="324"/>
      <c r="N1" s="324"/>
      <c r="O1" s="324"/>
      <c r="P1" s="324"/>
      <c r="Q1" s="324"/>
      <c r="R1" s="324"/>
      <c r="S1" s="324"/>
      <c r="T1" s="324"/>
      <c r="U1" s="324"/>
      <c r="V1" s="324"/>
      <c r="W1" s="324"/>
    </row>
    <row r="2" spans="2:23">
      <c r="B2" s="269" t="str">
        <f>Valuation!B2</f>
        <v>Red Hat .Inc</v>
      </c>
      <c r="C2" s="450"/>
      <c r="D2" s="324"/>
      <c r="E2" s="324"/>
      <c r="F2" s="324"/>
      <c r="G2" s="324"/>
      <c r="H2" s="324"/>
      <c r="I2" s="324"/>
      <c r="J2" s="324"/>
      <c r="K2" s="324"/>
      <c r="L2" s="324"/>
      <c r="M2" s="324"/>
      <c r="N2" s="324"/>
      <c r="O2" s="324"/>
      <c r="P2" s="324"/>
      <c r="Q2" s="324"/>
      <c r="R2" s="324"/>
      <c r="S2" s="324"/>
      <c r="T2" s="324"/>
      <c r="U2" s="324"/>
      <c r="V2" s="324"/>
      <c r="W2" s="324"/>
    </row>
    <row r="3" spans="2:23" ht="3" customHeight="1">
      <c r="B3" s="242"/>
      <c r="C3" s="242"/>
      <c r="D3" s="242"/>
      <c r="E3" s="242"/>
      <c r="F3" s="242"/>
      <c r="G3" s="242"/>
      <c r="H3" s="242"/>
      <c r="I3" s="242"/>
      <c r="J3" s="242"/>
      <c r="K3" s="242"/>
      <c r="L3" s="242"/>
      <c r="M3" s="242"/>
      <c r="N3" s="242"/>
      <c r="O3" s="242"/>
      <c r="P3" s="242"/>
      <c r="Q3" s="242"/>
      <c r="R3" s="242"/>
      <c r="S3" s="242"/>
      <c r="T3" s="242"/>
      <c r="U3" s="242"/>
      <c r="V3" s="242"/>
      <c r="W3" s="248"/>
    </row>
    <row r="4" spans="2:23">
      <c r="B4" s="516" t="s">
        <v>208</v>
      </c>
      <c r="C4" s="517"/>
      <c r="D4" s="324"/>
      <c r="E4" s="324"/>
      <c r="F4" s="324"/>
      <c r="G4" s="324"/>
      <c r="H4" s="324"/>
      <c r="I4" s="324"/>
      <c r="J4" s="324"/>
      <c r="K4" s="324"/>
      <c r="L4" s="324"/>
      <c r="M4" s="324"/>
      <c r="N4" s="324"/>
      <c r="O4" s="324"/>
      <c r="P4" s="324"/>
      <c r="Q4" s="324"/>
      <c r="R4" s="324"/>
      <c r="S4" s="324"/>
      <c r="T4" s="324"/>
      <c r="U4" s="324"/>
      <c r="V4" s="324"/>
      <c r="W4" s="324"/>
    </row>
    <row r="5" spans="2:23">
      <c r="B5" s="324"/>
      <c r="C5" s="324"/>
      <c r="D5" s="324"/>
      <c r="E5" s="324"/>
      <c r="F5" s="324"/>
      <c r="G5" s="324"/>
      <c r="H5" s="324"/>
      <c r="I5" s="324"/>
      <c r="J5" s="324"/>
      <c r="K5" s="324"/>
      <c r="L5" s="324"/>
      <c r="M5" s="324"/>
      <c r="N5" s="324"/>
      <c r="O5" s="324"/>
      <c r="P5" s="324"/>
      <c r="Q5" s="324"/>
      <c r="R5" s="324"/>
      <c r="S5" s="324"/>
      <c r="T5" s="324"/>
      <c r="U5" s="324"/>
      <c r="V5" s="324"/>
      <c r="W5" s="324"/>
    </row>
    <row r="6" spans="2:23">
      <c r="B6" s="514" t="s">
        <v>21</v>
      </c>
      <c r="C6" s="515"/>
      <c r="D6" s="515"/>
      <c r="E6" s="515"/>
      <c r="F6" s="515"/>
      <c r="G6" s="515"/>
      <c r="H6" s="324"/>
      <c r="I6" s="324"/>
      <c r="J6" s="324"/>
      <c r="K6" s="324"/>
      <c r="L6" s="324"/>
      <c r="M6" s="324"/>
      <c r="N6" s="324"/>
      <c r="O6" s="324"/>
      <c r="P6" s="324"/>
      <c r="Q6" s="324"/>
      <c r="R6" s="324"/>
      <c r="S6" s="324"/>
      <c r="T6" s="324"/>
      <c r="U6" s="324"/>
      <c r="V6" s="324"/>
      <c r="W6" s="324"/>
    </row>
    <row r="7" spans="2:23">
      <c r="B7" s="38"/>
      <c r="C7" s="50">
        <f>CF!C6</f>
        <v>2012</v>
      </c>
      <c r="D7" s="51">
        <f>C7+1</f>
        <v>2013</v>
      </c>
      <c r="E7" s="51">
        <f>D7+1</f>
        <v>2014</v>
      </c>
      <c r="F7" s="51">
        <f>E7+1</f>
        <v>2015</v>
      </c>
      <c r="G7" s="51">
        <f>F7+1</f>
        <v>2016</v>
      </c>
      <c r="H7" s="324"/>
      <c r="I7" s="324"/>
      <c r="J7" s="324"/>
      <c r="K7" s="324"/>
      <c r="L7" s="324"/>
      <c r="M7" s="324"/>
      <c r="N7" s="324"/>
      <c r="O7" s="324"/>
      <c r="P7" s="324"/>
      <c r="Q7" s="324"/>
      <c r="R7" s="324"/>
      <c r="S7" s="324"/>
      <c r="T7" s="324"/>
      <c r="U7" s="324"/>
      <c r="V7" s="324"/>
      <c r="W7" s="324"/>
    </row>
    <row r="8" spans="2:23">
      <c r="B8" s="180" t="s">
        <v>22</v>
      </c>
      <c r="C8" s="331">
        <f>IS!C20/IS!C7</f>
        <v>0.12940218144334628</v>
      </c>
      <c r="D8" s="331">
        <f>IS!D20/IS!D7</f>
        <v>0.11303588078719642</v>
      </c>
      <c r="E8" s="331">
        <f>IS!E20/IS!E7</f>
        <v>0.11618027974443101</v>
      </c>
      <c r="F8" s="331">
        <f>IS!F20/IS!F7</f>
        <v>0.10069969695259373</v>
      </c>
      <c r="G8" s="331">
        <f>IS!G20/IS!G7</f>
        <v>9.7145544115425655E-2</v>
      </c>
      <c r="H8" s="324"/>
      <c r="I8" s="181" t="s">
        <v>29</v>
      </c>
      <c r="J8" s="324"/>
      <c r="K8" s="324"/>
      <c r="L8" s="324"/>
      <c r="M8" s="324"/>
      <c r="N8" s="324"/>
      <c r="O8" s="324"/>
      <c r="P8" s="324"/>
      <c r="Q8" s="324"/>
      <c r="R8" s="324"/>
      <c r="S8" s="324"/>
      <c r="T8" s="324"/>
      <c r="U8" s="324"/>
      <c r="V8" s="324"/>
      <c r="W8" s="324"/>
    </row>
    <row r="9" spans="2:23">
      <c r="B9" s="181" t="s">
        <v>23</v>
      </c>
      <c r="C9" s="103">
        <f>IS!C7/((BS!C26+BS!C26)/2)</f>
        <v>0.4548606859863859</v>
      </c>
      <c r="D9" s="103">
        <f>IS!D7/((BS!C26+BS!D26)/2)</f>
        <v>0.50099052567703828</v>
      </c>
      <c r="E9" s="103">
        <f>IS!E7/((BS!D26+BS!E26)/2)</f>
        <v>0.51842658090944704</v>
      </c>
      <c r="F9" s="103">
        <f>IS!F7/((BS!E26+BS!F26)/2)</f>
        <v>0.51797150748436527</v>
      </c>
      <c r="G9" s="103">
        <f>IS!G7/((BS!F26+BS!G26)/2)</f>
        <v>0.5157598235957298</v>
      </c>
      <c r="H9" s="324"/>
      <c r="I9" s="181" t="s">
        <v>30</v>
      </c>
      <c r="J9" s="324"/>
      <c r="K9" s="324"/>
      <c r="L9" s="324"/>
      <c r="M9" s="324"/>
      <c r="N9" s="324"/>
      <c r="O9" s="324"/>
      <c r="P9" s="324"/>
      <c r="Q9" s="324"/>
      <c r="R9" s="324"/>
      <c r="S9" s="324"/>
      <c r="T9" s="324"/>
      <c r="U9" s="324"/>
      <c r="V9" s="324"/>
      <c r="W9" s="324"/>
    </row>
    <row r="10" spans="2:23">
      <c r="B10" s="157" t="s">
        <v>24</v>
      </c>
      <c r="C10" s="111">
        <f t="shared" ref="C10:G10" si="0">C8*C9</f>
        <v>5.8859965019455264E-2</v>
      </c>
      <c r="D10" s="111">
        <f t="shared" si="0"/>
        <v>5.6629905335944565E-2</v>
      </c>
      <c r="E10" s="111">
        <f t="shared" si="0"/>
        <v>6.0230945197008459E-2</v>
      </c>
      <c r="F10" s="111">
        <f t="shared" si="0"/>
        <v>5.215957383375372E-2</v>
      </c>
      <c r="G10" s="111">
        <f t="shared" si="0"/>
        <v>5.0103768696083122E-2</v>
      </c>
      <c r="H10" s="324"/>
      <c r="I10" s="172" t="s">
        <v>67</v>
      </c>
      <c r="J10" s="324"/>
      <c r="K10" s="324"/>
      <c r="L10" s="324"/>
      <c r="M10" s="324"/>
      <c r="N10" s="324"/>
      <c r="O10" s="324"/>
      <c r="P10" s="324"/>
      <c r="Q10" s="324"/>
      <c r="R10" s="324"/>
      <c r="S10" s="324"/>
      <c r="T10" s="324"/>
      <c r="U10" s="324"/>
      <c r="V10" s="324"/>
      <c r="W10" s="324"/>
    </row>
    <row r="11" spans="2:23">
      <c r="B11" s="182" t="s">
        <v>25</v>
      </c>
      <c r="C11" s="471">
        <f>IS!C20/DCF!C24</f>
        <v>0.70490219173208857</v>
      </c>
      <c r="D11" s="471">
        <f>IS!D20/DCF!D24</f>
        <v>0.7161028261947443</v>
      </c>
      <c r="E11" s="471">
        <f>IS!E20/DCF!E24</f>
        <v>0.74428507021557266</v>
      </c>
      <c r="F11" s="471">
        <f>IS!F20/DCF!F24</f>
        <v>0.70529319211892072</v>
      </c>
      <c r="G11" s="471">
        <f>IS!G20/DCF!G24</f>
        <v>0.72531970239935972</v>
      </c>
      <c r="H11" s="324"/>
      <c r="I11" s="181" t="s">
        <v>31</v>
      </c>
      <c r="J11" s="324"/>
      <c r="K11" s="324"/>
      <c r="L11" s="324"/>
      <c r="M11" s="324"/>
      <c r="N11" s="324"/>
      <c r="O11" s="324"/>
      <c r="P11" s="324"/>
      <c r="Q11" s="324"/>
      <c r="R11" s="324"/>
      <c r="S11" s="324"/>
      <c r="T11" s="324"/>
      <c r="U11" s="324"/>
      <c r="V11" s="324"/>
      <c r="W11" s="324"/>
    </row>
    <row r="12" spans="2:23">
      <c r="B12" s="183" t="s">
        <v>26</v>
      </c>
      <c r="C12" s="103">
        <f>DCF!C24/DCF!C21</f>
        <v>1.0404976164631614</v>
      </c>
      <c r="D12" s="103">
        <f>DCF!D24/DCF!D21</f>
        <v>1.0433450392463117</v>
      </c>
      <c r="E12" s="103">
        <f>DCF!E24/DCF!E21</f>
        <v>1.0312498654693076</v>
      </c>
      <c r="F12" s="103">
        <f>DCF!F24/DCF!F21</f>
        <v>1.0220165283966816</v>
      </c>
      <c r="G12" s="103">
        <f>DCF!G24/DCF!G21</f>
        <v>0.95423332222407375</v>
      </c>
      <c r="H12" s="324"/>
      <c r="I12" s="181" t="s">
        <v>32</v>
      </c>
      <c r="J12" s="324"/>
      <c r="K12" s="324"/>
      <c r="L12" s="324"/>
      <c r="M12" s="324"/>
      <c r="N12" s="324"/>
      <c r="O12" s="324"/>
      <c r="P12" s="324"/>
      <c r="Q12" s="324"/>
      <c r="R12" s="324"/>
      <c r="S12" s="324"/>
      <c r="T12" s="324"/>
      <c r="U12" s="324"/>
      <c r="V12" s="324"/>
      <c r="W12" s="324"/>
    </row>
    <row r="13" spans="2:23">
      <c r="B13" s="182" t="s">
        <v>66</v>
      </c>
      <c r="C13" s="346">
        <f>DCF!C24/IS!C7</f>
        <v>0.18357466179155824</v>
      </c>
      <c r="D13" s="346">
        <f>DCF!D24/IS!D7</f>
        <v>0.15784867291733926</v>
      </c>
      <c r="E13" s="346">
        <f>DCF!E24/IS!E7</f>
        <v>0.15609648022468176</v>
      </c>
      <c r="F13" s="346">
        <f>DCF!F24/IS!F7</f>
        <v>0.1427770721138828</v>
      </c>
      <c r="G13" s="346">
        <f>DCF!G24/IS!G7</f>
        <v>0.13393479288383855</v>
      </c>
      <c r="H13" s="324"/>
      <c r="I13" s="181" t="s">
        <v>33</v>
      </c>
      <c r="J13" s="324"/>
      <c r="K13" s="324"/>
      <c r="L13" s="324"/>
      <c r="M13" s="324"/>
      <c r="N13" s="324"/>
      <c r="O13" s="324"/>
      <c r="P13" s="324"/>
      <c r="Q13" s="324"/>
      <c r="R13" s="324"/>
      <c r="S13" s="324"/>
      <c r="T13" s="324"/>
      <c r="U13" s="324"/>
      <c r="V13" s="324"/>
      <c r="W13" s="324"/>
    </row>
    <row r="14" spans="2:23">
      <c r="B14" s="183" t="s">
        <v>23</v>
      </c>
      <c r="C14" s="472">
        <f>C9</f>
        <v>0.4548606859863859</v>
      </c>
      <c r="D14" s="472">
        <f t="shared" ref="D14:G14" si="1">D9</f>
        <v>0.50099052567703828</v>
      </c>
      <c r="E14" s="472">
        <f t="shared" si="1"/>
        <v>0.51842658090944704</v>
      </c>
      <c r="F14" s="472">
        <f t="shared" si="1"/>
        <v>0.51797150748436527</v>
      </c>
      <c r="G14" s="472">
        <f t="shared" si="1"/>
        <v>0.5157598235957298</v>
      </c>
      <c r="H14" s="324"/>
      <c r="I14" s="181" t="s">
        <v>30</v>
      </c>
      <c r="J14" s="324"/>
      <c r="K14" s="324"/>
      <c r="L14" s="324"/>
      <c r="M14" s="324"/>
      <c r="N14" s="324"/>
      <c r="O14" s="324"/>
      <c r="P14" s="324"/>
      <c r="Q14" s="324"/>
      <c r="R14" s="324"/>
      <c r="S14" s="324"/>
      <c r="T14" s="324"/>
      <c r="U14" s="324"/>
      <c r="V14" s="324"/>
      <c r="W14" s="324"/>
    </row>
    <row r="15" spans="2:23">
      <c r="B15" s="182" t="s">
        <v>27</v>
      </c>
      <c r="C15" s="471">
        <f>BS!C26/BS!C50</f>
        <v>1.7808612563330299</v>
      </c>
      <c r="D15" s="471">
        <f>BS!D26/BS!D50</f>
        <v>1.8508960564045518</v>
      </c>
      <c r="E15" s="471">
        <f>BS!E26/BS!E50</f>
        <v>2.0027650185505732</v>
      </c>
      <c r="F15" s="471">
        <f>BS!F26/BS!F50</f>
        <v>2.9518534732345083</v>
      </c>
      <c r="G15" s="471">
        <f>BS!G26/BS!G50</f>
        <v>3.1137585129853003</v>
      </c>
      <c r="H15" s="324"/>
      <c r="I15" s="181" t="s">
        <v>34</v>
      </c>
      <c r="J15" s="324"/>
      <c r="K15" s="324"/>
      <c r="L15" s="324"/>
      <c r="M15" s="324"/>
      <c r="N15" s="324"/>
      <c r="O15" s="324"/>
      <c r="P15" s="324"/>
      <c r="Q15" s="324"/>
      <c r="R15" s="324"/>
      <c r="S15" s="324"/>
      <c r="T15" s="324"/>
      <c r="U15" s="324"/>
      <c r="V15" s="324"/>
      <c r="W15" s="324"/>
    </row>
    <row r="16" spans="2:23">
      <c r="B16" s="157" t="s">
        <v>28</v>
      </c>
      <c r="C16" s="111">
        <f t="shared" ref="C16:G16" si="2">PRODUCT(C11:C15)</f>
        <v>0.10906644937223921</v>
      </c>
      <c r="D16" s="111">
        <f t="shared" si="2"/>
        <v>0.10935932506194308</v>
      </c>
      <c r="E16" s="111">
        <f t="shared" si="2"/>
        <v>0.12439805228641664</v>
      </c>
      <c r="F16" s="111">
        <f t="shared" si="2"/>
        <v>0.15735724724021716</v>
      </c>
      <c r="G16" s="111">
        <f t="shared" si="2"/>
        <v>0.14887092948178368</v>
      </c>
      <c r="H16" s="324"/>
      <c r="I16" s="324"/>
      <c r="J16" s="324"/>
      <c r="K16" s="324"/>
      <c r="L16" s="324"/>
      <c r="M16" s="324"/>
      <c r="N16" s="324"/>
      <c r="O16" s="324"/>
      <c r="P16" s="324"/>
      <c r="Q16" s="324"/>
      <c r="R16" s="324"/>
      <c r="S16" s="324"/>
      <c r="T16" s="324"/>
      <c r="U16" s="324"/>
      <c r="V16" s="324"/>
      <c r="W16" s="324"/>
    </row>
    <row r="17" spans="2:23">
      <c r="B17" s="324"/>
      <c r="C17" s="324"/>
      <c r="D17" s="324"/>
      <c r="E17" s="324"/>
      <c r="F17" s="324"/>
      <c r="G17" s="324"/>
      <c r="H17" s="324"/>
      <c r="I17" s="324"/>
      <c r="J17" s="324"/>
      <c r="K17" s="324"/>
      <c r="L17" s="324"/>
      <c r="M17" s="324"/>
      <c r="N17" s="324"/>
      <c r="O17" s="324"/>
      <c r="P17" s="324"/>
      <c r="Q17" s="324"/>
      <c r="R17" s="324"/>
      <c r="S17" s="324"/>
      <c r="T17" s="324"/>
      <c r="U17" s="324"/>
      <c r="V17" s="324"/>
      <c r="W17" s="324"/>
    </row>
    <row r="18" spans="2:23">
      <c r="B18" s="514" t="s">
        <v>158</v>
      </c>
      <c r="C18" s="515"/>
      <c r="D18" s="515"/>
      <c r="E18" s="515"/>
      <c r="F18" s="515"/>
      <c r="G18" s="515"/>
      <c r="H18" s="324"/>
      <c r="I18" s="324"/>
      <c r="J18" s="324"/>
      <c r="K18" s="324"/>
      <c r="L18" s="324"/>
      <c r="M18" s="324"/>
      <c r="N18" s="324"/>
      <c r="O18" s="324"/>
      <c r="P18" s="324"/>
      <c r="Q18" s="324"/>
      <c r="R18" s="324"/>
      <c r="S18" s="324"/>
      <c r="T18" s="324"/>
      <c r="U18" s="324"/>
      <c r="V18" s="324"/>
      <c r="W18" s="324"/>
    </row>
    <row r="19" spans="2:23">
      <c r="B19" s="38"/>
      <c r="C19" s="50">
        <f>CF!C6</f>
        <v>2012</v>
      </c>
      <c r="D19" s="51">
        <f>C19+1</f>
        <v>2013</v>
      </c>
      <c r="E19" s="51">
        <f>D19+1</f>
        <v>2014</v>
      </c>
      <c r="F19" s="51">
        <f>E19+1</f>
        <v>2015</v>
      </c>
      <c r="G19" s="51">
        <f>F19+1</f>
        <v>2016</v>
      </c>
      <c r="H19" s="324"/>
      <c r="I19" s="324"/>
      <c r="J19" s="324"/>
      <c r="K19" s="324"/>
      <c r="L19" s="324"/>
      <c r="M19" s="324"/>
      <c r="N19" s="324"/>
      <c r="O19" s="324"/>
      <c r="P19" s="324"/>
      <c r="Q19" s="324"/>
      <c r="R19" s="324"/>
      <c r="S19" s="324"/>
      <c r="T19" s="324"/>
      <c r="U19" s="324"/>
      <c r="V19" s="324"/>
      <c r="W19" s="324"/>
    </row>
    <row r="20" spans="2:23">
      <c r="B20" s="183" t="s">
        <v>172</v>
      </c>
      <c r="C20" s="340">
        <f>DCF!C12</f>
        <v>0.84242562238384333</v>
      </c>
      <c r="D20" s="340">
        <f>DCF!D12</f>
        <v>0.84903865618817342</v>
      </c>
      <c r="E20" s="340">
        <f>DCF!E12</f>
        <v>0.84843103970702749</v>
      </c>
      <c r="F20" s="340">
        <f>DCF!F12</f>
        <v>0.8473312772528917</v>
      </c>
      <c r="G20" s="340">
        <f>DCF!G12</f>
        <v>0.84912558533887528</v>
      </c>
      <c r="H20" s="324"/>
      <c r="I20" s="198" t="s">
        <v>173</v>
      </c>
      <c r="J20" s="324"/>
      <c r="K20" s="324"/>
      <c r="L20" s="324"/>
      <c r="M20" s="324"/>
      <c r="N20" s="324"/>
      <c r="O20" s="324"/>
      <c r="P20" s="324"/>
      <c r="Q20" s="324"/>
      <c r="R20" s="324"/>
      <c r="S20" s="324"/>
      <c r="T20" s="324"/>
      <c r="U20" s="324"/>
      <c r="V20" s="324"/>
      <c r="W20" s="324"/>
    </row>
    <row r="21" spans="2:23">
      <c r="B21" s="183" t="s">
        <v>22</v>
      </c>
      <c r="C21" s="340">
        <f>DCF!C29</f>
        <v>0.12940218144334628</v>
      </c>
      <c r="D21" s="340">
        <f>DCF!D29</f>
        <v>0.11303588078719642</v>
      </c>
      <c r="E21" s="340">
        <f>DCF!E29</f>
        <v>0.11618027974443101</v>
      </c>
      <c r="F21" s="340">
        <f>DCF!F29</f>
        <v>0.10069969695259373</v>
      </c>
      <c r="G21" s="340">
        <f>DCF!G29</f>
        <v>9.7145544115425655E-2</v>
      </c>
      <c r="H21" s="324"/>
      <c r="I21" s="198" t="s">
        <v>174</v>
      </c>
      <c r="J21" s="324"/>
      <c r="K21" s="324"/>
      <c r="L21" s="324"/>
      <c r="M21" s="324"/>
      <c r="N21" s="324"/>
      <c r="O21" s="324"/>
      <c r="P21" s="324"/>
      <c r="Q21" s="324"/>
      <c r="R21" s="324"/>
      <c r="S21" s="324"/>
      <c r="T21" s="324"/>
      <c r="U21" s="324"/>
      <c r="V21" s="324"/>
      <c r="W21" s="324"/>
    </row>
    <row r="22" spans="2:23">
      <c r="B22" s="183" t="s">
        <v>177</v>
      </c>
      <c r="C22" s="340">
        <f>C13</f>
        <v>0.18357466179155824</v>
      </c>
      <c r="D22" s="340">
        <f t="shared" ref="D22:G22" si="3">D13</f>
        <v>0.15784867291733926</v>
      </c>
      <c r="E22" s="340">
        <f t="shared" si="3"/>
        <v>0.15609648022468176</v>
      </c>
      <c r="F22" s="340">
        <f t="shared" si="3"/>
        <v>0.1427770721138828</v>
      </c>
      <c r="G22" s="340">
        <f t="shared" si="3"/>
        <v>0.13393479288383855</v>
      </c>
      <c r="H22" s="324"/>
      <c r="I22" s="198" t="s">
        <v>178</v>
      </c>
      <c r="J22" s="324"/>
      <c r="K22" s="324"/>
      <c r="L22" s="324"/>
      <c r="M22" s="324"/>
      <c r="N22" s="324"/>
      <c r="O22" s="324"/>
      <c r="P22" s="324"/>
      <c r="Q22" s="324"/>
      <c r="R22" s="324"/>
      <c r="S22" s="324"/>
      <c r="T22" s="324"/>
      <c r="U22" s="324"/>
      <c r="V22" s="324"/>
      <c r="W22" s="324"/>
    </row>
    <row r="23" spans="2:23">
      <c r="B23" s="183" t="s">
        <v>234</v>
      </c>
      <c r="C23" s="327">
        <f>IS!C15/IS!C7</f>
        <v>0</v>
      </c>
      <c r="D23" s="327">
        <f>IS!D15/IS!D7</f>
        <v>0</v>
      </c>
      <c r="E23" s="327">
        <f>IS!E15/IS!E7</f>
        <v>0</v>
      </c>
      <c r="F23" s="327">
        <f>IS!F15/IS!F7</f>
        <v>5.249543305379357E-3</v>
      </c>
      <c r="G23" s="327">
        <f>IS!G15/IS!G7</f>
        <v>1.1266281069860591E-2</v>
      </c>
      <c r="H23" s="324"/>
      <c r="I23" s="198" t="s">
        <v>233</v>
      </c>
      <c r="J23" s="324"/>
      <c r="K23" s="324"/>
      <c r="L23" s="324"/>
      <c r="M23" s="324"/>
      <c r="N23" s="324"/>
      <c r="O23" s="324"/>
      <c r="P23" s="324"/>
      <c r="Q23" s="324"/>
      <c r="R23" s="324"/>
      <c r="S23" s="324"/>
      <c r="T23" s="324"/>
      <c r="U23" s="324"/>
      <c r="V23" s="324"/>
      <c r="W23" s="324"/>
    </row>
    <row r="24" spans="2:23">
      <c r="B24" s="181" t="s">
        <v>176</v>
      </c>
      <c r="C24" s="103">
        <f>BS!C43/BS!C26</f>
        <v>0.43847394262532319</v>
      </c>
      <c r="D24" s="103">
        <f>BS!D43/BS!D26</f>
        <v>0.45972114612284354</v>
      </c>
      <c r="E24" s="103">
        <f>BS!E43/BS!E26</f>
        <v>0.50069030029108819</v>
      </c>
      <c r="F24" s="103">
        <f>BS!F43/BS!F26</f>
        <v>0.66122979711989394</v>
      </c>
      <c r="G24" s="103">
        <f>BS!G43/BS!G26</f>
        <v>0.67884471585394235</v>
      </c>
      <c r="H24" s="324"/>
      <c r="I24" s="198" t="s">
        <v>162</v>
      </c>
      <c r="J24" s="324"/>
      <c r="K24" s="324"/>
      <c r="L24" s="324"/>
      <c r="M24" s="324"/>
      <c r="N24" s="324"/>
      <c r="O24" s="324"/>
      <c r="P24" s="324"/>
      <c r="Q24" s="324"/>
      <c r="R24" s="324"/>
      <c r="S24" s="324"/>
      <c r="T24" s="324"/>
      <c r="U24" s="324"/>
      <c r="V24" s="324"/>
      <c r="W24" s="324"/>
    </row>
    <row r="25" spans="2:23">
      <c r="B25" s="181" t="s">
        <v>170</v>
      </c>
      <c r="C25" s="103">
        <f>BS!C42/BS!C50</f>
        <v>0.1901442433141719</v>
      </c>
      <c r="D25" s="103">
        <f>BS!D42/BS!D50</f>
        <v>0.2024700015327324</v>
      </c>
      <c r="E25" s="103">
        <f>BS!E42/BS!E50</f>
        <v>0.26262067542782358</v>
      </c>
      <c r="F25" s="103">
        <f>BS!F42/BS!F50</f>
        <v>0.91587378467451863</v>
      </c>
      <c r="G25" s="103">
        <f>BS!G42/BS!G50</f>
        <v>0.94533854104218129</v>
      </c>
      <c r="H25" s="324"/>
      <c r="I25" s="198" t="s">
        <v>171</v>
      </c>
      <c r="J25" s="324"/>
      <c r="K25" s="324"/>
      <c r="L25" s="324"/>
      <c r="M25" s="324"/>
      <c r="N25" s="324"/>
      <c r="O25" s="324"/>
      <c r="P25" s="324"/>
      <c r="Q25" s="324"/>
      <c r="R25" s="324"/>
      <c r="S25" s="324"/>
      <c r="T25" s="324"/>
      <c r="U25" s="324"/>
      <c r="V25" s="324"/>
      <c r="W25" s="324"/>
    </row>
    <row r="26" spans="2:23">
      <c r="B26" s="181" t="s">
        <v>159</v>
      </c>
      <c r="C26" s="103" t="e">
        <f>IS!C14/IS!C15</f>
        <v>#DIV/0!</v>
      </c>
      <c r="D26" s="103" t="e">
        <f>IS!D14/IS!D15</f>
        <v>#DIV/0!</v>
      </c>
      <c r="E26" s="103" t="e">
        <f>IS!E14/IS!E15</f>
        <v>#DIV/0!</v>
      </c>
      <c r="F26" s="103">
        <f>IS!F14/IS!F15</f>
        <v>26.612092825207579</v>
      </c>
      <c r="G26" s="103">
        <f>IS!G14/IS!G15</f>
        <v>12.458284676268327</v>
      </c>
      <c r="H26" s="324"/>
      <c r="I26" s="198" t="s">
        <v>163</v>
      </c>
      <c r="J26" s="324"/>
      <c r="K26" s="324"/>
      <c r="L26" s="324"/>
      <c r="M26" s="324"/>
      <c r="N26" s="324"/>
      <c r="O26" s="324"/>
      <c r="P26" s="324"/>
      <c r="Q26" s="324"/>
      <c r="R26" s="324"/>
      <c r="S26" s="324"/>
      <c r="T26" s="324"/>
      <c r="U26" s="324"/>
      <c r="V26" s="324"/>
      <c r="W26" s="324"/>
    </row>
    <row r="27" spans="2:23">
      <c r="B27" s="181" t="s">
        <v>220</v>
      </c>
      <c r="C27" s="103">
        <f>IS!C7/((BS!C10+BS!C10)/2)</f>
        <v>4.4404067716905713</v>
      </c>
      <c r="D27" s="103">
        <f>IS!D7/((BS!C10+BS!D10)/2)</f>
        <v>4.7617438481192282</v>
      </c>
      <c r="E27" s="103">
        <f>IS!E7/((BS!D10+BS!E10)/2)</f>
        <v>4.6255666610402448</v>
      </c>
      <c r="F27" s="103">
        <f>IS!F7/((BS!E10+BS!F10)/2)</f>
        <v>4.3192290750227791</v>
      </c>
      <c r="G27" s="103">
        <f>IS!G7/((BS!F10+BS!G10)/2)</f>
        <v>4.1979225475997612</v>
      </c>
      <c r="H27" s="324"/>
      <c r="I27" s="198" t="s">
        <v>224</v>
      </c>
      <c r="J27" s="324"/>
      <c r="K27" s="324"/>
      <c r="L27" s="324"/>
      <c r="M27" s="324"/>
      <c r="N27" s="324"/>
      <c r="O27" s="324"/>
      <c r="P27" s="324"/>
      <c r="Q27" s="324"/>
      <c r="R27" s="324"/>
      <c r="S27" s="324"/>
      <c r="T27" s="324"/>
      <c r="U27" s="324"/>
      <c r="V27" s="324"/>
      <c r="W27" s="324"/>
    </row>
    <row r="28" spans="2:23">
      <c r="B28" s="181" t="s">
        <v>222</v>
      </c>
      <c r="C28" s="103">
        <f>IS!C7/365</f>
        <v>3104.391780821918</v>
      </c>
      <c r="D28" s="103">
        <f>IS!D7/365</f>
        <v>3640.5945205479452</v>
      </c>
      <c r="E28" s="103">
        <f>IS!E7/365</f>
        <v>4204.4246575342468</v>
      </c>
      <c r="F28" s="103">
        <f>IS!F7/365</f>
        <v>4902.7095890410956</v>
      </c>
      <c r="G28" s="103">
        <f>IS!G7/365</f>
        <v>5622.5479452054797</v>
      </c>
      <c r="H28" s="324"/>
      <c r="I28" s="198" t="s">
        <v>223</v>
      </c>
      <c r="J28" s="324"/>
      <c r="K28" s="324"/>
      <c r="L28" s="324"/>
      <c r="M28" s="324"/>
      <c r="N28" s="324"/>
      <c r="O28" s="324"/>
      <c r="P28" s="324"/>
      <c r="Q28" s="324"/>
      <c r="R28" s="324"/>
      <c r="S28" s="324"/>
      <c r="T28" s="324"/>
      <c r="U28" s="324"/>
      <c r="V28" s="324"/>
      <c r="W28" s="324"/>
    </row>
    <row r="29" spans="2:23">
      <c r="B29" s="181" t="s">
        <v>221</v>
      </c>
      <c r="C29" s="103">
        <f>((BS!C10+BS!C10)/2)/DuPont!C28</f>
        <v>82.199676463657752</v>
      </c>
      <c r="D29" s="103">
        <f>((BS!C10+BS!D10)/2)/DuPont!D28</f>
        <v>76.652590236277831</v>
      </c>
      <c r="E29" s="103">
        <f>((BS!D10+BS!E10)/2)/DuPont!E28</f>
        <v>78.909250854448828</v>
      </c>
      <c r="F29" s="103">
        <f>((BS!E10+BS!F10)/2)/DuPont!F28</f>
        <v>84.505821214883142</v>
      </c>
      <c r="G29" s="103">
        <f>((BS!F10+BS!G10)/2)/DuPont!G28</f>
        <v>86.947769012245217</v>
      </c>
      <c r="H29" s="324"/>
      <c r="I29" s="198" t="s">
        <v>225</v>
      </c>
      <c r="J29" s="324"/>
      <c r="K29" s="324"/>
      <c r="L29" s="324"/>
      <c r="M29" s="324"/>
      <c r="N29" s="324"/>
      <c r="O29" s="324"/>
      <c r="P29" s="324"/>
      <c r="Q29" s="324"/>
      <c r="R29" s="324"/>
      <c r="S29" s="324"/>
      <c r="T29" s="324"/>
      <c r="U29" s="324"/>
      <c r="V29" s="324"/>
      <c r="W29" s="324"/>
    </row>
    <row r="30" spans="2:23">
      <c r="B30" s="183" t="s">
        <v>160</v>
      </c>
      <c r="C30" s="160"/>
      <c r="D30" s="160"/>
      <c r="E30" s="160"/>
      <c r="F30" s="160"/>
      <c r="G30" s="160"/>
      <c r="H30" s="324"/>
      <c r="I30" s="198" t="s">
        <v>179</v>
      </c>
      <c r="J30" s="324"/>
      <c r="K30" s="324"/>
      <c r="L30" s="324"/>
      <c r="M30" s="324"/>
      <c r="N30" s="324"/>
      <c r="O30" s="324"/>
      <c r="P30" s="324"/>
      <c r="Q30" s="324"/>
      <c r="R30" s="324"/>
      <c r="S30" s="324"/>
      <c r="T30" s="324"/>
      <c r="U30" s="324"/>
      <c r="V30" s="324"/>
      <c r="W30" s="324"/>
    </row>
    <row r="31" spans="2:23">
      <c r="B31" s="183" t="s">
        <v>218</v>
      </c>
      <c r="C31" s="160"/>
      <c r="D31" s="160"/>
      <c r="E31" s="160"/>
      <c r="F31" s="160"/>
      <c r="G31" s="160"/>
      <c r="H31" s="324"/>
      <c r="I31" s="198" t="s">
        <v>219</v>
      </c>
      <c r="J31" s="324"/>
      <c r="K31" s="324"/>
      <c r="L31" s="324"/>
      <c r="M31" s="324"/>
      <c r="N31" s="324"/>
      <c r="O31" s="324"/>
      <c r="P31" s="324"/>
      <c r="Q31" s="324"/>
      <c r="R31" s="324"/>
      <c r="S31" s="324"/>
      <c r="T31" s="324"/>
      <c r="U31" s="324"/>
      <c r="V31" s="324"/>
      <c r="W31" s="324"/>
    </row>
    <row r="32" spans="2:23">
      <c r="B32" s="183" t="s">
        <v>226</v>
      </c>
      <c r="C32" s="103">
        <f>IS!C8/((BS!C30+BS!C30)/2)</f>
        <v>5.8261437055406908</v>
      </c>
      <c r="D32" s="103">
        <f>IS!D8/((BS!D30+BS!C30)/2)</f>
        <v>4.1645473701693012</v>
      </c>
      <c r="E32" s="103">
        <f>IS!E8/((BS!E30+BS!D30)/2)</f>
        <v>3.7211534615846098</v>
      </c>
      <c r="F32" s="103">
        <f>IS!F8/((BS!F30+BS!E30)/2)</f>
        <v>6.0481730332849981</v>
      </c>
      <c r="G32" s="103">
        <f>IS!G8/((BS!G30+BS!F30)/2)</f>
        <v>4.4210608981223674</v>
      </c>
      <c r="H32" s="324"/>
      <c r="I32" s="198" t="s">
        <v>230</v>
      </c>
      <c r="J32" s="324"/>
      <c r="K32" s="324"/>
      <c r="L32" s="324"/>
      <c r="M32" s="324"/>
      <c r="N32" s="324"/>
      <c r="O32" s="324"/>
      <c r="P32" s="324"/>
      <c r="Q32" s="324"/>
      <c r="R32" s="324"/>
      <c r="S32" s="324"/>
      <c r="T32" s="324"/>
      <c r="U32" s="324"/>
      <c r="V32" s="324"/>
      <c r="W32" s="324"/>
    </row>
    <row r="33" spans="2:23">
      <c r="B33" s="183" t="s">
        <v>227</v>
      </c>
      <c r="C33" s="103">
        <f>365/C32</f>
        <v>62.648643502027461</v>
      </c>
      <c r="D33" s="103">
        <f t="shared" ref="D33:G33" si="4">365/D32</f>
        <v>87.644578763708878</v>
      </c>
      <c r="E33" s="103">
        <f t="shared" si="4"/>
        <v>98.08786543422184</v>
      </c>
      <c r="F33" s="103">
        <f t="shared" si="4"/>
        <v>60.348802521239094</v>
      </c>
      <c r="G33" s="103">
        <f t="shared" si="4"/>
        <v>82.559369438909144</v>
      </c>
      <c r="H33" s="324"/>
      <c r="I33" s="198" t="s">
        <v>231</v>
      </c>
      <c r="J33" s="324"/>
      <c r="K33" s="324"/>
      <c r="L33" s="324"/>
      <c r="M33" s="324"/>
      <c r="N33" s="324"/>
      <c r="O33" s="324"/>
      <c r="P33" s="324"/>
      <c r="Q33" s="324"/>
      <c r="R33" s="324"/>
      <c r="S33" s="324"/>
      <c r="T33" s="324"/>
      <c r="U33" s="324"/>
      <c r="V33" s="324"/>
      <c r="W33" s="324"/>
    </row>
    <row r="34" spans="2:23">
      <c r="B34" s="183" t="s">
        <v>228</v>
      </c>
      <c r="C34" s="334">
        <f>C31+C29-C33</f>
        <v>19.551032961630291</v>
      </c>
      <c r="D34" s="334">
        <f t="shared" ref="D34:G34" si="5">D31+D29-D33</f>
        <v>-10.991988527431047</v>
      </c>
      <c r="E34" s="334">
        <f t="shared" si="5"/>
        <v>-19.178614579773011</v>
      </c>
      <c r="F34" s="334">
        <f t="shared" si="5"/>
        <v>24.157018693644048</v>
      </c>
      <c r="G34" s="334">
        <f t="shared" si="5"/>
        <v>4.3883995733360734</v>
      </c>
      <c r="H34" s="324"/>
      <c r="I34" s="198" t="s">
        <v>229</v>
      </c>
      <c r="J34" s="324"/>
      <c r="K34" s="324"/>
      <c r="L34" s="324"/>
      <c r="M34" s="324"/>
      <c r="N34" s="324"/>
      <c r="O34" s="324"/>
      <c r="P34" s="324"/>
      <c r="Q34" s="324"/>
      <c r="R34" s="324"/>
      <c r="S34" s="324"/>
      <c r="T34" s="324"/>
      <c r="U34" s="324"/>
      <c r="V34" s="324"/>
      <c r="W34" s="324"/>
    </row>
    <row r="35" spans="2:23">
      <c r="B35" s="183" t="s">
        <v>161</v>
      </c>
      <c r="C35" s="103">
        <f>BS!C14/BS!C35</f>
        <v>1.4780922298666956</v>
      </c>
      <c r="D35" s="103">
        <f>BS!D14/BS!D35</f>
        <v>1.3885891619458828</v>
      </c>
      <c r="E35" s="103">
        <f>BS!E14/BS!E35</f>
        <v>1.3685229155307181</v>
      </c>
      <c r="F35" s="103">
        <f>BS!F14/BS!F35</f>
        <v>1.476175027646828</v>
      </c>
      <c r="G35" s="103">
        <f>BS!G14/BS!G35</f>
        <v>1.2009111217007433</v>
      </c>
      <c r="H35" s="324"/>
      <c r="I35" s="198" t="s">
        <v>164</v>
      </c>
      <c r="J35" s="324"/>
      <c r="K35" s="324"/>
      <c r="L35" s="324"/>
      <c r="M35" s="324"/>
      <c r="N35" s="324"/>
      <c r="O35" s="324"/>
      <c r="P35" s="324"/>
      <c r="Q35" s="324"/>
      <c r="R35" s="324"/>
      <c r="S35" s="324"/>
      <c r="T35" s="324"/>
      <c r="U35" s="324"/>
      <c r="V35" s="324"/>
      <c r="W35" s="324"/>
    </row>
    <row r="36" spans="2:23">
      <c r="B36" s="183" t="s">
        <v>175</v>
      </c>
      <c r="C36" s="103">
        <f>(BS!C14-0)/BS!C35</f>
        <v>1.4780922298666956</v>
      </c>
      <c r="D36" s="103">
        <f>(BS!D14-0)/BS!D35</f>
        <v>1.3885891619458828</v>
      </c>
      <c r="E36" s="103">
        <f>(BS!E14-0)/BS!E35</f>
        <v>1.3685229155307181</v>
      </c>
      <c r="F36" s="103">
        <f>(BS!F14-0)/BS!F35</f>
        <v>1.476175027646828</v>
      </c>
      <c r="G36" s="103">
        <f>(BS!G14-0)/BS!G35</f>
        <v>1.2009111217007433</v>
      </c>
      <c r="H36" s="324"/>
      <c r="I36" s="198" t="s">
        <v>165</v>
      </c>
      <c r="J36" s="324"/>
      <c r="K36" s="324"/>
      <c r="L36" s="324"/>
      <c r="M36" s="324"/>
      <c r="N36" s="324"/>
      <c r="O36" s="324"/>
      <c r="P36" s="324"/>
      <c r="Q36" s="324"/>
      <c r="R36" s="324"/>
      <c r="S36" s="324"/>
      <c r="T36" s="324"/>
      <c r="U36" s="324"/>
      <c r="V36" s="324"/>
      <c r="W36" s="324"/>
    </row>
    <row r="37" spans="2:23">
      <c r="B37" s="183" t="s">
        <v>209</v>
      </c>
      <c r="C37" s="473">
        <f>(BS!C14-BS!C35)/IS!C7</f>
        <v>0.34864438625614796</v>
      </c>
      <c r="D37" s="473">
        <f>(BS!D14-BS!D35)/IS!D7</f>
        <v>0.28825413883175788</v>
      </c>
      <c r="E37" s="473">
        <f>(BS!E12-BS!E27)/IS!E7</f>
        <v>7.7144430362012628E-2</v>
      </c>
      <c r="F37" s="473">
        <f>(BS!F12-BS!F27)/IS!F7</f>
        <v>8.4222367390914391E-2</v>
      </c>
      <c r="G37" s="473">
        <f>(BS!G12-BS!G27)/IS!G7</f>
        <v>1.5984563133761811E-2</v>
      </c>
      <c r="H37" s="324"/>
      <c r="I37" s="198" t="s">
        <v>210</v>
      </c>
      <c r="J37" s="324"/>
      <c r="K37" s="324"/>
      <c r="L37" s="324"/>
      <c r="M37" s="324"/>
      <c r="N37" s="324"/>
      <c r="O37" s="324"/>
      <c r="P37" s="324"/>
      <c r="Q37" s="324"/>
      <c r="R37" s="324"/>
      <c r="S37" s="324"/>
      <c r="T37" s="324"/>
      <c r="U37" s="324"/>
      <c r="V37" s="324"/>
      <c r="W37" s="324"/>
    </row>
  </sheetData>
  <mergeCells count="3">
    <mergeCell ref="B6:G6"/>
    <mergeCell ref="B18:G18"/>
    <mergeCell ref="B4:C4"/>
  </mergeCells>
  <conditionalFormatting sqref="B41 B20:B23">
    <cfRule type="duplicateValues" dxfId="1" priority="6"/>
  </conditionalFormatting>
  <conditionalFormatting sqref="B20:G37">
    <cfRule type="expression" dxfId="0" priority="1">
      <formula>MOD(ROW(),2)=0</formula>
    </cfRule>
  </conditionalFormatting>
  <pageMargins left="0.7" right="0.7" top="0.75" bottom="0.75" header="0.3" footer="0.3"/>
  <pageSetup fitToHeight="0" orientation="portrait" r:id="rId1"/>
  <drawing r:id="rId2"/>
  <legacyDrawing r:id="rId3"/>
  <extLst>
    <ext xmlns:x14="http://schemas.microsoft.com/office/spreadsheetml/2009/9/main" uri="{05C60535-1F16-4fd2-B633-F4F36F0B64E0}">
      <x14:sparklineGroups xmlns:xm="http://schemas.microsoft.com/office/excel/2006/main">
        <x14:sparklineGroup manualMax="0" manualMin="0" type="column" displayEmptyCellsAs="gap" negative="1">
          <x14:colorSeries theme="5"/>
          <x14:colorNegative theme="1"/>
          <x14:colorAxis rgb="FF000000"/>
          <x14:colorMarkers rgb="FFD00000"/>
          <x14:colorFirst rgb="FFD00000"/>
          <x14:colorLast rgb="FFD00000"/>
          <x14:colorHigh rgb="FFD00000"/>
          <x14:colorLow rgb="FFD00000"/>
          <x14:sparklines>
            <x14:sparkline>
              <xm:f>DuPont!C20:G20</xm:f>
              <xm:sqref>H20</xm:sqref>
            </x14:sparkline>
            <x14:sparkline>
              <xm:f>DuPont!C21:G21</xm:f>
              <xm:sqref>H21</xm:sqref>
            </x14:sparkline>
            <x14:sparkline>
              <xm:f>DuPont!C22:G22</xm:f>
              <xm:sqref>H22</xm:sqref>
            </x14:sparkline>
            <x14:sparkline>
              <xm:f>DuPont!C23:G23</xm:f>
              <xm:sqref>H23</xm:sqref>
            </x14:sparkline>
            <x14:sparkline>
              <xm:f>DuPont!C24:G24</xm:f>
              <xm:sqref>H24</xm:sqref>
            </x14:sparkline>
            <x14:sparkline>
              <xm:f>DuPont!C25:G25</xm:f>
              <xm:sqref>H25</xm:sqref>
            </x14:sparkline>
            <x14:sparkline>
              <xm:f>DuPont!C26:G26</xm:f>
              <xm:sqref>H26</xm:sqref>
            </x14:sparkline>
            <x14:sparkline>
              <xm:f>DuPont!C27:G27</xm:f>
              <xm:sqref>H27</xm:sqref>
            </x14:sparkline>
            <x14:sparkline>
              <xm:f>DuPont!C28:G28</xm:f>
              <xm:sqref>H28</xm:sqref>
            </x14:sparkline>
            <x14:sparkline>
              <xm:f>DuPont!C29:G29</xm:f>
              <xm:sqref>H29</xm:sqref>
            </x14:sparkline>
            <x14:sparkline>
              <xm:f>DuPont!C30:G30</xm:f>
              <xm:sqref>H30</xm:sqref>
            </x14:sparkline>
            <x14:sparkline>
              <xm:f>DuPont!C31:G31</xm:f>
              <xm:sqref>H31</xm:sqref>
            </x14:sparkline>
            <x14:sparkline>
              <xm:f>DuPont!C32:G32</xm:f>
              <xm:sqref>H32</xm:sqref>
            </x14:sparkline>
            <x14:sparkline>
              <xm:f>DuPont!C33:G33</xm:f>
              <xm:sqref>H33</xm:sqref>
            </x14:sparkline>
            <x14:sparkline>
              <xm:f>DuPont!C34:G34</xm:f>
              <xm:sqref>H34</xm:sqref>
            </x14:sparkline>
            <x14:sparkline>
              <xm:f>DuPont!C35:G35</xm:f>
              <xm:sqref>H35</xm:sqref>
            </x14:sparkline>
            <x14:sparkline>
              <xm:f>DuPont!C36:G36</xm:f>
              <xm:sqref>H36</xm:sqref>
            </x14:sparkline>
            <x14:sparkline>
              <xm:f>DuPont!C37:G37</xm:f>
              <xm:sqref>H37</xm:sqref>
            </x14:sparkline>
          </x14:sparklines>
        </x14:sparklineGroup>
        <x14:sparklineGroup manualMax="0" manualMin="0" type="column" displayEmptyCellsAs="gap" markers="1">
          <x14:colorSeries theme="5"/>
          <x14:colorNegative rgb="FF000000"/>
          <x14:colorAxis rgb="FF000000"/>
          <x14:colorMarkers rgb="FF000000"/>
          <x14:colorFirst rgb="FF000000"/>
          <x14:colorLast rgb="FF000000"/>
          <x14:colorHigh rgb="FF000000"/>
          <x14:colorLow rgb="FF000000"/>
          <x14:sparklines>
            <x14:sparkline>
              <xm:f>DuPont!C8:G8</xm:f>
              <xm:sqref>H8</xm:sqref>
            </x14:sparkline>
            <x14:sparkline>
              <xm:f>DuPont!C9:G9</xm:f>
              <xm:sqref>H9</xm:sqref>
            </x14:sparkline>
            <x14:sparkline>
              <xm:f>DuPont!C10:G10</xm:f>
              <xm:sqref>H10</xm:sqref>
            </x14:sparkline>
            <x14:sparkline>
              <xm:f>DuPont!C11:G11</xm:f>
              <xm:sqref>H11</xm:sqref>
            </x14:sparkline>
            <x14:sparkline>
              <xm:f>DuPont!C12:G12</xm:f>
              <xm:sqref>H12</xm:sqref>
            </x14:sparkline>
            <x14:sparkline>
              <xm:f>DuPont!C13:G13</xm:f>
              <xm:sqref>H13</xm:sqref>
            </x14:sparkline>
            <x14:sparkline>
              <xm:f>DuPont!C14:G14</xm:f>
              <xm:sqref>H14</xm:sqref>
            </x14:sparkline>
            <x14:sparkline>
              <xm:f>DuPont!C15:G15</xm:f>
              <xm:sqref>H15</xm:sqref>
            </x14:sparkline>
            <x14:sparkline>
              <xm:f>DuPont!C16:G16</xm:f>
              <xm:sqref>H16</xm:sqref>
            </x14:sparkline>
          </x14:sparklines>
        </x14:sparklineGroup>
      </x14:sparklineGroup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N14"/>
  <sheetViews>
    <sheetView showGridLines="0" workbookViewId="0">
      <selection activeCell="M18" sqref="M18:N18"/>
    </sheetView>
  </sheetViews>
  <sheetFormatPr defaultRowHeight="15"/>
  <cols>
    <col min="1" max="1" width="1.7109375" customWidth="1"/>
    <col min="2" max="2" width="22.5703125" bestFit="1" customWidth="1"/>
    <col min="3" max="3" width="9.85546875" customWidth="1"/>
    <col min="4" max="4" width="1.28515625" customWidth="1"/>
    <col min="6" max="6" width="15.85546875" bestFit="1" customWidth="1"/>
    <col min="7" max="7" width="1.42578125" customWidth="1"/>
    <col min="8" max="8" width="25.85546875" bestFit="1" customWidth="1"/>
    <col min="9" max="9" width="7" bestFit="1" customWidth="1"/>
  </cols>
  <sheetData>
    <row r="1" spans="2:14" ht="23.25">
      <c r="B1" s="468" t="s">
        <v>362</v>
      </c>
      <c r="C1" s="240"/>
      <c r="D1" s="240"/>
      <c r="E1" s="240"/>
      <c r="F1" s="240"/>
      <c r="G1" s="240"/>
      <c r="H1" s="240"/>
      <c r="I1" s="240"/>
      <c r="J1" s="240"/>
      <c r="K1" s="240"/>
      <c r="L1" s="240"/>
      <c r="M1" s="240"/>
      <c r="N1" s="241"/>
    </row>
    <row r="2" spans="2:14" ht="15.75">
      <c r="B2" s="198" t="s">
        <v>363</v>
      </c>
      <c r="C2" s="241"/>
      <c r="D2" s="240"/>
      <c r="E2" s="241"/>
      <c r="F2" s="241"/>
      <c r="G2" s="241"/>
      <c r="H2" s="241"/>
      <c r="I2" s="241"/>
      <c r="J2" s="241"/>
      <c r="K2" s="241"/>
      <c r="L2" s="241"/>
      <c r="M2" s="241"/>
      <c r="N2" s="241"/>
    </row>
    <row r="3" spans="2:14" ht="6" customHeight="1">
      <c r="B3" s="242"/>
      <c r="C3" s="242"/>
      <c r="D3" s="242"/>
      <c r="E3" s="242"/>
      <c r="F3" s="242"/>
      <c r="G3" s="242"/>
      <c r="H3" s="242"/>
      <c r="I3" s="242"/>
      <c r="J3" s="242"/>
      <c r="K3" s="242"/>
      <c r="L3" s="242"/>
      <c r="M3" s="242"/>
      <c r="N3" s="242"/>
    </row>
    <row r="4" spans="2:14" ht="15.75">
      <c r="B4" s="449" t="s">
        <v>35</v>
      </c>
      <c r="C4" s="450"/>
      <c r="D4" s="324"/>
      <c r="E4" s="324"/>
      <c r="F4" s="324"/>
      <c r="G4" s="324"/>
      <c r="H4" s="241"/>
      <c r="I4" s="241"/>
      <c r="J4" s="241"/>
      <c r="K4" s="241"/>
      <c r="L4" s="241"/>
      <c r="M4" s="241"/>
      <c r="N4" s="241"/>
    </row>
    <row r="5" spans="2:14">
      <c r="B5" s="324"/>
      <c r="C5" s="324"/>
      <c r="D5" s="324"/>
      <c r="E5" s="324"/>
      <c r="F5" s="324"/>
      <c r="G5" s="324"/>
      <c r="H5" s="324"/>
      <c r="I5" s="324"/>
      <c r="J5" s="324"/>
      <c r="K5" s="324"/>
      <c r="L5" s="324"/>
      <c r="M5" s="324"/>
      <c r="N5" s="324"/>
    </row>
    <row r="6" spans="2:14">
      <c r="B6" s="446" t="s">
        <v>8</v>
      </c>
      <c r="C6" s="446" t="s">
        <v>78</v>
      </c>
      <c r="D6" s="324"/>
      <c r="E6" s="446" t="s">
        <v>79</v>
      </c>
      <c r="F6" s="446" t="s">
        <v>201</v>
      </c>
      <c r="G6" s="324"/>
      <c r="H6" s="118" t="s">
        <v>202</v>
      </c>
      <c r="I6" s="447"/>
      <c r="J6" s="324"/>
      <c r="K6" s="324"/>
      <c r="L6" s="324"/>
      <c r="M6" s="324"/>
      <c r="N6" s="324"/>
    </row>
    <row r="7" spans="2:14">
      <c r="B7" s="469" t="s">
        <v>364</v>
      </c>
      <c r="C7" s="324"/>
      <c r="D7" s="324"/>
      <c r="E7" s="324"/>
      <c r="F7" s="324"/>
      <c r="G7" s="324"/>
      <c r="H7" s="119" t="s">
        <v>80</v>
      </c>
      <c r="I7" s="373">
        <v>0</v>
      </c>
      <c r="J7" s="324"/>
      <c r="K7" s="324"/>
      <c r="L7" s="324"/>
      <c r="M7" s="324"/>
      <c r="N7" s="324"/>
    </row>
    <row r="8" spans="2:14">
      <c r="B8" s="324"/>
      <c r="C8" s="324"/>
      <c r="D8" s="324"/>
      <c r="E8" s="324"/>
      <c r="F8" s="324"/>
      <c r="G8" s="324"/>
      <c r="H8" s="470" t="s">
        <v>81</v>
      </c>
      <c r="I8" s="230"/>
      <c r="J8" s="324"/>
      <c r="K8" s="324"/>
      <c r="L8" s="324"/>
      <c r="M8" s="324"/>
      <c r="N8" s="324"/>
    </row>
    <row r="9" spans="2:14">
      <c r="B9" s="324"/>
      <c r="C9" s="324"/>
      <c r="D9" s="324"/>
      <c r="E9" s="324"/>
      <c r="F9" s="324"/>
      <c r="G9" s="324"/>
      <c r="H9" s="119" t="s">
        <v>82</v>
      </c>
      <c r="I9" s="335">
        <f>Valuation!C12</f>
        <v>82.6</v>
      </c>
      <c r="J9" s="324"/>
      <c r="K9" s="324"/>
      <c r="L9" s="324"/>
      <c r="M9" s="324"/>
      <c r="N9" s="324"/>
    </row>
    <row r="10" spans="2:14">
      <c r="B10" s="324"/>
      <c r="C10" s="324"/>
      <c r="D10" s="324"/>
      <c r="E10" s="324"/>
      <c r="F10" s="324"/>
      <c r="G10" s="324"/>
      <c r="H10" s="470" t="s">
        <v>43</v>
      </c>
      <c r="I10" s="230"/>
      <c r="J10" s="324"/>
      <c r="K10" s="324"/>
      <c r="L10" s="324"/>
      <c r="M10" s="324"/>
      <c r="N10" s="324"/>
    </row>
    <row r="11" spans="2:14">
      <c r="B11" s="324"/>
      <c r="C11" s="324"/>
      <c r="D11" s="324"/>
      <c r="E11" s="324"/>
      <c r="F11" s="324"/>
      <c r="G11" s="324"/>
      <c r="H11" s="324"/>
      <c r="I11" s="324"/>
      <c r="J11" s="324"/>
      <c r="K11" s="324"/>
      <c r="L11" s="324"/>
      <c r="M11" s="324"/>
      <c r="N11" s="324"/>
    </row>
    <row r="12" spans="2:14">
      <c r="B12" s="324"/>
      <c r="C12" s="324"/>
      <c r="D12" s="324"/>
      <c r="E12" s="324"/>
      <c r="F12" s="324"/>
      <c r="G12" s="324"/>
      <c r="H12" s="324"/>
      <c r="I12" s="324"/>
      <c r="J12" s="324"/>
      <c r="K12" s="324"/>
      <c r="L12" s="324"/>
      <c r="M12" s="324"/>
      <c r="N12" s="324"/>
    </row>
    <row r="13" spans="2:14">
      <c r="B13" s="324"/>
      <c r="C13" s="324"/>
      <c r="D13" s="324"/>
      <c r="E13" s="324"/>
      <c r="F13" s="324"/>
      <c r="G13" s="324"/>
      <c r="H13" s="324"/>
      <c r="I13" s="324"/>
      <c r="J13" s="324"/>
      <c r="K13" s="324"/>
      <c r="L13" s="324"/>
      <c r="M13" s="324"/>
      <c r="N13" s="324"/>
    </row>
    <row r="14" spans="2:14">
      <c r="B14" s="324"/>
      <c r="C14" s="324"/>
      <c r="D14" s="324"/>
      <c r="E14" s="324"/>
      <c r="F14" s="324"/>
      <c r="G14" s="324"/>
      <c r="H14" s="324"/>
      <c r="I14" s="324"/>
      <c r="J14" s="324"/>
      <c r="K14" s="324"/>
      <c r="L14" s="324"/>
      <c r="M14" s="324"/>
      <c r="N14" s="324"/>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99A2CC525B44464FA614728C776CFA17" ma:contentTypeVersion="5" ma:contentTypeDescription="Create a new document." ma:contentTypeScope="" ma:versionID="9378ad75962e927fa2b7a9c04a129baa">
  <xsd:schema xmlns:xsd="http://www.w3.org/2001/XMLSchema" xmlns:xs="http://www.w3.org/2001/XMLSchema" xmlns:p="http://schemas.microsoft.com/office/2006/metadata/properties" xmlns:ns2="faf8ab08-df85-4b45-9a25-4853a5308fc4" xmlns:ns3="2992665c-6a9e-43ea-8d81-3e749169cff1" targetNamespace="http://schemas.microsoft.com/office/2006/metadata/properties" ma:root="true" ma:fieldsID="59cfdecdb53f01ef1f31c7e89350be4f" ns2:_="" ns3:_="">
    <xsd:import namespace="faf8ab08-df85-4b45-9a25-4853a5308fc4"/>
    <xsd:import namespace="2992665c-6a9e-43ea-8d81-3e749169cff1"/>
    <xsd:element name="properties">
      <xsd:complexType>
        <xsd:sequence>
          <xsd:element name="documentManagement">
            <xsd:complexType>
              <xsd:all>
                <xsd:element ref="ns2:SharedWithUsers" minOccurs="0"/>
                <xsd:element ref="ns2:SharingHintHash" minOccurs="0"/>
                <xsd:element ref="ns2:SharedWithDetails" minOccurs="0"/>
                <xsd:element ref="ns3:LastSharedByUser" minOccurs="0"/>
                <xsd:element ref="ns3:LastSharedBy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af8ab08-df85-4b45-9a25-4853a5308fc4"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ingHintHash" ma:index="9" nillable="true" ma:displayName="Sharing Hint Hash" ma:internalName="SharingHintHash" ma:readOnly="true">
      <xsd:simpleType>
        <xsd:restriction base="dms:Text"/>
      </xsd:simpleType>
    </xsd:element>
    <xsd:element name="SharedWithDetails" ma:index="10"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992665c-6a9e-43ea-8d81-3e749169cff1" elementFormDefault="qualified">
    <xsd:import namespace="http://schemas.microsoft.com/office/2006/documentManagement/types"/>
    <xsd:import namespace="http://schemas.microsoft.com/office/infopath/2007/PartnerControls"/>
    <xsd:element name="LastSharedByUser" ma:index="11" nillable="true" ma:displayName="Last Shared By User" ma:description="" ma:internalName="LastSharedByUser" ma:readOnly="true">
      <xsd:simpleType>
        <xsd:restriction base="dms:Note">
          <xsd:maxLength value="255"/>
        </xsd:restriction>
      </xsd:simpleType>
    </xsd:element>
    <xsd:element name="LastSharedByTime" ma:index="12" nillable="true" ma:displayName="Last Shared By Time" ma:description="" ma:internalName="LastSharedByTime" ma:readOnly="tru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810C2BB-5814-4E6B-9962-A630A2A5D0C1}">
  <ds:schemaRefs>
    <ds:schemaRef ds:uri="http://schemas.microsoft.com/sharepoint/v3/contenttype/forms"/>
  </ds:schemaRefs>
</ds:datastoreItem>
</file>

<file path=customXml/itemProps2.xml><?xml version="1.0" encoding="utf-8"?>
<ds:datastoreItem xmlns:ds="http://schemas.openxmlformats.org/officeDocument/2006/customXml" ds:itemID="{01362853-DD92-433B-B36B-4199DB996714}">
  <ds:schemaRefs>
    <ds:schemaRef ds:uri="http://schemas.microsoft.com/DataMashup"/>
  </ds:schemaRefs>
</ds:datastoreItem>
</file>

<file path=customXml/itemProps3.xml><?xml version="1.0" encoding="utf-8"?>
<ds:datastoreItem xmlns:ds="http://schemas.openxmlformats.org/officeDocument/2006/customXml" ds:itemID="{6223C976-F4E9-4485-AA18-598E69A0CBFF}">
  <ds:schemaRefs>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purl.org/dc/terms/"/>
    <ds:schemaRef ds:uri="http://schemas.openxmlformats.org/package/2006/metadata/core-properties"/>
    <ds:schemaRef ds:uri="2992665c-6a9e-43ea-8d81-3e749169cff1"/>
    <ds:schemaRef ds:uri="faf8ab08-df85-4b45-9a25-4853a5308fc4"/>
    <ds:schemaRef ds:uri="http://www.w3.org/XML/1998/namespace"/>
  </ds:schemaRefs>
</ds:datastoreItem>
</file>

<file path=customXml/itemProps4.xml><?xml version="1.0" encoding="utf-8"?>
<ds:datastoreItem xmlns:ds="http://schemas.openxmlformats.org/officeDocument/2006/customXml" ds:itemID="{9D1ED81A-E316-40C4-97C6-D44F3A74E377}"/>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Valuation</vt:lpstr>
      <vt:lpstr>BS</vt:lpstr>
      <vt:lpstr>IS</vt:lpstr>
      <vt:lpstr>CF</vt:lpstr>
      <vt:lpstr>DCF</vt:lpstr>
      <vt:lpstr>RIM</vt:lpstr>
      <vt:lpstr>Historical PE</vt:lpstr>
      <vt:lpstr>Comparable - changed weights</vt:lpstr>
      <vt:lpstr>Comparable - unchanged weights</vt:lpstr>
      <vt:lpstr>Beta</vt:lpstr>
      <vt:lpstr>Bottom-Up Beta</vt:lpstr>
      <vt:lpstr>Obligations</vt:lpstr>
      <vt:lpstr>DCF Growth Rates</vt:lpstr>
      <vt:lpstr>DuPont</vt:lpstr>
      <vt:lpstr>Dividend Growth Model</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Francis Thelen</dc:creator>
  <cp:lastModifiedBy>AHastings756@gmail.com</cp:lastModifiedBy>
  <cp:lastPrinted>2016-05-09T02:44:13Z</cp:lastPrinted>
  <dcterms:created xsi:type="dcterms:W3CDTF">2016-04-30T02:47:36Z</dcterms:created>
  <dcterms:modified xsi:type="dcterms:W3CDTF">2017-02-21T01:54:52Z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0x01010099A2CC525B44464FA614728C776CFA17</vt:lpwstr>
  </property>
</Properties>
</file>